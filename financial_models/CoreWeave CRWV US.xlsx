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Front Page" sheetId="1" state="visible" r:id="rId1"/>
    <sheet xmlns:r="http://schemas.openxmlformats.org/officeDocument/2006/relationships" name="DCF" sheetId="2" state="visible" r:id="rId2"/>
    <sheet xmlns:r="http://schemas.openxmlformats.org/officeDocument/2006/relationships" name="Model" sheetId="3" state="visible" r:id="rId3"/>
    <sheet xmlns:r="http://schemas.openxmlformats.org/officeDocument/2006/relationships" name="Guidance" sheetId="4" state="visible" r:id="rId4"/>
    <sheet xmlns:r="http://schemas.openxmlformats.org/officeDocument/2006/relationships" name="IPO" sheetId="5" state="visible" r:id="rId5"/>
    <sheet xmlns:r="http://schemas.openxmlformats.org/officeDocument/2006/relationships" name="Summary Page" sheetId="6" state="visible" r:id="rId6"/>
    <sheet xmlns:r="http://schemas.openxmlformats.org/officeDocument/2006/relationships" name="Update Log" sheetId="7" state="visible" r:id="rId7"/>
  </sheets>
  <definedNames>
    <definedName name="AA.AlternatePriceSourceStartPeriod">"FY2009"</definedName>
    <definedName name="AA.CIK">"1769628"</definedName>
    <definedName name="AA.CSIN">"JNYFJ20168"</definedName>
    <definedName name="AA.CurationVersion">"2023.3.2.0"</definedName>
    <definedName name="AA.DBMacroVersion">"1.0.12.0"</definedName>
    <definedName name="AA.FreeCashFlow">"TRUE"</definedName>
    <definedName name="AA.ModelVersion">"Q3-2025.25"</definedName>
    <definedName name="AA.PartialUpdate.BsAvailable">"TRUE"</definedName>
    <definedName name="AA.PartialUpdate.CfsAvailable">"TRUE"</definedName>
    <definedName name="AA.PartialUpdate.IsAvailable">"TRUE"</definedName>
    <definedName name="AA.PeriodLayout">"QFY"</definedName>
    <definedName name="AA.RowNameEnforcerVersion">"2023.11.1.0"</definedName>
    <definedName name="AA.SessionToUploadId">""</definedName>
    <definedName name="AA.StartWorkModelVersion">"Q3-2025.24"</definedName>
    <definedName name="AA.StartWorkType">""</definedName>
    <definedName name="AA.SubyearType">"Q"</definedName>
    <definedName name="AA.TemplateUpgradeAttempted">"TRUE"</definedName>
    <definedName name="AA.TemplateVersion">"7.5.4.0"</definedName>
    <definedName name="AA.UpdateType">"Regular"</definedName>
    <definedName name="FP.DataSource">'Front Page'!$H$16</definedName>
    <definedName name="FP.DataSourceName">'Front Page'!$H$15</definedName>
    <definedName name="FP.Disclaimer">'Front Page'!$C$22</definedName>
    <definedName name="FP.LastPrice">'Front Page'!$H$20</definedName>
    <definedName name="FP.LastPriceDate">'Front Page'!$F$20</definedName>
    <definedName name="FP.RealTimeToggle">'Front Page'!$H$18</definedName>
    <definedName name="FP.UpdateDate">'Front Page'!$H$11</definedName>
    <definedName name="FP.UpdateEvent">'Front Page'!$H$13</definedName>
    <definedName name="FP_Comment">'Front Page'!$M$13:$P$20</definedName>
    <definedName name="FP_StockPriceOverride">'Front Page'!$C$20:$H$20</definedName>
    <definedName name="GD.CompanyName">Guidance!$B$1</definedName>
    <definedName name="GD.MRQ">Guidance!$F$2</definedName>
    <definedName name="GD_Difference_Mid_Absolute">Guidance!$P:$P</definedName>
    <definedName name="GD_Difference_Mid_Relative">Guidance!$Q:$Q</definedName>
    <definedName name="GD_Guidance_High">Guidance!$J:$J</definedName>
    <definedName name="GD_Guidance_Low">Guidance!$I:$I</definedName>
    <definedName name="GD_Guidance_Mid">Guidance!$K:$K</definedName>
    <definedName name="GD_Header_Column">Guidance!$5:$5</definedName>
    <definedName name="GD_Header_Section">Guidance!$4:$4</definedName>
    <definedName name="GD_Index">Guidance!$A:$A</definedName>
    <definedName name="GD_Item">Guidance!$D:$D</definedName>
    <definedName name="GD_Item_BasePeriod">Guidance!$G:$G</definedName>
    <definedName name="GD_Item_FiscalPeriod">Guidance!$F:$F</definedName>
    <definedName name="GD_Item_Name">Guidance!$E:$E</definedName>
    <definedName name="GD_Model_Output">Guidance!$N:$N</definedName>
    <definedName name="GD_Model_Type">Guidance!$M:$M</definedName>
    <definedName name="GD_Type">Guidance!$B:$B</definedName>
    <definedName name="GD_Update_Date">Guidance!$S:$S</definedName>
    <definedName name="GD_Update_Link">Guidance!$T:$T</definedName>
    <definedName name="HP.MRFX">Model!$B$868</definedName>
    <definedName name="HP.ReportCurrency">Model!$B$867</definedName>
    <definedName name="HP.Ticker">Model!$A$2</definedName>
    <definedName name="HP.TradeCurrency">Model!$B$865</definedName>
    <definedName name="HP.TradeCurrency.HardCoded">Model!$B$866</definedName>
    <definedName name="IPO.AdditionalSharesIssuedFromOverallotment">IPO!$B$14</definedName>
    <definedName name="IPO.CommencedTrading">IPO!$C$6</definedName>
    <definedName name="IPO.DiscreteFees">IPO!$C$27</definedName>
    <definedName name="IPO.Fees">IPO!$B$26</definedName>
    <definedName name="IPO.OverallotmentToggle">IPO!$D$14</definedName>
    <definedName name="IPO.Period">IPO!$C$4</definedName>
    <definedName name="IPO.PreIPO.ShareCount">IPO!$C$33</definedName>
    <definedName name="IPO.Price">IPO!$C$9</definedName>
    <definedName name="IPO.Proceeds">IPO!$C$22</definedName>
    <definedName name="IPO.ProceedsInclOverallotment">IPO!$C$25</definedName>
    <definedName name="IPO.ProceedsInclOverallotmentLessFees">IPO!$C$28</definedName>
    <definedName name="IPO.SecondarySharesIssued">IPO!$C$17</definedName>
    <definedName name="IPO.SecondarySharesIssuedFromOverallotment">IPO!$B$18</definedName>
    <definedName name="IPO.ShareCount.Options">IPO!$C$37</definedName>
    <definedName name="IPO.ShareCount.RSU">IPO!$C$39</definedName>
    <definedName name="IPO.ShareCount.WAB">IPO!$C$36</definedName>
    <definedName name="IPO.ShareCount.WAD">IPO!$C$40</definedName>
    <definedName name="IPO.ShareCount.Warrants">IPO!$C$38</definedName>
    <definedName name="IPO.TemplateVersion">IPO!$A$114</definedName>
    <definedName name="IPO.TotalSharesIssued">IPO!$C$10</definedName>
    <definedName name="IPO.TotalSharesIssuedInclSecondaryShares">IPO!$C$19</definedName>
    <definedName name="IPO.TotalTransactionSize">IPO!$C$11</definedName>
    <definedName name="IPO.TradingDate">IPO!$C$5</definedName>
    <definedName name="IPO.TreasurySharesIssued">IPO!$C$13</definedName>
    <definedName name="IPO.TreasurySharesIssuedInclOverallotment">IPO!$C$16</definedName>
    <definedName name="IPO.TreasurySharesIssuedInPrivPlacement">IPO!$C$15</definedName>
    <definedName name="IPO_Section_EVCalculation">IPO!$46:$46</definedName>
    <definedName name="IPO_Section_Options">IPO!$54:$54</definedName>
    <definedName name="IPO_Section_ProceedsDetails">IPO!$21:$21</definedName>
    <definedName name="IPO_Section_RSUs">IPO!$77:$77</definedName>
    <definedName name="IPO_Section_ShareAnalysis">IPO!$30:$30</definedName>
    <definedName name="IPO_Section_Tables">IPO!$108:$108</definedName>
    <definedName name="IPO_Section_TotalTransactionSummary">IPO!$8:$8</definedName>
    <definedName name="IPO_Section_ValuationMultiples">IPO!$81:$81</definedName>
    <definedName name="IPO_Section_Warrants">IPO!$71:$71</definedName>
    <definedName name="IPO_tb_ValuationMultiplesToggle">IPO!$A$110:$A$112</definedName>
    <definedName name="MO.ApplyTradeCurrencyScaling">Model!$B$864</definedName>
    <definedName name="MO.CFY">Model!$B$872</definedName>
    <definedName name="MO.CompanyName">Model!$A$1</definedName>
    <definedName name="MO.DataSourceIndex">Model!$B$875</definedName>
    <definedName name="MO.DataSourceName">Model!$A$4</definedName>
    <definedName name="MO.FirstForecastedFiscalYear">Model!$B$873</definedName>
    <definedName name="MO.KPI.1">Model!$A$779</definedName>
    <definedName name="MO.KPI.10">Model!$A$788</definedName>
    <definedName name="MO.KPI.11">Model!$A$789</definedName>
    <definedName name="MO.KPI.12">Model!$A$790</definedName>
    <definedName name="MO.KPI.13">Model!$A$791</definedName>
    <definedName name="MO.KPI.14">Model!$A$792</definedName>
    <definedName name="MO.KPI.15">Model!$A$793</definedName>
    <definedName name="MO.KPI.16">Model!$A$794</definedName>
    <definedName name="MO.KPI.17">Model!$A$795</definedName>
    <definedName name="MO.KPI.18">Model!$A$796</definedName>
    <definedName name="MO.KPI.19">Model!$A$797</definedName>
    <definedName name="MO.KPI.2">Model!$A$780</definedName>
    <definedName name="MO.KPI.3">Model!$A$781</definedName>
    <definedName name="MO.KPI.4">Model!$A$782</definedName>
    <definedName name="MO.KPI.5">Model!$A$783</definedName>
    <definedName name="MO.KPI.6">Model!$A$784</definedName>
    <definedName name="MO.KPI.7">Model!$A$785</definedName>
    <definedName name="MO.KPI.8">Model!$A$786</definedName>
    <definedName name="MO.KPI.9">Model!$A$787</definedName>
    <definedName name="MO.KPI.Count">Model!$B$874</definedName>
    <definedName name="MO.LastPrice">Model!$B$3</definedName>
    <definedName name="MO.LastPriceDate">Model!$B$861</definedName>
    <definedName name="MO.LastPriceFormula">Model!$B$863</definedName>
    <definedName name="MO.LastPriceHardcoded">Model!$B$860</definedName>
    <definedName name="MO.MRFP">Model!$B$871</definedName>
    <definedName name="MO.MRFPColumnNumber">Model!$B$870</definedName>
    <definedName name="MO.MRFX.Hardcoded">Model!$B$869</definedName>
    <definedName name="MO.RealTime">Model!$B$4</definedName>
    <definedName name="MO.RealTimeStockPriceToggle">Model!$B$862</definedName>
    <definedName name="MO.ReportCurrency">Model!$B$867</definedName>
    <definedName name="MO.ReportFX">Model!$A$5</definedName>
    <definedName name="MO.Ticker">Model!$A$2</definedName>
    <definedName name="MO.Ticker.Bloomberg">Model!$A$758</definedName>
    <definedName name="MO.Ticker.Canalyst">Model!$A$757</definedName>
    <definedName name="MO.Ticker.CapIQ">Model!$A$759</definedName>
    <definedName name="MO.Ticker.FactSet">Model!$A$760</definedName>
    <definedName name="MO.Ticker.Thomson">Model!$A$761</definedName>
    <definedName name="MO.TradingCurrency">Model!$A$3</definedName>
    <definedName name="MO.ValuationToggle">Model!$B$479</definedName>
    <definedName name="MO_BS_AP">Model!$695:$695</definedName>
    <definedName name="MO_BS_AR">Model!$672:$672</definedName>
    <definedName name="MO_BS_CA">Model!$674:$674</definedName>
    <definedName name="MO_BS_CL">Model!$702:$702</definedName>
    <definedName name="MO_BS_Goodwill">Model!$689:$689</definedName>
    <definedName name="MO_BS_INTANGIBLES">Model!$688:$688</definedName>
    <definedName name="MO_BS_NCA">Model!$691:$691</definedName>
    <definedName name="MO_BS_NCI">Model!$725:$725</definedName>
    <definedName name="MO_BS_NCL">Model!$712:$712</definedName>
    <definedName name="MO_BS_OL_Current">Model!$699:$699</definedName>
    <definedName name="MO_BS_OL_NonCurrent">Model!$708:$708</definedName>
    <definedName name="MO_BS_PPE">Model!$686:$686</definedName>
    <definedName name="MO_BS_ROU">Model!$687:$687</definedName>
    <definedName name="MO_BS_SE">Model!$724:$724</definedName>
    <definedName name="MO_BS_TA">Model!$692:$692</definedName>
    <definedName name="MO_BS_TL">Model!$713:$713</definedName>
    <definedName name="MO_BS_TLSE">Model!$726:$726</definedName>
    <definedName name="MO_BSS_Cash">Model!$460:$460</definedName>
    <definedName name="MO_BSS_Debt">Model!$463:$463</definedName>
    <definedName name="MO_BSS_Debt_LT">Model!$462:$462</definedName>
    <definedName name="MO_BSS_Debt_Net">Model!$465:$465</definedName>
    <definedName name="MO_BSS_Debt_ST">Model!$461:$461</definedName>
    <definedName name="MO_BSS_Debt_ToCF">Model!$476:$476</definedName>
    <definedName name="MO_BSS_Debt_ToEBITDA">Model!$475:$475</definedName>
    <definedName name="MO_BSS_IE">Model!$467:$467</definedName>
    <definedName name="MO_BSS_IE_Net">Model!$471:$471</definedName>
    <definedName name="MO_BSS_II">Model!$469:$469</definedName>
    <definedName name="MO_BSS_InterestRate_Cash">Model!$470:$470</definedName>
    <definedName name="MO_BSS_InterestRate_Debt">Model!$468:$468</definedName>
    <definedName name="MO_BSS_NetInterestCoverage">Model!$474:$474</definedName>
    <definedName name="MO_BSS_NetInterestRate_Debt">Model!$472:$472</definedName>
    <definedName name="MO_BSS_OL">Model!$464:$464</definedName>
    <definedName name="MO_CCFS_Balance_Begin">Model!$560:$560</definedName>
    <definedName name="MO_CCFS_Balance_End">Model!$561:$561</definedName>
    <definedName name="MO_CCFS_CFF">Model!$555:$555</definedName>
    <definedName name="MO_CCFS_CFI">Model!$538:$538</definedName>
    <definedName name="MO_CCFS_CFO">Model!$524:$524</definedName>
    <definedName name="MO_CCFS_CFO_BeforeWC">Model!$516:$516</definedName>
    <definedName name="MO_CCFS_FX">Model!$557:$557</definedName>
    <definedName name="MO_CCFS_NetChange">Model!$558:$558</definedName>
    <definedName name="MO_CCFS_Sup_CashInterest">Model!$563:$563</definedName>
    <definedName name="MO_CCFS_Sup_CashTax">Model!$564:$564</definedName>
    <definedName name="MO_CFS_Balance_Begin">Model!$624:$624</definedName>
    <definedName name="MO_CFS_Balance_End">Model!$625:$625</definedName>
    <definedName name="MO_CFS_Buyback">Model!$612:$612</definedName>
    <definedName name="MO_CFS_CFF">Model!$619:$619</definedName>
    <definedName name="MO_CFS_CFI">Model!$602:$602</definedName>
    <definedName name="MO_CFS_CFO">Model!$588:$588</definedName>
    <definedName name="MO_CFS_CFO_BeforeWC">Model!$580:$580</definedName>
    <definedName name="MO_CFS_DA">Model!$571:$571</definedName>
    <definedName name="MO_CFS_FX">Model!$621:$621</definedName>
    <definedName name="MO_CFS_NetChange">Model!$622:$622</definedName>
    <definedName name="MO_CFS_NetEquityIssued">Model!$614:$614</definedName>
    <definedName name="MO_CFS_SBC">Model!$575:$575</definedName>
    <definedName name="MO_CFS_Sup_CashInterest">Model!$627:$627</definedName>
    <definedName name="MO_CFS_Sup_CashTax">Model!$628:$628</definedName>
    <definedName name="MO_CFS_WC_DefRev">Model!$584:$584</definedName>
    <definedName name="MO_CFSum_Acquisition">Model!$438:$438</definedName>
    <definedName name="MO_CFSum_Capex">Model!$436:$436</definedName>
    <definedName name="MO_CFSum_CFO">Model!$432:$432</definedName>
    <definedName name="MO_CFSum_CFO_BeforeWC">Model!$430:$430</definedName>
    <definedName name="MO_CFSum_CFOPS">Model!$434:$434</definedName>
    <definedName name="MO_CFSum_CFOPS_BeforeWC">Model!$433:$433</definedName>
    <definedName name="MO_CFSum_CFPS">Model!$434:$434</definedName>
    <definedName name="MO_CFSum_ChangeInWC">Model!$431:$431</definedName>
    <definedName name="MO_CFSum_Divestiture">Model!$439:$439</definedName>
    <definedName name="MO_CFSum_Dividend">Model!$440:$440</definedName>
    <definedName name="MO_CFSum_DPS">Model!$441:$441</definedName>
    <definedName name="MO_CFSum_FCF_PostDivPostAD">Model!$452:$452</definedName>
    <definedName name="MO_CFSum_FCF_PostDivPostADPostDebtPostBuyback">Model!$453:$453</definedName>
    <definedName name="MO_CFSum_FCF_PostDivPreAD">Model!$451:$451</definedName>
    <definedName name="MO_CFSum_FCF_PostWCPostDivPostAD">Model!$456:$456</definedName>
    <definedName name="MO_CFSum_FCF_PostWCPostDivPostADPostDebtPostBuyback">Model!$457:$457</definedName>
    <definedName name="MO_CFSum_FCF_PostWCPostDivPreAD">Model!$455:$455</definedName>
    <definedName name="MO_CFSum_FCF_PostWCPreDiv">Model!$454:$454</definedName>
    <definedName name="MO_CFSum_FCF_PreDiv">Model!$450:$450</definedName>
    <definedName name="MO_CFSum_NetDebtIssuance">Model!$443:$443</definedName>
    <definedName name="MO_CFSum_NetShares">Model!$444:$444</definedName>
    <definedName name="MO_CFSum_NetShares_Price">Model!$445:$445</definedName>
    <definedName name="MO_CFSum_SBC">Model!$447:$447</definedName>
    <definedName name="MO_CFSum_SBC_Margin">Model!$448:$448</definedName>
    <definedName name="MO_Checks_Bottom">Model!$C$731:$XFD$752</definedName>
    <definedName name="MO_Checks_BS">Model!$728:$728</definedName>
    <definedName name="MO_Checks_CF">Model!$630:$630</definedName>
    <definedName name="MO_Checks_IS">Model!$299:$299</definedName>
    <definedName name="MO_Common_Column_A">Model!$A:$A</definedName>
    <definedName name="MO_Common_Column_B">Model!$B:$B</definedName>
    <definedName name="MO_Common_ColumnHeader">Model!$5:$5</definedName>
    <definedName name="MO_Common_CompanySubtitle">Model!$2:$2</definedName>
    <definedName name="MO_Common_CompanyTitle">Model!$1:$1</definedName>
    <definedName name="MO_Common_FPDays">Model!$3:$3</definedName>
    <definedName name="MO_Common_QEndDate">Model!$4:$4</definedName>
    <definedName name="MO_Common_QEndDate_LWD">Model!$854:$854</definedName>
    <definedName name="MO_DAF_A">Model!$640:$640</definedName>
    <definedName name="MO_DAF_A_Percentage">Model!$646:$646</definedName>
    <definedName name="MO_DAF_Capex">Model!$651:$651</definedName>
    <definedName name="MO_DAF_D">Model!$634:$634</definedName>
    <definedName name="MO_DAF_D_Percentage">Model!$645:$645</definedName>
    <definedName name="MO_DAF_DA">Model!$650:$650</definedName>
    <definedName name="MO_DAF_Intangibles_BoP">Model!$639:$639</definedName>
    <definedName name="MO_DAF_Intangibles_Capex">Model!$641:$641</definedName>
    <definedName name="MO_DAF_Intangibles_Capex_Percent">Model!$652:$652</definedName>
    <definedName name="MO_DAF_Intangibles_EoP">Model!$643:$643</definedName>
    <definedName name="MO_DAF_Intangibles_Life">Model!$648:$648</definedName>
    <definedName name="MO_DAF_Intangibles_Other">Model!$642:$642</definedName>
    <definedName name="MO_DAF_PPE_BoP">Model!$633:$633</definedName>
    <definedName name="MO_DAF_PPE_Capex">Model!$635:$635</definedName>
    <definedName name="MO_DAF_PPE_EoP">Model!$637:$637</definedName>
    <definedName name="MO_DAF_PPE_Life">Model!$647:$647</definedName>
    <definedName name="MO_DAF_PPE_Other">Model!$636:$636</definedName>
    <definedName name="MO_IS_FirstRow">Model!$280:$280</definedName>
    <definedName name="MO_KPI_Billings_Calc">Model!$179:$179</definedName>
    <definedName name="MO_KPI_Billings_Growth_Calc">Model!$180:$180</definedName>
    <definedName name="MO_KPI_ContributionMargin">Model!$189:$189</definedName>
    <definedName name="MO_KPI_EmployeeCount">Model!$157:$157</definedName>
    <definedName name="MO_KPI_FCF">Model!$182:$182</definedName>
    <definedName name="MO_KPI_FCF_LTM">Model!$183:$183</definedName>
    <definedName name="MO_KPI_FCF_Margin">Model!$186:$186</definedName>
    <definedName name="MO_KPI_REV_LTM">Model!$184:$184</definedName>
    <definedName name="MO_KPI_REV_LTM_Growth">Model!$185:$185</definedName>
    <definedName name="MO_KPI_REV_Subscription">Model!$170:$170</definedName>
    <definedName name="MO_KPI_REV_Usage">Model!$171:$171</definedName>
    <definedName name="MO_KPI_RPO_Bookings">Model!$176:$176</definedName>
    <definedName name="MO_KPI_RPO_Bookings_Growth">Model!$177:$177</definedName>
    <definedName name="MO_KPI_RPO_Growth">Model!$175:$175</definedName>
    <definedName name="MO_KPI_RuleOf40">Model!$187:$187</definedName>
    <definedName name="MO_MA_COGS">Model!$260:$260</definedName>
    <definedName name="MO_MA_COGS_NONGAAP">Model!$268:$268</definedName>
    <definedName name="MO_MA_EBIT">Model!$266:$266</definedName>
    <definedName name="MO_MA_GA">Model!$264:$264</definedName>
    <definedName name="MO_MA_GA_NONGAAP">Model!$273:$273</definedName>
    <definedName name="MO_MA_GM">Model!$261:$261</definedName>
    <definedName name="MO_MA_GM_NONGAAP">Model!$269:$269</definedName>
    <definedName name="MO_MA_OperatingIncome">Model!$276:$276</definedName>
    <definedName name="MO_MA_OperatingIncome_NONGAAP">Model!$275:$275</definedName>
    <definedName name="MO_MA_RD">Model!$265:$265</definedName>
    <definedName name="MO_MA_RD_NONGAAP">Model!$274:$274</definedName>
    <definedName name="MO_MA_SM">Model!$263:$263</definedName>
    <definedName name="MO_MA_SM_NONGAAP">Model!$272:$272</definedName>
    <definedName name="MO_OS_Billings_Calc">Model!$179:$179</definedName>
    <definedName name="MO_OS_Billings_Growth_Calc">Model!$180:$180</definedName>
    <definedName name="MO_OS_ContributionMargin">Model!$189:$189</definedName>
    <definedName name="MO_OS_EmployeeCount">Model!$157:$157</definedName>
    <definedName name="MO_OS_FCF">Model!$182:$182</definedName>
    <definedName name="MO_OS_FCF_LTM">Model!$183:$183</definedName>
    <definedName name="MO_OS_FCF_Margin">Model!$186:$186</definedName>
    <definedName name="MO_OS_REV_LTM">Model!$184:$184</definedName>
    <definedName name="MO_OS_REV_LTM_Growth">Model!$185:$185</definedName>
    <definedName name="MO_OS_REV_Subscription">Model!$170:$170</definedName>
    <definedName name="MO_OS_REV_Usage">Model!$171:$171</definedName>
    <definedName name="MO_OS_RPO_Bookings">Model!$176:$176</definedName>
    <definedName name="MO_OS_RPO_Bookings_Growth">Model!$177:$177</definedName>
    <definedName name="MO_OS_RPO_Growth">Model!$175:$175</definedName>
    <definedName name="MO_OS_RuleOf40">Model!$187:$187</definedName>
    <definedName name="MO_RIS_Adjustments_Dilution_GAAP">Model!$391:$391</definedName>
    <definedName name="MO_RIS_COGS">Model!$336:$336</definedName>
    <definedName name="MO_RIS_COGS_Adjustments">Model!$339:$339</definedName>
    <definedName name="MO_RIS_DA">Model!$362:$362</definedName>
    <definedName name="MO_RIS_DAintangibles">Model!$385:$385</definedName>
    <definedName name="MO_RIS_DAintangibles_COGS">Model!$338:$338</definedName>
    <definedName name="MO_RIS_DAintangibles_GA">Model!$349:$349</definedName>
    <definedName name="MO_RIS_DAintangibles_RD">Model!$354:$354</definedName>
    <definedName name="MO_RIS_DAintangibles_SM">Model!$344:$344</definedName>
    <definedName name="MO_RIS_DeferredTax_To_TotalNonGAAPTax">Model!$397:$397</definedName>
    <definedName name="MO_RIS_EBIT_NONGAAP">Model!$357:$357</definedName>
    <definedName name="MO_RIS_EBITDA_Adj">Model!$364:$364</definedName>
    <definedName name="MO_RIS_EBT_NONGAAP">Model!$375:$375</definedName>
    <definedName name="MO_RIS_EPS_WAB">Model!$399:$399</definedName>
    <definedName name="MO_RIS_EPS_WAD">Model!$400:$400</definedName>
    <definedName name="MO_RIS_EPS_WAD_Adj">Model!$401:$401</definedName>
    <definedName name="MO_RIS_GA">Model!$347:$347</definedName>
    <definedName name="MO_RIS_GA_Adjustments">Model!$350:$350</definedName>
    <definedName name="MO_RIS_GA_NONGAAP">Model!$351:$351</definedName>
    <definedName name="MO_RIS_GAAP_Adjustments">Model!$388:$388</definedName>
    <definedName name="MO_RIS_GP_NONGAAP">Model!$340:$340</definedName>
    <definedName name="MO_RIS_IE">Model!$367:$367</definedName>
    <definedName name="MO_RIS_IE_Adjustments">Model!$387:$387</definedName>
    <definedName name="MO_RIS_IE_Net">Model!$369:$369</definedName>
    <definedName name="MO_RIS_IE_Net_NONGAAP">Model!$371:$371</definedName>
    <definedName name="MO_RIS_IE_NONGAAP_Adjustments">Model!$370:$370</definedName>
    <definedName name="MO_RIS_II">Model!$368:$368</definedName>
    <definedName name="MO_RIS_NI_GAAP_Basic">Model!$390:$390</definedName>
    <definedName name="MO_RIS_NI_GAAP_Diluted">Model!$392:$392</definedName>
    <definedName name="MO_RIS_NI_NONGAAP_Diluted">Model!$383:$383</definedName>
    <definedName name="MO_RIS_OI">Model!$372:$372</definedName>
    <definedName name="MO_RIS_OI_NONGAAP">Model!$374:$374</definedName>
    <definedName name="MO_RIS_OI_NONGAAP_Adjustments">Model!$373:$373</definedName>
    <definedName name="MO_RIS_OO_Adjustments">Model!$386:$386</definedName>
    <definedName name="MO_RIS_OtherOperating_NONGAAP">Model!$358:$358</definedName>
    <definedName name="MO_RIS_RD">Model!$352:$352</definedName>
    <definedName name="MO_RIS_RD_Adjustments">Model!$355:$355</definedName>
    <definedName name="MO_RIS_RD_NONGAAP">Model!$356:$356</definedName>
    <definedName name="MO_RIS_Reported_OperatingIncome_NONGAAP">Model!$359:$359</definedName>
    <definedName name="MO_RIS_REV">Model!$333:$333</definedName>
    <definedName name="MO_RIS_SBC">Model!$384:$384</definedName>
    <definedName name="MO_RIS_SBC_COGS">Model!$337:$337</definedName>
    <definedName name="MO_RIS_SBC_GA">Model!$348:$348</definedName>
    <definedName name="MO_RIS_SBC_RD">Model!$353:$353</definedName>
    <definedName name="MO_RIS_SBC_SM">Model!$343:$343</definedName>
    <definedName name="MO_RIS_ShareCount_WAB">Model!$404:$404</definedName>
    <definedName name="MO_RIS_ShareCount_WAD">Model!$405:$405</definedName>
    <definedName name="MO_RIS_ShareCount_WAD_Adj">Model!$406:$406</definedName>
    <definedName name="MO_RIS_SM">Model!$342:$342</definedName>
    <definedName name="MO_RIS_SM_Adjustments">Model!$345:$345</definedName>
    <definedName name="MO_RIS_SM_NONGAAP">Model!$346:$346</definedName>
    <definedName name="MO_RIS_Tax">Model!$376:$376</definedName>
    <definedName name="MO_RIS_Tax_NONGAAP">Model!$378:$378</definedName>
    <definedName name="MO_RIS_Tax_NONGAAP_Adjustments">Model!$377:$377</definedName>
    <definedName name="MO_RIS_TaxImpact_Adjustments">Model!$389:$389</definedName>
    <definedName name="MO_RIS_TaxRate">Model!$396:$396</definedName>
    <definedName name="MO_RIS_TaxRate_NONGAAP">Model!$394:$394</definedName>
    <definedName name="MO_RIS_TaxRate_OnAdjustments">Model!$395:$395</definedName>
    <definedName name="MO_SCA_Date_CoverPage">Model!$422:$422</definedName>
    <definedName name="MO_SCA_Ratio_DilutedOverBasic">Model!$425:$425</definedName>
    <definedName name="MO_SCA_ShareCount_CoverPage">Model!$421:$421</definedName>
    <definedName name="MO_SCA_ShareCount_CoverPage_Class1">Model!$421:$421</definedName>
    <definedName name="MO_SCA_ShareCount_CoverPage_Ticker1">Model!$421:$421</definedName>
    <definedName name="MO_SCA_ShareCount_DilutiveShares">Model!$424:$424</definedName>
    <definedName name="MO_SCA_ShareCount_EoP">Model!$411:$411</definedName>
    <definedName name="MO_SCA_ShareCount_EoP_Class1">Model!$411:$411</definedName>
    <definedName name="MO_SCA_ShareCount_EoP_Diluted">Model!$427:$427</definedName>
    <definedName name="MO_SCA_ShareCount_EoP_Growth_Dilutive_QoQ">Model!$412:$412</definedName>
    <definedName name="MO_SCA_ShareCount_EoP_Growth_Dilutive_YoY">Model!$413:$413</definedName>
    <definedName name="MO_SCA_ShareCount_EoP_Growth_NetIssuance_QoQ">Model!$414:$414</definedName>
    <definedName name="MO_SCA_ShareCount_EoP_Growth_NetIssuance_YoY">Model!$415:$415</definedName>
    <definedName name="MO_SCA_ShareCount_EoP_Growth_QoQ">Model!$416:$416</definedName>
    <definedName name="MO_SCA_ShareCount_EoP_Growth_YoY">Model!$417:$417</definedName>
    <definedName name="MO_SCA_ShareCount_EoP_Ticker1">Model!$411:$411</definedName>
    <definedName name="MO_Section_AdjustedNumbers">Model!$301:$301</definedName>
    <definedName name="MO_Section_BalanceSheet">Model!$667:$667</definedName>
    <definedName name="MO_Section_BalanceSheetSummary">Model!$459:$459</definedName>
    <definedName name="MO_Section_CashFlowStatement">Model!$566:$566</definedName>
    <definedName name="MO_Section_CashFlowSummary">Model!$429:$429</definedName>
    <definedName name="MO_Section_ConsolidatedSummary">Model!$6:$6</definedName>
    <definedName name="MO_Section_CumulativeCashFlowStatement">Model!$502:$502</definedName>
    <definedName name="MO_Section_DAForecasting">Model!$632:$632</definedName>
    <definedName name="MO_Section_IncomeStatement">Model!$279:$279</definedName>
    <definedName name="MO_Section_KeyMetricsAssetsObtainedthroughLeaseLiabilityMDA">Model!$191:$191</definedName>
    <definedName name="MO_Section_KeyMetricsCapitalexpendituresIP">Model!$213:$213</definedName>
    <definedName name="MO_Section_KeyMetricsCompanyStatsFS">Model!$147:$147</definedName>
    <definedName name="MO_Section_KeyMetricsDescriptionMDA">Model!$218:$218</definedName>
    <definedName name="MO_Section_KeyMetricsFutureOperatingLeasePaymentsMDA">Model!$197:$197</definedName>
    <definedName name="MO_Section_KeyMetricsIndustryStatsFS">Model!$159:$159</definedName>
    <definedName name="MO_Section_KeyMetricsMajorCustomerswithRevenues10FS">Model!$137:$137</definedName>
    <definedName name="MO_Section_KeyMetricsRevenueBreakdownFS">Model!$165:$165</definedName>
    <definedName name="MO_Section_KeyMetricsSaaSMetrics">Model!$174:$174</definedName>
    <definedName name="MO_Section_LastRow">Model!$877:$877</definedName>
    <definedName name="MO_Section_MarginAnalysis">Model!$259:$259</definedName>
    <definedName name="MO_Section_ModelChecks">Model!$730:$730</definedName>
    <definedName name="MO_Section_OperatingExpenseForecasting">Model!$39:$39</definedName>
    <definedName name="MO_Section_RevisedIncomeStatement">Model!$332:$332</definedName>
    <definedName name="MO_Section_SBCandDABreakdownFS">Model!$120:$120</definedName>
    <definedName name="MO_Section_SegmentedResultsGeographicBreakdownFS">Model!$132:$132</definedName>
    <definedName name="MO_Section_ShareCountAnalysis">Model!$408:$408</definedName>
    <definedName name="MO_Section_SupplementalData">Model!$131:$131</definedName>
    <definedName name="MO_Section_Tables">Model!$754:$754</definedName>
    <definedName name="MO_Section_Valuation">Model!$478:$478</definedName>
    <definedName name="MO_Section_WorkingCapitalForecasting">Model!$654:$654</definedName>
    <definedName name="MO_SNA_ConsensusEstimatePeriodNumber">Model!$813:$813</definedName>
    <definedName name="MO_SNA_ConsensusEstimatePeriodType">Model!$812:$812</definedName>
    <definedName name="MO_SNA_FPStartDate">Model!$824:$824</definedName>
    <definedName name="MO_SNA_Guidance_ApplicablePeriod_FY">Model!$808:$808</definedName>
    <definedName name="MO_SNA_Guidance_ApplicablePeriod_Q">Model!$802:$802</definedName>
    <definedName name="MO_SNA_Guidance_IsLatest_FY">Model!$807:$807</definedName>
    <definedName name="MO_SNA_Guidance_ReportDate_FY">Model!$806:$806</definedName>
    <definedName name="MO_SNA_Guidance_ReportDate_Q">Model!$801:$801</definedName>
    <definedName name="MO_SNA_IsHistoricalPeriod">Model!$825:$825</definedName>
    <definedName name="MO_SNA_LastDataRow">Model!$726:$726</definedName>
    <definedName name="MO_SPT_FXAverage">Model!$847:$847</definedName>
    <definedName name="MO_SPT_FXAverage_Sources">Model!$848:$852</definedName>
    <definedName name="MO_SPT_FXAverage_Sources_Bloomberg">Model!$849:$849</definedName>
    <definedName name="MO_SPT_FXAverage_Sources_CapIQ">Model!$850:$850</definedName>
    <definedName name="MO_SPT_FXAverage_Sources_FactSet">Model!$851:$851</definedName>
    <definedName name="MO_SPT_FXAverage_Sources_RealTimeOff">Model!$848:$848</definedName>
    <definedName name="MO_SPT_FXAverage_Sources_Thomson">Model!$852:$852</definedName>
    <definedName name="MO_SPT_FXEoP">Model!$856:$856</definedName>
    <definedName name="MO_SPT_StockAverage">Model!$840:$840</definedName>
    <definedName name="MO_SPT_StockAverage_Sources">Model!$841:$845</definedName>
    <definedName name="MO_SPT_StockAverage_Sources_Bloomberg">Model!$842:$842</definedName>
    <definedName name="MO_SPT_StockAverage_Sources_CapIQ">Model!$843:$843</definedName>
    <definedName name="MO_SPT_StockAverage_Sources_FactSet">Model!$844:$844</definedName>
    <definedName name="MO_SPT_StockAverage_Sources_RealTimeOff">Model!$841:$841</definedName>
    <definedName name="MO_SPT_StockAverage_Sources_Thomson">Model!$845:$845</definedName>
    <definedName name="MO_SPT_StockEoP">Model!$855:$855</definedName>
    <definedName name="MO_SPT_StockHigh">Model!$826:$826</definedName>
    <definedName name="MO_SPT_StockHigh_Sources">Model!$827:$831</definedName>
    <definedName name="MO_SPT_StockHigh_Sources_Bloomberg">Model!$828:$828</definedName>
    <definedName name="MO_SPT_StockHigh_Sources_CapIQ">Model!$829:$829</definedName>
    <definedName name="MO_SPT_StockHigh_Sources_FactSet">Model!$830:$830</definedName>
    <definedName name="MO_SPT_StockHigh_Sources_RealTimeOff">Model!$827:$827</definedName>
    <definedName name="MO_SPT_StockHigh_Sources_Thomson">Model!$831:$831</definedName>
    <definedName name="MO_SPT_StockLow">Model!$833:$833</definedName>
    <definedName name="MO_SPT_StockLow_Sources">Model!$834:$838</definedName>
    <definedName name="MO_SPT_StockLow_Sources_Bloomberg">Model!$835:$835</definedName>
    <definedName name="MO_SPT_StockLow_Sources_CapIQ">Model!$836:$836</definedName>
    <definedName name="MO_SPT_StockLow_Sources_FactSet">Model!$837:$837</definedName>
    <definedName name="MO_SPT_StockLow_Sources_RealTimeOff">Model!$834:$834</definedName>
    <definedName name="MO_SPT_StockLow_Sources_Thomson">Model!$838:$838</definedName>
    <definedName name="MO_SubSection_BS_CA">Model!$668:$668</definedName>
    <definedName name="MO_SubSection_BS_CL">Model!$694:$694</definedName>
    <definedName name="MO_SubSection_BS_NCA">Model!$676:$676</definedName>
    <definedName name="MO_SubSection_BS_NCL">Model!$704:$704</definedName>
    <definedName name="MO_SubSection_BS_SE">Model!$715:$715</definedName>
    <definedName name="MO_SubSection_CCFS_CFF">Model!$540:$540</definedName>
    <definedName name="MO_SubSection_CCFS_CFI">Model!$526:$526</definedName>
    <definedName name="MO_SubSection_CCFS_CFO">Model!$503:$503</definedName>
    <definedName name="MO_SubSection_CFS_CFF">Model!$604:$604</definedName>
    <definedName name="MO_SubSection_CFS_CFI">Model!$590:$590</definedName>
    <definedName name="MO_SubSection_CFS_CFO">Model!$567:$567</definedName>
    <definedName name="MO_VA_EV">Model!$481:$481</definedName>
    <definedName name="MO_VA_EV_ToEBITDA">Model!$484:$484</definedName>
    <definedName name="MO_VA_EVCalc_NCI">Model!$498:$498</definedName>
    <definedName name="MO_VA_EVCalc_Other">Model!$500:$500</definedName>
    <definedName name="MO_VA_EVCalc_Prefs">Model!$499:$499</definedName>
    <definedName name="MO_VA_FCFYield_ToEV">Model!$487:$487</definedName>
    <definedName name="MO_VA_FCFYield_ToMktCap">Model!$486:$486</definedName>
    <definedName name="MO_VA_FX_Average">Model!$493:$493</definedName>
    <definedName name="MO_VA_FX_EoP">Model!$494:$494</definedName>
    <definedName name="MO_VA_MarketCap">Model!$480:$480</definedName>
    <definedName name="MO_VA_P_ToCF">Model!$485:$485</definedName>
    <definedName name="MO_VA_P_ToE">Model!$483:$483</definedName>
    <definedName name="MO_VA_StockPrice">Model!$479:$479</definedName>
    <definedName name="MO_VA_StockPrice_Avg">Model!$491:$491</definedName>
    <definedName name="MO_VA_StockPrice_EoP">Model!$492:$492</definedName>
    <definedName name="MO_VA_StockPrice_High">Model!$489:$489</definedName>
    <definedName name="MO_VA_StockPrice_Low">Model!$490:$490</definedName>
    <definedName name="MO_VA_StockPrice_TradingCurrency">Model!$495:$495</definedName>
    <definedName name="MO_WCF_AP_Margin">Model!$657:$657</definedName>
    <definedName name="MO_WCF_AP_Margin_Change">Model!$663:$663</definedName>
    <definedName name="MO_WCF_AR_Margin">Model!$655:$655</definedName>
    <definedName name="MO_WCF_AR_Margin_Change">Model!$661:$661</definedName>
    <definedName name="SP.CompanyName">'Summary Page'!$A$1</definedName>
    <definedName name="SP.ReportFX">'Summary Page'!$B$2</definedName>
    <definedName name="SP.ValuationToggle">'Summary Page'!$B$4</definedName>
    <definedName name="SP_BSR_Capital">'Summary Page'!$81:$81</definedName>
    <definedName name="SP_BSR_CashFlow">'Summary Page'!$80:$80</definedName>
    <definedName name="SP_BSR_CashFlow_LTM">'Summary Page'!$83:$83</definedName>
    <definedName name="SP_BSR_CL">'Summary Page'!$102:$102</definedName>
    <definedName name="SP_BSR_CL_Avg">'Summary Page'!$103:$103</definedName>
    <definedName name="SP_BSR_Debt_Avg">'Summary Page'!$97:$97</definedName>
    <definedName name="SP_BSR_EBITDA">'Summary Page'!$79:$79</definedName>
    <definedName name="SP_BSR_EBITDA_LTM">'Summary Page'!$82:$82</definedName>
    <definedName name="SP_BSR_SE">'Summary Page'!$88:$88</definedName>
    <definedName name="SP_BSR_SE_Avg">'Summary Page'!$89:$89</definedName>
    <definedName name="SP_BSR_TA">'Summary Page'!$93:$93</definedName>
    <definedName name="SP_BSR_TA_Avg">'Summary Page'!$94:$94</definedName>
    <definedName name="SP_CFA_Acquisition">'Summary Page'!$65:$65</definedName>
    <definedName name="SP_CFA_Capex">'Summary Page'!$61:$61</definedName>
    <definedName name="SP_CFA_CFO">'Summary Page'!$60:$60</definedName>
    <definedName name="SP_CFA_CFO_BeforeWC">'Summary Page'!$58:$58</definedName>
    <definedName name="SP_CFA_CFO_PerShare">'Summary Page'!$72:$72</definedName>
    <definedName name="SP_CFA_Debt">'Summary Page'!$68:$68</definedName>
    <definedName name="SP_CFA_Div">'Summary Page'!$63:$63</definedName>
    <definedName name="SP_CFA_Div_PerShare">'Summary Page'!$74:$74</definedName>
    <definedName name="SP_CFA_Divestiture">'Summary Page'!$66:$66</definedName>
    <definedName name="SP_CFA_Equity">'Summary Page'!$67:$67</definedName>
    <definedName name="SP_CFA_FCF_PerShare">'Summary Page'!$73:$73</definedName>
    <definedName name="SP_CFA_FCF_PostDiv">'Summary Page'!$64:$64</definedName>
    <definedName name="SP_CFA_FCF_PreDiv">'Summary Page'!$62:$62</definedName>
    <definedName name="SP_CFA_NetChange">'Summary Page'!$70:$70</definedName>
    <definedName name="SP_CFA_Other">'Summary Page'!$69:$69</definedName>
    <definedName name="SP_CFA_Payout_vsEPS">'Summary Page'!$76:$76</definedName>
    <definedName name="SP_CFA_Payout_vsFCF">'Summary Page'!$75:$75</definedName>
    <definedName name="SP_CFA_WC">'Summary Page'!$59:$59</definedName>
    <definedName name="SP_Checks_SummaryPage">'Summary Page'!$C$122:$XFD$126</definedName>
    <definedName name="SP_Common_Column_A">'Summary Page'!$A:$A</definedName>
    <definedName name="SP_Common_Column_B">'Summary Page'!$B:$B</definedName>
    <definedName name="SP_Common_ColumnHeader">'Summary Page'!$2:$2</definedName>
    <definedName name="SP_Common_QEndDate">'Summary Page'!$1:$1</definedName>
    <definedName name="SP_CS_Cash">'Summary Page'!$7:$7</definedName>
    <definedName name="SP_CS_Debt">'Summary Page'!$8:$8</definedName>
    <definedName name="SP_CS_EV">'Summary Page'!$11:$11</definedName>
    <definedName name="SP_CS_EVCalc_Other">'Summary Page'!$10:$10</definedName>
    <definedName name="SP_CS_MarketCap">'Summary Page'!$6:$6</definedName>
    <definedName name="SP_CS_OL">'Summary Page'!$9:$9</definedName>
    <definedName name="SP_CS_ShareCount">'Summary Page'!$5:$5</definedName>
    <definedName name="SP_CS_ShareCount_EoP_Diluted">'Summary Page'!$5:$5</definedName>
    <definedName name="SP_CS_StockPrice">'Summary Page'!$4:$4</definedName>
    <definedName name="SP_GF_COGS">'Summary Page'!$24:$24</definedName>
    <definedName name="SP_GF_EBT">'Summary Page'!$35:$35</definedName>
    <definedName name="SP_GF_EPS_GAAP">'Summary Page'!$41:$41</definedName>
    <definedName name="SP_GF_NI">'Summary Page'!$39:$39</definedName>
    <definedName name="SP_GF_Reported_OperatingIncome_NONGAAP">'Summary Page'!$32:$32</definedName>
    <definedName name="SP_GF_Rev">'Summary Page'!$23:$23</definedName>
    <definedName name="SP_GF_Tax">'Summary Page'!$36:$36</definedName>
    <definedName name="SP_MA_COGS_NONGAAP">'Summary Page'!$50:$50</definedName>
    <definedName name="SP_MA_GA_NONGAAP">'Summary Page'!$52:$52</definedName>
    <definedName name="SP_MA_OperatingIncome">'Summary Page'!$55:$55</definedName>
    <definedName name="SP_MA_OperatingIncome_NONGAAP">'Summary Page'!$54:$54</definedName>
    <definedName name="SP_MA_RD_NONGAAP">'Summary Page'!$53:$53</definedName>
    <definedName name="SP_MA_SM_NONGAAP">'Summary Page'!$51:$51</definedName>
    <definedName name="SP_NGF_EBIT">'Summary Page'!$45:$45</definedName>
    <definedName name="SP_NGF_EBITDA">'Summary Page'!$44:$44</definedName>
    <definedName name="SP_NGF_EPS">'Summary Page'!$47:$47</definedName>
    <definedName name="SP_NGF_NI">'Summary Page'!$46:$46</definedName>
    <definedName name="SP_PR_ROA">'Summary Page'!$95:$95</definedName>
    <definedName name="SP_PR_ROCE">'Summary Page'!$105:$105</definedName>
    <definedName name="SP_PR_ROE">'Summary Page'!$90:$90</definedName>
    <definedName name="SP_PR_ROIC">'Summary Page'!$99:$99</definedName>
    <definedName name="SP_PSGM_CFO">'Summary Page'!$111:$111</definedName>
    <definedName name="SP_PSGM_EBITDA_Adj">'Summary Page'!$109:$109</definedName>
    <definedName name="SP_PSGM_FCF">'Summary Page'!$112:$112</definedName>
    <definedName name="SP_PSGM_NI_Adj">'Summary Page'!$110:$110</definedName>
    <definedName name="SP_PSGM_Revenue">'Summary Page'!$108:$108</definedName>
    <definedName name="SP_Section_BalanceSheetRatios">'Summary Page'!$78:$78</definedName>
    <definedName name="SP_Section_CapitalizationSummary">'Summary Page'!$3:$3</definedName>
    <definedName name="SP_Section_CashFlowAnalysis">'Summary Page'!$57:$57</definedName>
    <definedName name="SP_Section_Checks">'Summary Page'!$121:$121</definedName>
    <definedName name="SP_Section_CompanySpecificOperationalData">'Summary Page'!$13:$13</definedName>
    <definedName name="SP_Section_GAAPFinancials">'Summary Page'!$22:$22</definedName>
    <definedName name="SP_Section_LastRow">'Summary Page'!$128:$128</definedName>
    <definedName name="SP_Section_MarginAnalysis">'Summary Page'!$49:$49</definedName>
    <definedName name="SP_Section_NonGAAPFinancials">'Summary Page'!$43:$43</definedName>
    <definedName name="SP_Section_PerShareGrowthMetrics">'Summary Page'!$107:$107</definedName>
    <definedName name="SP_Section_ProfitabilityRatios">'Summary Page'!$85:$85</definedName>
    <definedName name="SP_Section_ValuationMetrics">'Summary Page'!$114:$114</definedName>
    <definedName name="SP_VM_EV_ToEBITDA">'Summary Page'!$116:$116</definedName>
    <definedName name="SP_VM_FCFYield_ToEV">'Summary Page'!$119:$119</definedName>
    <definedName name="SP_VM_FCFYield_ToMktCap">'Summary Page'!$118:$118</definedName>
    <definedName name="SP_VM_P_ToCF">'Summary Page'!$117:$117</definedName>
    <definedName name="SP_VM_P_ToE">'Summary Page'!$115:$115</definedName>
    <definedName name="tb_ConsensusEstimate">Model!$A$811:$AU$821</definedName>
    <definedName name="tb_EntireModel">Model!$A$1:$AU$728</definedName>
    <definedName name="tb_Guidance_FY">Model!$A$805:$AU$809</definedName>
    <definedName name="tb_Guidance_Q">Model!$A$800:$AU$803</definedName>
    <definedName name="tb_KeyOutputs">Model!$A$769:$A$776</definedName>
    <definedName name="tb_KPIs">Model!$A$778:$A$798</definedName>
    <definedName name="tb_StockPrice">Model!$A$823:$AU$853</definedName>
    <definedName name="tb_Tickers">Model!$A$756:$A$761</definedName>
    <definedName name="tb_UpdateLog">'Update Log'!$C$10:$H$19</definedName>
    <definedName name="tb_ValuationToggle">Model!$A$763:$B$767</definedName>
    <definedName name="UL.CSIN">'Update Log'!$H$7</definedName>
    <definedName name="UL.ModelVersion">'Update Log'!$H$8</definedName>
    <definedName name="UL.MRQ">'Update Log'!$F$7</definedName>
    <definedName name="UL.MRQColNum">'Update Log'!$E$7</definedName>
    <definedName name="z_JNYFJ20168_MO_AN__11">"Deleted"</definedName>
    <definedName name="z_JNYFJ20168_MO_AN__20">"Deleted"</definedName>
    <definedName name="z_JNYFJ20168_MO_AN_Acquisitionrelatedcosts">Model!$307:$307</definedName>
    <definedName name="z_JNYFJ20168_MO_AN_Acquisitionrelatedcosts_1">Model!$315:$315</definedName>
    <definedName name="z_JNYFJ20168_MO_AN_Acquisitionrelatedcosts_2">Model!$321:$321</definedName>
    <definedName name="z_JNYFJ20168_MO_AN_AdjustedEBITDA">Model!$310:$310</definedName>
    <definedName name="z_JNYFJ20168_MO_AN_Adjustednetincomeloss">Model!$326:$326</definedName>
    <definedName name="z_JNYFJ20168_MO_AN_Adjustedoperatingincome">Model!$316:$316</definedName>
    <definedName name="z_JNYFJ20168_MO_AN_Amortizationofacquiredintangibles">Model!$314:$314</definedName>
    <definedName name="z_JNYFJ20168_MO_AN_Amortizationofacquiredintangibles_1">Model!$322:$322</definedName>
    <definedName name="z_JNYFJ20168_MO_AN_Depreciationandamortization">Model!$304:$304</definedName>
    <definedName name="z_JNYFJ20168_MO_AN_Dilutiveeffect">Model!$329:$329</definedName>
    <definedName name="z_JNYFJ20168_MO_AN_Incometaxeffectrelatedtotheaboveadjustments">Model!$325:$325</definedName>
    <definedName name="z_JNYFJ20168_MO_AN_Interestexpense">Model!$305:$305</definedName>
    <definedName name="z_JNYFJ20168_MO_AN_Lossonextinguishmentofdebt">Model!$323:$323</definedName>
    <definedName name="z_JNYFJ20168_MO_AN_Lossonfairvalueadjustments_1">Model!$319:$319</definedName>
    <definedName name="z_JNYFJ20168_MO_AN_Lossonfairvalueadjustments1">Model!$303:$303</definedName>
    <definedName name="z_JNYFJ20168_MO_AN_Netloss_3">Model!$302:$302</definedName>
    <definedName name="z_JNYFJ20168_MO_AN_Netloss_4">Model!$318:$318</definedName>
    <definedName name="z_JNYFJ20168_MO_AN_Netlossattributabletocommonstockholders">Model!$328:$328</definedName>
    <definedName name="z_JNYFJ20168_MO_AN_Netlossattributabletocommonstockholders_1">Model!$330:$330</definedName>
    <definedName name="z_JNYFJ20168_MO_AN_Operatingincome">Model!$312:$312</definedName>
    <definedName name="z_JNYFJ20168_MO_AN_Otheradjustments">Model!$324:$324</definedName>
    <definedName name="z_JNYFJ20168_MO_AN_Otherincome">Model!$308:$308</definedName>
    <definedName name="z_JNYFJ20168_MO_AN_Provisionforbenefitfromincometaxes">Model!$309:$309</definedName>
    <definedName name="z_JNYFJ20168_MO_AN_Stockbasedcompensation">Model!$306:$306</definedName>
    <definedName name="z_JNYFJ20168_MO_AN_Stockbasedcompensation_1">Model!$313:$313</definedName>
    <definedName name="z_JNYFJ20168_MO_AN_Stockbasedcompensation_2">Model!$320:$320</definedName>
    <definedName name="z_JNYFJ20168_MO_BlankRow_AN_1">Model!$311:$311</definedName>
    <definedName name="z_JNYFJ20168_MO_BlankRow_AN_2">Model!$317:$317</definedName>
    <definedName name="z_JNYFJ20168_MO_BlankRow_AN_3">Model!$327:$327</definedName>
    <definedName name="z_JNYFJ20168_MO_BlankRow_AN_4">Model!$331:$331</definedName>
    <definedName name="z_JNYFJ20168_MO_BlankRow_BS_3">Model!$675:$675</definedName>
    <definedName name="z_JNYFJ20168_MO_BlankRow_BS_4">Model!$693:$693</definedName>
    <definedName name="z_JNYFJ20168_MO_BlankRow_BS_5">Model!$703:$703</definedName>
    <definedName name="z_JNYFJ20168_MO_BlankRow_BS_6">Model!$714:$714</definedName>
    <definedName name="z_JNYFJ20168_MO_BlankRow_BSS">Model!$466:$466</definedName>
    <definedName name="z_JNYFJ20168_MO_BlankRow_BSS_1">Model!$473:$473</definedName>
    <definedName name="z_JNYFJ20168_MO_BlankRow_BSS_2">Model!$477:$477</definedName>
    <definedName name="z_JNYFJ20168_MO_BlankRow_CCFS">Model!$525:$525</definedName>
    <definedName name="z_JNYFJ20168_MO_BlankRow_CCFS_1">Model!$539:$539</definedName>
    <definedName name="z_JNYFJ20168_MO_BlankRow_CCFS_2">Model!$556:$556</definedName>
    <definedName name="z_JNYFJ20168_MO_BlankRow_CCFS_3">Model!$559:$559</definedName>
    <definedName name="z_JNYFJ20168_MO_BlankRow_CCFS_4">Model!$562:$562</definedName>
    <definedName name="z_JNYFJ20168_MO_BlankRow_CCFS_5">Model!$565:$565</definedName>
    <definedName name="z_JNYFJ20168_MO_BlankRow_CFS_10">Model!$631:$631</definedName>
    <definedName name="z_JNYFJ20168_MO_BlankRow_CFS_4">Model!$589:$589</definedName>
    <definedName name="z_JNYFJ20168_MO_BlankRow_CFS_5">Model!$603:$603</definedName>
    <definedName name="z_JNYFJ20168_MO_BlankRow_CFS_6">Model!$620:$620</definedName>
    <definedName name="z_JNYFJ20168_MO_BlankRow_CFS_7">Model!$623:$623</definedName>
    <definedName name="z_JNYFJ20168_MO_BlankRow_CFS_8">Model!$626:$626</definedName>
    <definedName name="z_JNYFJ20168_MO_BlankRow_CFS_9">Model!$629:$629</definedName>
    <definedName name="z_JNYFJ20168_MO_BlankRow_CFSum">Model!$442:$442</definedName>
    <definedName name="z_JNYFJ20168_MO_BlankRow_CFSum_1">Model!$446:$446</definedName>
    <definedName name="z_JNYFJ20168_MO_BlankRow_CFSum_2">Model!$449:$449</definedName>
    <definedName name="z_JNYFJ20168_MO_BlankRow_CFSum_3">Model!$458:$458</definedName>
    <definedName name="z_JNYFJ20168_MO_BlankRow_DAF">Model!$638:$638</definedName>
    <definedName name="z_JNYFJ20168_MO_BlankRow_DAF_1">Model!$644:$644</definedName>
    <definedName name="z_JNYFJ20168_MO_BlankRow_DAF_2">Model!$649:$649</definedName>
    <definedName name="z_JNYFJ20168_MO_BlankRow_DAF_3">Model!$653:$653</definedName>
    <definedName name="z_JNYFJ20168_MO_BlankRow_IS">Model!$298:$298</definedName>
    <definedName name="z_JNYFJ20168_MO_BlankRow_IS_1">Model!$300:$300</definedName>
    <definedName name="z_JNYFJ20168_MO_BlankRow_MA">Model!$262:$262</definedName>
    <definedName name="z_JNYFJ20168_MO_BlankRow_MA_1">Model!$267:$267</definedName>
    <definedName name="z_JNYFJ20168_MO_BlankRow_MA_2">Model!$271:$271</definedName>
    <definedName name="z_JNYFJ20168_MO_BlankRow_MA_3">Model!$278:$278</definedName>
    <definedName name="z_JNYFJ20168_MO_BlankRow_MA_4">Model!$482:$482</definedName>
    <definedName name="z_JNYFJ20168_MO_BlankRow_MA_5">Model!$488:$488</definedName>
    <definedName name="z_JNYFJ20168_MO_BlankRow_MA_6">Model!$496:$496</definedName>
    <definedName name="z_JNYFJ20168_MO_BlankRow_MA_7">Model!$501:$501</definedName>
    <definedName name="z_JNYFJ20168_MO_BlankRow_OS">Model!$11:$11</definedName>
    <definedName name="z_JNYFJ20168_MO_BlankRow_OS_1">Model!$18:$18</definedName>
    <definedName name="z_JNYFJ20168_MO_BlankRow_OS_10">Model!$75:$75</definedName>
    <definedName name="z_JNYFJ20168_MO_BlankRow_OS_11">Model!$84:$84</definedName>
    <definedName name="z_JNYFJ20168_MO_BlankRow_OS_12">Model!$89:$89</definedName>
    <definedName name="z_JNYFJ20168_MO_BlankRow_OS_13">Model!$98:$98</definedName>
    <definedName name="z_JNYFJ20168_MO_BlankRow_OS_14">Model!$103:$103</definedName>
    <definedName name="z_JNYFJ20168_MO_BlankRow_OS_15">Model!$110:$110</definedName>
    <definedName name="z_JNYFJ20168_MO_BlankRow_OS_16">Model!$119:$119</definedName>
    <definedName name="z_JNYFJ20168_MO_BlankRow_OS_17">Model!$136:$136</definedName>
    <definedName name="z_JNYFJ20168_MO_BlankRow_OS_18">Model!$126:$126</definedName>
    <definedName name="z_JNYFJ20168_MO_BlankRow_OS_19">Model!$130:$130</definedName>
    <definedName name="z_JNYFJ20168_MO_BlankRow_OS_2">Model!$25:$25</definedName>
    <definedName name="z_JNYFJ20168_MO_BlankRow_OS_20">Model!$150:$150</definedName>
    <definedName name="z_JNYFJ20168_MO_BlankRow_OS_21">Model!$152:$152</definedName>
    <definedName name="z_JNYFJ20168_MO_BlankRow_OS_22">Model!$221:$221</definedName>
    <definedName name="z_JNYFJ20168_MO_BlankRow_OS_23">Model!$226:$226</definedName>
    <definedName name="z_JNYFJ20168_MO_BlankRow_OS_24">Model!$235:$235</definedName>
    <definedName name="z_JNYFJ20168_MO_BlankRow_OS_25">Model!$243:$243</definedName>
    <definedName name="z_JNYFJ20168_MO_BlankRow_OS_26">Model!$250:$250</definedName>
    <definedName name="z_JNYFJ20168_MO_BlankRow_OS_27">Model!$258:$258</definedName>
    <definedName name="z_JNYFJ20168_MO_BlankRow_OS_28">Model!$146:$146</definedName>
    <definedName name="z_JNYFJ20168_MO_BlankRow_OS_29">"Deleted"</definedName>
    <definedName name="z_JNYFJ20168_MO_BlankRow_OS_3">Model!$30:$30</definedName>
    <definedName name="z_JNYFJ20168_MO_BlankRow_OS_30">Model!$164:$164</definedName>
    <definedName name="z_JNYFJ20168_MO_BlankRow_OS_31">Model!$418:$418</definedName>
    <definedName name="z_JNYFJ20168_MO_BlankRow_OS_32">Model!$423:$423</definedName>
    <definedName name="z_JNYFJ20168_MO_BlankRow_OS_33">Model!$426:$426</definedName>
    <definedName name="z_JNYFJ20168_MO_BlankRow_OS_34">Model!$428:$428</definedName>
    <definedName name="z_JNYFJ20168_MO_BlankRow_OS_35">Model!$660:$660</definedName>
    <definedName name="z_JNYFJ20168_MO_BlankRow_OS_36">Model!$666:$666</definedName>
    <definedName name="z_JNYFJ20168_MO_BlankRow_OS_37">Model!$169:$169</definedName>
    <definedName name="z_JNYFJ20168_MO_BlankRow_OS_38">Model!$173:$173</definedName>
    <definedName name="z_JNYFJ20168_MO_BlankRow_OS_39">Model!$178:$178</definedName>
    <definedName name="z_JNYFJ20168_MO_BlankRow_OS_4">Model!$33:$33</definedName>
    <definedName name="z_JNYFJ20168_MO_BlankRow_OS_40">Model!$181:$181</definedName>
    <definedName name="z_JNYFJ20168_MO_BlankRow_OS_41">Model!$188:$188</definedName>
    <definedName name="z_JNYFJ20168_MO_BlankRow_OS_42">Model!$190:$190</definedName>
    <definedName name="z_JNYFJ20168_MO_BlankRow_OS_43">"Deleted"</definedName>
    <definedName name="z_JNYFJ20168_MO_BlankRow_OS_44">Model!$208:$208</definedName>
    <definedName name="z_JNYFJ20168_MO_BlankRow_OS_45">Model!$212:$212</definedName>
    <definedName name="z_JNYFJ20168_MO_BlankRow_OS_46">Model!$158:$158</definedName>
    <definedName name="z_JNYFJ20168_MO_BlankRow_OS_47">"Deleted"</definedName>
    <definedName name="z_JNYFJ20168_MO_BlankRow_OS_48">Model!$217:$217</definedName>
    <definedName name="z_JNYFJ20168_MO_BlankRow_OS_49">Model!$194:$194</definedName>
    <definedName name="z_JNYFJ20168_MO_BlankRow_OS_5">Model!$38:$38</definedName>
    <definedName name="z_JNYFJ20168_MO_BlankRow_OS_50">Model!$196:$196</definedName>
    <definedName name="z_JNYFJ20168_MO_BlankRow_OS_6">Model!$46:$46</definedName>
    <definedName name="z_JNYFJ20168_MO_BlankRow_OS_7">Model!$56:$56</definedName>
    <definedName name="z_JNYFJ20168_MO_BlankRow_OS_8">Model!$61:$61</definedName>
    <definedName name="z_JNYFJ20168_MO_BlankRow_OS_9">Model!$70:$70</definedName>
    <definedName name="z_JNYFJ20168_MO_BlankRow_RIS">Model!$335:$335</definedName>
    <definedName name="z_JNYFJ20168_MO_BlankRow_RIS_1">Model!$341:$341</definedName>
    <definedName name="z_JNYFJ20168_MO_BlankRow_RIS_2">Model!$361:$361</definedName>
    <definedName name="z_JNYFJ20168_MO_BlankRow_RIS_3">Model!$366:$366</definedName>
    <definedName name="z_JNYFJ20168_MO_BlankRow_RIS_4">Model!$393:$393</definedName>
    <definedName name="z_JNYFJ20168_MO_BlankRow_RIS_5">Model!$398:$398</definedName>
    <definedName name="z_JNYFJ20168_MO_BlankRow_RIS_6">Model!$403:$403</definedName>
    <definedName name="z_JNYFJ20168_MO_BlankRow_RIS_7">Model!$407:$407</definedName>
    <definedName name="z_JNYFJ20168_MO_BlankRow_SNA">Model!$727:$727</definedName>
    <definedName name="z_JNYFJ20168_MO_BlankRow_SNA_1">Model!$729:$729</definedName>
    <definedName name="z_JNYFJ20168_MO_BlankRow_SNA_10">Model!$803:$803</definedName>
    <definedName name="z_JNYFJ20168_MO_BlankRow_SNA_11">Model!$804:$804</definedName>
    <definedName name="z_JNYFJ20168_MO_BlankRow_SNA_12">Model!$809:$809</definedName>
    <definedName name="z_JNYFJ20168_MO_BlankRow_SNA_13">Model!$810:$810</definedName>
    <definedName name="z_JNYFJ20168_MO_BlankRow_SNA_14">Model!$821:$821</definedName>
    <definedName name="z_JNYFJ20168_MO_BlankRow_SNA_15">Model!$822:$822</definedName>
    <definedName name="z_JNYFJ20168_MO_BlankRow_SNA_16">Model!$832:$832</definedName>
    <definedName name="z_JNYFJ20168_MO_BlankRow_SNA_17">Model!$839:$839</definedName>
    <definedName name="z_JNYFJ20168_MO_BlankRow_SNA_18">Model!$846:$846</definedName>
    <definedName name="z_JNYFJ20168_MO_BlankRow_SNA_19">Model!$853:$853</definedName>
    <definedName name="z_JNYFJ20168_MO_BlankRow_SNA_2">Model!$753:$753</definedName>
    <definedName name="z_JNYFJ20168_MO_BlankRow_SNA_20">Model!$857:$857</definedName>
    <definedName name="z_JNYFJ20168_MO_BlankRow_SNA_21">Model!$858:$858</definedName>
    <definedName name="z_JNYFJ20168_MO_BlankRow_SNA_22">Model!$876:$876</definedName>
    <definedName name="z_JNYFJ20168_MO_BlankRow_SNA_3">Model!$755:$755</definedName>
    <definedName name="z_JNYFJ20168_MO_BlankRow_SNA_4">Model!$762:$762</definedName>
    <definedName name="z_JNYFJ20168_MO_BlankRow_SNA_5">Model!$768:$768</definedName>
    <definedName name="z_JNYFJ20168_MO_BlankRow_SNA_6">Model!$776:$776</definedName>
    <definedName name="z_JNYFJ20168_MO_BlankRow_SNA_7">Model!$777:$777</definedName>
    <definedName name="z_JNYFJ20168_MO_BlankRow_SNA_8">Model!$798:$798</definedName>
    <definedName name="z_JNYFJ20168_MO_BlankRow_SNA_9">Model!$799:$799</definedName>
    <definedName name="z_JNYFJ20168_MO_BS_Accountspayable">Model!$695:$695</definedName>
    <definedName name="z_JNYFJ20168_MO_BS_Accountsreceivable">Model!$672:$672</definedName>
    <definedName name="z_JNYFJ20168_MO_BS_Accruedliabilities">Model!$696:$696</definedName>
    <definedName name="z_JNYFJ20168_MO_BS_Accumulateddeficit">Model!$723:$723</definedName>
    <definedName name="z_JNYFJ20168_MO_BS_Accumulatedothercomprehensiveloss">Model!$722:$722</definedName>
    <definedName name="z_JNYFJ20168_MO_BS_Additionalpaidincapital">Model!$721:$721</definedName>
    <definedName name="z_JNYFJ20168_MO_BS_Cashandcashequivalents">Model!$669:$669</definedName>
    <definedName name="z_JNYFJ20168_MO_BS_ClassAcommonstock">Model!$718:$718</definedName>
    <definedName name="z_JNYFJ20168_MO_BS_ClassBcommonstock">Model!$719:$719</definedName>
    <definedName name="z_JNYFJ20168_MO_BS_Constructioninprogress">Model!$683:$683</definedName>
    <definedName name="z_JNYFJ20168_MO_BS_Datacenterequipmentandleaseholdimprovements">Model!$681:$681</definedName>
    <definedName name="z_JNYFJ20168_MO_BS_Debt">Model!$697:$697</definedName>
    <definedName name="z_JNYFJ20168_MO_BS_Debt_1">Model!$705:$705</definedName>
    <definedName name="z_JNYFJ20168_MO_BS_Deferredrevenue">Model!$698:$698</definedName>
    <definedName name="z_JNYFJ20168_MO_BS_Deferredrevenue_1">Model!$707:$707</definedName>
    <definedName name="z_JNYFJ20168_MO_BS_Deferredtaxliabilities">Model!$710:$710</definedName>
    <definedName name="z_JNYFJ20168_MO_BS_Derivativeandwarrantliabilities">Model!$706:$706</definedName>
    <definedName name="z_JNYFJ20168_MO_BS_Financeleaseliabilities">Model!$700:$700</definedName>
    <definedName name="z_JNYFJ20168_MO_BS_Financeleaseliabilities_1">Model!$709:$709</definedName>
    <definedName name="z_JNYFJ20168_MO_BS_Furniturefixtures">Model!$682:$682</definedName>
    <definedName name="z_JNYFJ20168_MO_BS_Goodwill">Model!$689:$689</definedName>
    <definedName name="z_JNYFJ20168_MO_BS_Grosspropertyandequipment">Model!$684:$684</definedName>
    <definedName name="z_JNYFJ20168_MO_BS_Intangibleassets">Model!$688:$688</definedName>
    <definedName name="z_JNYFJ20168_MO_BS_Lessaccumulateddepreciationandamortization">Model!$685:$685</definedName>
    <definedName name="z_JNYFJ20168_MO_BS_Marketablesecurities">Model!$671:$671</definedName>
    <definedName name="z_JNYFJ20168_MO_BS_NCI">Model!$725:$725</definedName>
    <definedName name="z_JNYFJ20168_MO_BS_Operatingleaseliabilities">Model!$699:$699</definedName>
    <definedName name="z_JNYFJ20168_MO_BS_Operatingleaseliabilities_1">Model!$708:$708</definedName>
    <definedName name="z_JNYFJ20168_MO_BS_Operatingleaserightofuseassets">Model!$687:$687</definedName>
    <definedName name="z_JNYFJ20168_MO_BS_Othercurrentliabilities">Model!$701:$701</definedName>
    <definedName name="z_JNYFJ20168_MO_BS_Othernoncurrentassets">Model!$690:$690</definedName>
    <definedName name="z_JNYFJ20168_MO_BS_Othernoncurrentliabilities">Model!$711:$711</definedName>
    <definedName name="z_JNYFJ20168_MO_BS_Prepaidexpensesandothercurrentassets">Model!$673:$673</definedName>
    <definedName name="z_JNYFJ20168_MO_BS_Property">Model!$686:$686</definedName>
    <definedName name="z_JNYFJ20168_MO_BS_RedeemableClassAcommonstock">Model!$717:$717</definedName>
    <definedName name="z_JNYFJ20168_MO_BS_Redeemableconvertiblepreferredstock">Model!$716:$716</definedName>
    <definedName name="z_JNYFJ20168_MO_BS_Restrictedcashandcashequivalents">Model!$670:$670</definedName>
    <definedName name="z_JNYFJ20168_MO_BS_Restrictedcashandcashequivalents_1">Model!$677:$677</definedName>
    <definedName name="z_JNYFJ20168_MO_BS_Restrictedmarketablesecurities">Model!$678:$678</definedName>
    <definedName name="z_JNYFJ20168_MO_BS_Software">Model!$680:$680</definedName>
    <definedName name="z_JNYFJ20168_MO_BS_Technologyequipment">Model!$679:$679</definedName>
    <definedName name="z_JNYFJ20168_MO_BS_TotalAssets">Model!$692:$692</definedName>
    <definedName name="z_JNYFJ20168_MO_BS_TotalCurrentAssets">Model!$674:$674</definedName>
    <definedName name="z_JNYFJ20168_MO_BS_TotalCurrentLiabilities">Model!$702:$702</definedName>
    <definedName name="z_JNYFJ20168_MO_BS_TotalLiabilities">Model!$713:$713</definedName>
    <definedName name="z_JNYFJ20168_MO_BS_TotalLiabilitiesSE">Model!$726:$726</definedName>
    <definedName name="z_JNYFJ20168_MO_BS_TotalNonCurrentAssets">Model!$691:$691</definedName>
    <definedName name="z_JNYFJ20168_MO_BS_TotalNonCurrentliabilities">Model!$712:$712</definedName>
    <definedName name="z_JNYFJ20168_MO_BS_TotalSE">Model!$724:$724</definedName>
    <definedName name="z_JNYFJ20168_MO_BS_Treasurystock">Model!$720:$720</definedName>
    <definedName name="z_JNYFJ20168_MO_BSS_Cash">Model!$460:$460</definedName>
    <definedName name="z_JNYFJ20168_MO_BSS_Debt">Model!$463:$463</definedName>
    <definedName name="z_JNYFJ20168_MO_BSS_EBITDANetInterestExpense">Model!$474:$474</definedName>
    <definedName name="z_JNYFJ20168_MO_BSS_EffectiveInterestRateonCash">Model!$470:$470</definedName>
    <definedName name="z_JNYFJ20168_MO_BSS_EffectiveInterestRateonDebt">Model!$468:$468</definedName>
    <definedName name="z_JNYFJ20168_MO_BSS_EffectiveNetInterestRateonDebt">Model!$472:$472</definedName>
    <definedName name="z_JNYFJ20168_MO_BSS_InterestExpense">Model!$467:$467</definedName>
    <definedName name="z_JNYFJ20168_MO_BSS_InterestIncome">Model!$469:$469</definedName>
    <definedName name="z_JNYFJ20168_MO_BSS_LTDebt">Model!$462:$462</definedName>
    <definedName name="z_JNYFJ20168_MO_BSS_NetDebt">Model!$465:$465</definedName>
    <definedName name="z_JNYFJ20168_MO_BSS_NetDebtCashFlow">Model!$476:$476</definedName>
    <definedName name="z_JNYFJ20168_MO_BSS_NetDebtEBITDA">Model!$475:$475</definedName>
    <definedName name="z_JNYFJ20168_MO_BSS_NetInterestExpenseIncome">Model!$471:$471</definedName>
    <definedName name="z_JNYFJ20168_MO_BSS_OperatingLeaseLiabilities">Model!$464:$464</definedName>
    <definedName name="z_JNYFJ20168_MO_BSS_STDebt">Model!$461:$461</definedName>
    <definedName name="z_JNYFJ20168_MO_CCFS_Accountspayableandaccruedexpenses">Model!$519:$519</definedName>
    <definedName name="z_JNYFJ20168_MO_CCFS_Accountsreceivable">Model!$517:$517</definedName>
    <definedName name="z_JNYFJ20168_MO_CCFS_Acquisition">Model!$535:$535</definedName>
    <definedName name="z_JNYFJ20168_MO_CCFS_Amortizationofdebtdiscountsandissuancecosts">Model!$509:$509</definedName>
    <definedName name="z_JNYFJ20168_MO_CCFS_BeginningCashBalance">Model!$560:$560</definedName>
    <definedName name="z_JNYFJ20168_MO_CCFS_Cashpaidforinterest">Model!$563:$563</definedName>
    <definedName name="z_JNYFJ20168_MO_CCFS_Cashpaidfortaxes">Model!$564:$564</definedName>
    <definedName name="z_JNYFJ20168_MO_CCFS_CFObeforeWC">Model!$516:$516</definedName>
    <definedName name="z_JNYFJ20168_MO_CCFS_Commonstockrepurchased">Model!$548:$548</definedName>
    <definedName name="z_JNYFJ20168_MO_CCFS_Debtextinguishmentloss">Model!$512:$512</definedName>
    <definedName name="z_JNYFJ20168_MO_CCFS_Deferredincometaxes">Model!$513:$513</definedName>
    <definedName name="z_JNYFJ20168_MO_CCFS_Deferredofferingcostspaid">Model!$553:$553</definedName>
    <definedName name="z_JNYFJ20168_MO_CCFS_Deferredrevenue">Model!$520:$520</definedName>
    <definedName name="z_JNYFJ20168_MO_CCFS_Depreciationandamortization">Model!$507:$507</definedName>
    <definedName name="z_JNYFJ20168_MO_CCFS_Divestiture">Model!$536:$536</definedName>
    <definedName name="z_JNYFJ20168_MO_CCFS_Dividendpaid">Model!$551:$551</definedName>
    <definedName name="z_JNYFJ20168_MO_CCFS_EndingCashBalance">Model!$561:$561</definedName>
    <definedName name="z_JNYFJ20168_MO_CCFS_FX">Model!$557:$557</definedName>
    <definedName name="z_JNYFJ20168_MO_CCFS_Issuanceofcommonstock">Model!$549:$549</definedName>
    <definedName name="z_JNYFJ20168_MO_CCFS_Issuanceofnotesreceivable">Model!$533:$533</definedName>
    <definedName name="z_JNYFJ20168_MO_CCFS_Issuanceofredeemableconvertiblepreferredstock">Model!$545:$545</definedName>
    <definedName name="z_JNYFJ20168_MO_CCFS_Leaseliabilities">Model!$521:$521</definedName>
    <definedName name="z_JNYFJ20168_MO_CCFS_Lossonfairvalueadjustments">Model!$510:$510</definedName>
    <definedName name="z_JNYFJ20168_MO_CCFS_Maturitiesofmarketablesecurities">Model!$529:$529</definedName>
    <definedName name="z_JNYFJ20168_MO_CCFS_Netcashprovidedbyinvestingactivitiesdiscontinuedoperations">Model!$537:$537</definedName>
    <definedName name="z_JNYFJ20168_MO_CCFS_Netcashprovidedbyoperatingactivitiesdiscontinuedoperations">Model!$515:$515</definedName>
    <definedName name="z_JNYFJ20168_MO_CCFS_NetCFF">Model!$555:$555</definedName>
    <definedName name="z_JNYFJ20168_MO_CCFS_NetCFI">Model!$538:$538</definedName>
    <definedName name="z_JNYFJ20168_MO_CCFS_NetCFO">Model!$524:$524</definedName>
    <definedName name="z_JNYFJ20168_MO_CCFS_NetChangeinCashBalance">Model!$558:$558</definedName>
    <definedName name="z_JNYFJ20168_MO_CCFS_Netloss">Model!$504:$504</definedName>
    <definedName name="z_JNYFJ20168_MO_CCFS_Netlossfromcontinuingoperations">Model!$506:$506</definedName>
    <definedName name="z_JNYFJ20168_MO_CCFS_Netlossfromdiscontinuedoperations">Model!$505:$505</definedName>
    <definedName name="z_JNYFJ20168_MO_CCFS_Noncashleaseexpense">Model!$508:$508</definedName>
    <definedName name="z_JNYFJ20168_MO_CCFS_Otherfinancingactivities">Model!$554:$554</definedName>
    <definedName name="z_JNYFJ20168_MO_CCFS_Otherinvestingactivities">Model!$534:$534</definedName>
    <definedName name="z_JNYFJ20168_MO_CCFS_Otherliabilities">Model!$523:$523</definedName>
    <definedName name="z_JNYFJ20168_MO_CCFS_Othernoncashreconcilingitems">Model!$514:$514</definedName>
    <definedName name="z_JNYFJ20168_MO_CCFS_Othernoncurrentassets">Model!$522:$522</definedName>
    <definedName name="z_JNYFJ20168_MO_CCFS_Paymentofdebtissuancecosts">Model!$544:$544</definedName>
    <definedName name="z_JNYFJ20168_MO_CCFS_PaymentoftaxwithholdingsonsettlementofRSUs">Model!$552:$552</definedName>
    <definedName name="z_JNYFJ20168_MO_CCFS_Prepaidexpensesandothercurrentassets">Model!$518:$518</definedName>
    <definedName name="z_JNYFJ20168_MO_CCFS_Proceedsfromexerciseofstockoptions">Model!$547:$547</definedName>
    <definedName name="z_JNYFJ20168_MO_CCFS_Proceedsfromissuanceofcommonstock">Model!$550:$550</definedName>
    <definedName name="z_JNYFJ20168_MO_CCFS_Proceedsfromissuanceofconvertibledebt">Model!$542:$542</definedName>
    <definedName name="z_JNYFJ20168_MO_CCFS_Proceedsfromissuanceofdebt">Model!$541:$541</definedName>
    <definedName name="z_JNYFJ20168_MO_CCFS_Purchaseofpropertyandequipment">Model!$527:$527</definedName>
    <definedName name="z_JNYFJ20168_MO_CCFS_Purchaseofrestrictedmarketablesecurities">Model!$530:$530</definedName>
    <definedName name="z_JNYFJ20168_MO_CCFS_Purchaseofstrategicinvestments">Model!$531:$531</definedName>
    <definedName name="z_JNYFJ20168_MO_CCFS_Redeemableconvertiblepreferredstockcashdividendspaid">Model!$546:$546</definedName>
    <definedName name="z_JNYFJ20168_MO_CCFS_Repaymentsofdebt">Model!$543:$543</definedName>
    <definedName name="z_JNYFJ20168_MO_CCFS_Saleofavailableforsalemarketablesecurities">Model!$528:$528</definedName>
    <definedName name="z_JNYFJ20168_MO_CCFS_Saleofwarrantsreceivedasleaseincentive">Model!$532:$532</definedName>
    <definedName name="z_JNYFJ20168_MO_CCFS_Stockbasedcompensation">Model!$511:$511</definedName>
    <definedName name="z_JNYFJ20168_MO_CFS_Accountspayableandaccruedexpenses">Model!$583:$583</definedName>
    <definedName name="z_JNYFJ20168_MO_CFS_Accountsreceivable">Model!$581:$581</definedName>
    <definedName name="z_JNYFJ20168_MO_CFS_Acquisition">Model!$599:$599</definedName>
    <definedName name="z_JNYFJ20168_MO_CFS_Amortizationofdebtdiscountsandissuancecosts">Model!$573:$573</definedName>
    <definedName name="z_JNYFJ20168_MO_CFS_BeginningCashBalance">Model!$624:$624</definedName>
    <definedName name="z_JNYFJ20168_MO_CFS_Cashpaidforinterest">Model!$627:$627</definedName>
    <definedName name="z_JNYFJ20168_MO_CFS_Cashpaidfortaxes">Model!$628:$628</definedName>
    <definedName name="z_JNYFJ20168_MO_CFS_CFObeforeWC">Model!$580:$580</definedName>
    <definedName name="z_JNYFJ20168_MO_CFS_Commonstockrepurchased">Model!$612:$612</definedName>
    <definedName name="z_JNYFJ20168_MO_CFS_Debtextinguishmentloss">Model!$576:$576</definedName>
    <definedName name="z_JNYFJ20168_MO_CFS_Deferredincometaxes">Model!$577:$577</definedName>
    <definedName name="z_JNYFJ20168_MO_CFS_Deferredofferingcostspaid">Model!$617:$617</definedName>
    <definedName name="z_JNYFJ20168_MO_CFS_Deferredrevenue">Model!$584:$584</definedName>
    <definedName name="z_JNYFJ20168_MO_CFS_Depreciationandamortization">Model!$571:$571</definedName>
    <definedName name="z_JNYFJ20168_MO_CFS_Divestiture">Model!$600:$600</definedName>
    <definedName name="z_JNYFJ20168_MO_CFS_Dividendpaid">Model!$615:$615</definedName>
    <definedName name="z_JNYFJ20168_MO_CFS_EndingCashBalance">Model!$625:$625</definedName>
    <definedName name="z_JNYFJ20168_MO_CFS_FX">Model!$621:$621</definedName>
    <definedName name="z_JNYFJ20168_MO_CFS_Issuanceofcommonstock">Model!$613:$613</definedName>
    <definedName name="z_JNYFJ20168_MO_CFS_Issuanceofnotesreceivable">Model!$597:$597</definedName>
    <definedName name="z_JNYFJ20168_MO_CFS_Issuanceofredeemableconvertiblepreferredstock">Model!$609:$609</definedName>
    <definedName name="z_JNYFJ20168_MO_CFS_Leaseliabilities">Model!$585:$585</definedName>
    <definedName name="z_JNYFJ20168_MO_CFS_Lossonfairvalueadjustments">Model!$574:$574</definedName>
    <definedName name="z_JNYFJ20168_MO_CFS_Maturitiesofmarketablesecurities">Model!$593:$593</definedName>
    <definedName name="z_JNYFJ20168_MO_CFS_Netcashprovidedbyinvestingactivitiesdiscontinuedoperations">Model!$601:$601</definedName>
    <definedName name="z_JNYFJ20168_MO_CFS_Netcashprovidedbyoperatingactivitiesdiscontinuedoperations">Model!$579:$579</definedName>
    <definedName name="z_JNYFJ20168_MO_CFS_NetCFF">Model!$619:$619</definedName>
    <definedName name="z_JNYFJ20168_MO_CFS_NetCFI">Model!$602:$602</definedName>
    <definedName name="z_JNYFJ20168_MO_CFS_NetCFO">Model!$588:$588</definedName>
    <definedName name="z_JNYFJ20168_MO_CFS_NetChangeinCashBalance">Model!$622:$622</definedName>
    <definedName name="z_JNYFJ20168_MO_CFS_Netloss">Model!$568:$568</definedName>
    <definedName name="z_JNYFJ20168_MO_CFS_Netlossfromcontinuingoperations">Model!$570:$570</definedName>
    <definedName name="z_JNYFJ20168_MO_CFS_Netlossfromdiscontinuedoperations">Model!$569:$569</definedName>
    <definedName name="z_JNYFJ20168_MO_CFS_Noncashleaseexpense">Model!$572:$572</definedName>
    <definedName name="z_JNYFJ20168_MO_CFS_Otherfinancingactivities">Model!$618:$618</definedName>
    <definedName name="z_JNYFJ20168_MO_CFS_Otherinvestingactivities">Model!$598:$598</definedName>
    <definedName name="z_JNYFJ20168_MO_CFS_Otherliabilities">Model!$587:$587</definedName>
    <definedName name="z_JNYFJ20168_MO_CFS_Othernoncashreconcilingitems">Model!$578:$578</definedName>
    <definedName name="z_JNYFJ20168_MO_CFS_Othernoncurrentassets">Model!$586:$586</definedName>
    <definedName name="z_JNYFJ20168_MO_CFS_Paymentofdebtissuancecosts">Model!$608:$608</definedName>
    <definedName name="z_JNYFJ20168_MO_CFS_PaymentoftaxwithholdingsonsettlementofRSUs">Model!$616:$616</definedName>
    <definedName name="z_JNYFJ20168_MO_CFS_Prepaidexpensesandothercurrentassets">Model!$582:$582</definedName>
    <definedName name="z_JNYFJ20168_MO_CFS_Proceedsfromexerciseofstockoptions">Model!$611:$611</definedName>
    <definedName name="z_JNYFJ20168_MO_CFS_Proceedsfromissuanceofcommonstock">Model!$614:$614</definedName>
    <definedName name="z_JNYFJ20168_MO_CFS_Proceedsfromissuanceofconvertibledebt">Model!$606:$606</definedName>
    <definedName name="z_JNYFJ20168_MO_CFS_Proceedsfromissuanceofdebt">Model!$605:$605</definedName>
    <definedName name="z_JNYFJ20168_MO_CFS_Purchaseofpropertyandequipment">Model!$591:$591</definedName>
    <definedName name="z_JNYFJ20168_MO_CFS_Purchaseofrestrictedmarketablesecurities">Model!$594:$594</definedName>
    <definedName name="z_JNYFJ20168_MO_CFS_Purchaseofstrategicinvestments">Model!$595:$595</definedName>
    <definedName name="z_JNYFJ20168_MO_CFS_Redeemableconvertiblepreferredstockcashdividendspaid">Model!$610:$610</definedName>
    <definedName name="z_JNYFJ20168_MO_CFS_Repaymentsofdebt">Model!$607:$607</definedName>
    <definedName name="z_JNYFJ20168_MO_CFS_Saleofavailableforsalemarketablesecurities">Model!$592:$592</definedName>
    <definedName name="z_JNYFJ20168_MO_CFS_Saleofwarrantsreceivedasleaseincentive">Model!$596:$596</definedName>
    <definedName name="z_JNYFJ20168_MO_CFS_Stockbasedcompensation">Model!$575:$575</definedName>
    <definedName name="z_JNYFJ20168_MO_CFSum_Acquisitions">Model!$438:$438</definedName>
    <definedName name="z_JNYFJ20168_MO_CFSum_Capex">Model!$436:$436</definedName>
    <definedName name="z_JNYFJ20168_MO_CFSum_CashFlowPerDilutedShare_1">Model!$434:$434</definedName>
    <definedName name="z_JNYFJ20168_MO_CFSum_CashFlowPerDilutedSharebeforeWC">Model!$433:$433</definedName>
    <definedName name="z_JNYFJ20168_MO_CFSum_ChangeinWorkingCapital">Model!$431:$431</definedName>
    <definedName name="z_JNYFJ20168_MO_CFSum_ConsensusEstimatesCapex">Model!$437:$437</definedName>
    <definedName name="z_JNYFJ20168_MO_CFSum_ConsensusEstimatesCashFlowPerDilutedShare">Model!$435:$435</definedName>
    <definedName name="z_JNYFJ20168_MO_CFSum_Divestiture">Model!$439:$439</definedName>
    <definedName name="z_JNYFJ20168_MO_CFSum_DividendPaid">Model!$440:$440</definedName>
    <definedName name="z_JNYFJ20168_MO_CFSum_DividendPerShare">Model!$441:$441</definedName>
    <definedName name="z_JNYFJ20168_MO_CFSum_EstimatedSharePriceforIssuanceBuybacks">Model!$445:$445</definedName>
    <definedName name="z_JNYFJ20168_MO_CFSum_FCF_4">Model!$454:$454</definedName>
    <definedName name="z_JNYFJ20168_MO_CFSum_FCFbeforeWC">Model!$450:$450</definedName>
    <definedName name="z_JNYFJ20168_MO_CFSum_FCFbeforeWCPostDiv">Model!$451:$451</definedName>
    <definedName name="z_JNYFJ20168_MO_CFSum_FCFbeforeWCPostDiv_1">Model!$452:$452</definedName>
    <definedName name="z_JNYFJ20168_MO_CFSum_FCFbeforeWCPostDivDebtBuyback">Model!$453:$453</definedName>
    <definedName name="z_JNYFJ20168_MO_CFSum_FCFPostDiv">Model!$455:$455</definedName>
    <definedName name="z_JNYFJ20168_MO_CFSum_FCFPostDiv_1">Model!$456:$456</definedName>
    <definedName name="z_JNYFJ20168_MO_CFSum_FCFPostDivDebtBuyback">Model!$457:$457</definedName>
    <definedName name="z_JNYFJ20168_MO_CFSum_NetDebtIssuanceRepayment">Model!$443:$443</definedName>
    <definedName name="z_JNYFJ20168_MO_CFSum_NetShareIssuanceBuybacks">Model!$444:$444</definedName>
    <definedName name="z_JNYFJ20168_MO_CFSum_OperatingCashFlowafterWC">Model!$432:$432</definedName>
    <definedName name="z_JNYFJ20168_MO_CFSum_OperatingCashFlowbeforeWC">Model!$430:$430</definedName>
    <definedName name="z_JNYFJ20168_MO_CFSum_SBCexpense">Model!$447:$447</definedName>
    <definedName name="z_JNYFJ20168_MO_CFSum_SBCexpenseasofrevenue">Model!$448:$448</definedName>
    <definedName name="z_JNYFJ20168_MO_Checks_CFS_CFCheck">Model!$630:$630</definedName>
    <definedName name="z_JNYFJ20168_MO_Checks_IS_ISCheck">Model!$299:$299</definedName>
    <definedName name="z_JNYFJ20168_MO_Checks_SNA_AdjustedEBITDAOEFRIS">Model!$742:$742</definedName>
    <definedName name="z_JNYFJ20168_MO_Checks_SNA_AdjustedNumbersFYSumofQs">Model!$743:$743</definedName>
    <definedName name="z_JNYFJ20168_MO_Checks_SNA_BalanceSheetisnotRepeated">Model!$738:$738</definedName>
    <definedName name="z_JNYFJ20168_MO_Checks_SNA_BSCheck">Model!$728:$728</definedName>
    <definedName name="z_JNYFJ20168_MO_Checks_SNA_CashFlowisnotRepeated">Model!$736:$736</definedName>
    <definedName name="z_JNYFJ20168_MO_Checks_SNA_CashFlowSummarySignsareCorrect">Model!$745:$745</definedName>
    <definedName name="z_JNYFJ20168_MO_Checks_SNA_CFFsubtotalFYSumofQs">Model!$751:$751</definedName>
    <definedName name="z_JNYFJ20168_MO_Checks_SNA_CFIsubtotalFYSumofQs">Model!$750:$750</definedName>
    <definedName name="z_JNYFJ20168_MO_Checks_SNA_CFOBeforeWCsubtotalFYSumofQs">Model!$748:$748</definedName>
    <definedName name="z_JNYFJ20168_MO_Checks_SNA_CFOsubtotalFYSumofQs">Model!$749:$749</definedName>
    <definedName name="z_JNYFJ20168_MO_Checks_SNA_CFSummaryFYSumofQs">Model!$752:$752</definedName>
    <definedName name="z_JNYFJ20168_MO_Checks_SNA_EndingCFEndingCumulativeCF">Model!$739:$739</definedName>
    <definedName name="z_JNYFJ20168_MO_Checks_SNA_IncomeStatementisnotRepeated">Model!$737:$737</definedName>
    <definedName name="z_JNYFJ20168_MO_Checks_SNA_MarginisUpdated">Model!$741:$741</definedName>
    <definedName name="z_JNYFJ20168_MO_Checks_SNA_RISAdjustedNIFYSumofQs">Model!$747:$747</definedName>
    <definedName name="z_JNYFJ20168_MO_Checks_SNA_RISNIFYSumofQs">Model!$746:$746</definedName>
    <definedName name="z_JNYFJ20168_MO_DAF_AmortizationaspercentageofIntangiblesBoP">Model!$646:$646</definedName>
    <definedName name="z_JNYFJ20168_MO_DAF_Amortizationofintangibles">Model!$640:$640</definedName>
    <definedName name="z_JNYFJ20168_MO_DAF_Capexofintangibles">Model!$641:$641</definedName>
    <definedName name="z_JNYFJ20168_MO_DAF_CapexofPPE">Model!$635:$635</definedName>
    <definedName name="z_JNYFJ20168_MO_DAF_CapexofPPEandIntangibles">Model!$651:$651</definedName>
    <definedName name="z_JNYFJ20168_MO_DAF_DAofPPEandIntangibles">Model!$650:$650</definedName>
    <definedName name="z_JNYFJ20168_MO_DAF_DepreciationaspercentageofPPEBoP">Model!$645:$645</definedName>
    <definedName name="z_JNYFJ20168_MO_DAF_Depreciationoffixedassets">Model!$634:$634</definedName>
    <definedName name="z_JNYFJ20168_MO_DAF_Impliedlifeoffixedassets">Model!$647:$647</definedName>
    <definedName name="z_JNYFJ20168_MO_DAF_Impliedlifeofintangibles">Model!$648:$648</definedName>
    <definedName name="z_JNYFJ20168_MO_DAF_IntangiblesBoP">Model!$639:$639</definedName>
    <definedName name="z_JNYFJ20168_MO_DAF_IntangiblesEoP">Model!$643:$643</definedName>
    <definedName name="z_JNYFJ20168_MO_DAF_Othernetadditionstointangibles">Model!$642:$642</definedName>
    <definedName name="z_JNYFJ20168_MO_DAF_OthernetadditionstoPPE">Model!$636:$636</definedName>
    <definedName name="z_JNYFJ20168_MO_DAF_Percentageofcapexallocatedtointangibleassets">Model!$652:$652</definedName>
    <definedName name="z_JNYFJ20168_MO_DAF_PPEBoP">Model!$633:$633</definedName>
    <definedName name="z_JNYFJ20168_MO_DAF_PPEEoP">Model!$637:$637</definedName>
    <definedName name="z_JNYFJ20168_MO_Header_HeaderRow">Model!$1:$1</definedName>
    <definedName name="z_JNYFJ20168_MO_Header_HeaderRow_1">Model!$2:$2</definedName>
    <definedName name="z_JNYFJ20168_MO_Header_HeaderRow_2">Model!$3:$3</definedName>
    <definedName name="z_JNYFJ20168_MO_Header_HeaderRow_3">Model!$4:$4</definedName>
    <definedName name="z_JNYFJ20168_MO_Header_HeaderRow_4">Model!$5:$5</definedName>
    <definedName name="z_JNYFJ20168_MO_IS_Costofrevenue">Model!$281:$281</definedName>
    <definedName name="z_JNYFJ20168_MO_IS_Currenttax">Model!$290:$290</definedName>
    <definedName name="z_JNYFJ20168_MO_IS_Deferredtax">Model!$291:$291</definedName>
    <definedName name="z_JNYFJ20168_MO_IS_DividendsandaccretiononSeriesCredeemableconvertiblepreferredstock">Model!$296:$296</definedName>
    <definedName name="z_JNYFJ20168_MO_IS_Generalandadministrative">Model!$284:$284</definedName>
    <definedName name="z_JNYFJ20168_MO_IS_Interestexpense">Model!$287:$287</definedName>
    <definedName name="z_JNYFJ20168_MO_IS_Lossbeforeprovisionforbenefitfromincometaxes">Model!$289:$289</definedName>
    <definedName name="z_JNYFJ20168_MO_IS_Lossonfairvalueadjustments">Model!$286:$286</definedName>
    <definedName name="z_JNYFJ20168_MO_IS_Netloss_2">Model!$295:$295</definedName>
    <definedName name="z_JNYFJ20168_MO_IS_Netlossattributabletocommonstockholders">Model!$297:$297</definedName>
    <definedName name="z_JNYFJ20168_MO_IS_Netlossfromcontinuingoperations">Model!$293:$293</definedName>
    <definedName name="z_JNYFJ20168_MO_IS_Netlossfromdiscontinuedoperations">Model!$294:$294</definedName>
    <definedName name="z_JNYFJ20168_MO_IS_Operatingincomeloss">Model!$285:$285</definedName>
    <definedName name="z_JNYFJ20168_MO_IS_Otherincome">Model!$288:$288</definedName>
    <definedName name="z_JNYFJ20168_MO_IS_Provisionforbenefitfromincometaxes">Model!$292:$292</definedName>
    <definedName name="z_JNYFJ20168_MO_IS_Revenue">Model!$280:$280</definedName>
    <definedName name="z_JNYFJ20168_MO_IS_Salesandmarketing">Model!$283:$283</definedName>
    <definedName name="z_JNYFJ20168_MO_IS_Technologyandinfrastructure">Model!$282:$282</definedName>
    <definedName name="z_JNYFJ20168_MO_MA_AverageFXRate">Model!$493:$493</definedName>
    <definedName name="z_JNYFJ20168_MO_MA_CompanyReportedNonGAAPOperatingIncomeMargin">Model!$276:$276</definedName>
    <definedName name="z_JNYFJ20168_MO_MA_ConsensusEstimatesCompanyReportedNonGAAPOperatingIncomeMargin">Model!$277:$277</definedName>
    <definedName name="z_JNYFJ20168_MO_MA_ConsensusEstimatesNonGAAPGrossMargin">Model!$270:$270</definedName>
    <definedName name="z_JNYFJ20168_MO_MA_EnterpriseValueComponents">Model!$497:$497</definedName>
    <definedName name="z_JNYFJ20168_MO_MA_EnterpriseValueEoP">Model!$481:$481</definedName>
    <definedName name="z_JNYFJ20168_MO_MA_EoPFXRate">Model!$494:$494</definedName>
    <definedName name="z_JNYFJ20168_MO_MA_EVEBITDAEoP">Model!$484:$484</definedName>
    <definedName name="z_JNYFJ20168_MO_MA_FCFYieldtoEoPEnterpriseValue">Model!$487:$487</definedName>
    <definedName name="z_JNYFJ20168_MO_MA_FCFYieldtoEoPMarketCap">Model!$486:$486</definedName>
    <definedName name="z_JNYFJ20168_MO_MA_GAAPCOGSMargin">Model!$260:$260</definedName>
    <definedName name="z_JNYFJ20168_MO_MA_GAAPGAMargin">Model!$264:$264</definedName>
    <definedName name="z_JNYFJ20168_MO_MA_GAAPGrossMargin">Model!$261:$261</definedName>
    <definedName name="z_JNYFJ20168_MO_MA_GAAPOperatingIncomeMargin">Model!$266:$266</definedName>
    <definedName name="z_JNYFJ20168_MO_MA_GAAPRDMargin">Model!$265:$265</definedName>
    <definedName name="z_JNYFJ20168_MO_MA_GAAPSMMargin">Model!$263:$263</definedName>
    <definedName name="z_JNYFJ20168_MO_MA_MarketCapEoP">Model!$480:$480</definedName>
    <definedName name="z_JNYFJ20168_MO_MA_NoncontrollingInterest">Model!$498:$498</definedName>
    <definedName name="z_JNYFJ20168_MO_MA_NonGAAPCOGSMargin">Model!$268:$268</definedName>
    <definedName name="z_JNYFJ20168_MO_MA_NonGAAPGAMargin">Model!$273:$273</definedName>
    <definedName name="z_JNYFJ20168_MO_MA_NonGAAPGrossMargin">Model!$269:$269</definedName>
    <definedName name="z_JNYFJ20168_MO_MA_NonGAAPOperatingIncomeMargin">Model!$275:$275</definedName>
    <definedName name="z_JNYFJ20168_MO_MA_NonGAAPRDMargin">Model!$274:$274</definedName>
    <definedName name="z_JNYFJ20168_MO_MA_NonGAAPSMMargin">Model!$272:$272</definedName>
    <definedName name="z_JNYFJ20168_MO_MA_OtherEVComponents">Model!$500:$500</definedName>
    <definedName name="z_JNYFJ20168_MO_MA_PCFEoP">Model!$485:$485</definedName>
    <definedName name="z_JNYFJ20168_MO_MA_PEEoP">Model!$483:$483</definedName>
    <definedName name="z_JNYFJ20168_MO_MA_PreferredShares">Model!$499:$499</definedName>
    <definedName name="z_JNYFJ20168_MO_MA_StockAverage">Model!$491:$491</definedName>
    <definedName name="z_JNYFJ20168_MO_MA_StockEoP">Model!$492:$492</definedName>
    <definedName name="z_JNYFJ20168_MO_MA_StockHigh">Model!$489:$489</definedName>
    <definedName name="z_JNYFJ20168_MO_MA_StockLow">Model!$490:$490</definedName>
    <definedName name="z_JNYFJ20168_MO_MA_StockPriceReportingCurEoP">Model!$479:$479</definedName>
    <definedName name="z_JNYFJ20168_MO_MA_StockPriceTradingCurEoP">Model!$495:$495</definedName>
    <definedName name="z_JNYFJ20168_MO_OS__105">"Deleted"</definedName>
    <definedName name="z_JNYFJ20168_MO_OS__106">"Deleted"</definedName>
    <definedName name="z_JNYFJ20168_MO_OS__179">"Deleted"</definedName>
    <definedName name="z_JNYFJ20168_MO_OS__180">"Deleted"</definedName>
    <definedName name="z_JNYFJ20168_MO_OS__34">"Deleted"</definedName>
    <definedName name="z_JNYFJ20168_MO_OS__60">"Deleted"</definedName>
    <definedName name="z_JNYFJ20168_MO_OS__73">"Deleted"</definedName>
    <definedName name="z_JNYFJ20168_MO_OS__78">"Deleted"</definedName>
    <definedName name="z_JNYFJ20168_MO_OS__83">"Deleted"</definedName>
    <definedName name="z_JNYFJ20168_MO_OS__84">"Deleted"</definedName>
    <definedName name="z_JNYFJ20168_MO_OS__99">"Deleted"</definedName>
    <definedName name="z_JNYFJ20168_MO_OS_Accountspayable">Model!$657:$657</definedName>
    <definedName name="z_JNYFJ20168_MO_OS_AccountspayableYYChange">Model!$663:$663</definedName>
    <definedName name="z_JNYFJ20168_MO_OS_Accountsreceivablenet">Model!$655:$655</definedName>
    <definedName name="z_JNYFJ20168_MO_OS_AccountsreceivablenetYYChange">Model!$661:$661</definedName>
    <definedName name="z_JNYFJ20168_MO_OS_Accruedliabilities">Model!$658:$658</definedName>
    <definedName name="z_JNYFJ20168_MO_OS_AccruedliabilitiesYYChange">Model!$664:$664</definedName>
    <definedName name="z_JNYFJ20168_MO_OS_ActivePowerConsumption">Model!$154:$154</definedName>
    <definedName name="z_JNYFJ20168_MO_OS_AddbackReportedDepreciationandAmortization">Model!$111:$111</definedName>
    <definedName name="z_JNYFJ20168_MO_OS_Allothercountries">Model!$134:$134</definedName>
    <definedName name="z_JNYFJ20168_MO_OS_Amortization_4">Model!$128:$128</definedName>
    <definedName name="z_JNYFJ20168_MO_OS_AmortizationofIntangiblesCOGS_1">Model!$49:$49</definedName>
    <definedName name="z_JNYFJ20168_MO_OS_AmortizationofIntangiblesGA">Model!$92:$92</definedName>
    <definedName name="z_JNYFJ20168_MO_OS_AmortizationofIntangiblesRD_1">Model!$64:$64</definedName>
    <definedName name="z_JNYFJ20168_MO_OS_AmortizationofIntangiblesSM">Model!$78:$78</definedName>
    <definedName name="z_JNYFJ20168_MO_OS_Calculatedbillings">Model!$179:$179</definedName>
    <definedName name="z_JNYFJ20168_MO_OS_Capitalexpenditures">Model!$216:$216</definedName>
    <definedName name="z_JNYFJ20168_MO_OS_ClassAoutstanding">Model!$409:$409</definedName>
    <definedName name="z_JNYFJ20168_MO_OS_ClassBoutstanding">Model!$410:$410</definedName>
    <definedName name="z_JNYFJ20168_MO_OS_CommittedContractsrevenue_1">Model!$170:$170</definedName>
    <definedName name="z_JNYFJ20168_MO_OS_CommittedContractsrevenuemix">Model!$166:$166</definedName>
    <definedName name="z_JNYFJ20168_MO_OS_CompanyReportedNonGAAPOperatingIncome">Model!$19:$19</definedName>
    <definedName name="z_JNYFJ20168_MO_OS_CompanyReportedNonGAAPOperatingIncomeMargin">Model!$22:$22</definedName>
    <definedName name="z_JNYFJ20168_MO_OS_ConsensusEstimatesCompanyReportedNonGAAPOperatingIncome">Model!$20:$20</definedName>
    <definedName name="z_JNYFJ20168_MO_OS_ConsensusEstimatesCompanyReportedNonGAAPOperatingIncomeMargin">Model!$23:$23</definedName>
    <definedName name="z_JNYFJ20168_MO_OS_ConsensusEstimatesNetRevenue">Model!$8:$8</definedName>
    <definedName name="z_JNYFJ20168_MO_OS_ConsensusEstimatesNonGAAPEarningsPerShareWAD">Model!$32:$32</definedName>
    <definedName name="z_JNYFJ20168_MO_OS_ConsensusEstimatesNonGAAPEBITDA">Model!$13:$13</definedName>
    <definedName name="z_JNYFJ20168_MO_OS_ConsensusEstimatesNonGAAPEBITDA_2">Model!$114:$114</definedName>
    <definedName name="z_JNYFJ20168_MO_OS_ConsensusEstimatesNonGAAPEBITDAMargin">Model!$16:$16</definedName>
    <definedName name="z_JNYFJ20168_MO_OS_ConsensusEstimatesNonGAAPEBITDAMargin_1">Model!$117:$117</definedName>
    <definedName name="z_JNYFJ20168_MO_OS_ConsensusEstimatesNonGAAPGrossMargin">Model!$54:$54</definedName>
    <definedName name="z_JNYFJ20168_MO_OS_ConsensusEstimatesNonGAAPOperatingIncome">Model!$105:$105</definedName>
    <definedName name="z_JNYFJ20168_MO_OS_ConsensusEstimatesNonGAAPOperatingIncomeMargin">Model!$108:$108</definedName>
    <definedName name="z_JNYFJ20168_MO_OS_ContractedPower">Model!$153:$153</definedName>
    <definedName name="z_JNYFJ20168_MO_OS_Contributionmargin">Model!$189:$189</definedName>
    <definedName name="z_JNYFJ20168_MO_OS_CoverpageclassAcommonstockoutstanding">Model!$419:$419</definedName>
    <definedName name="z_JNYFJ20168_MO_OS_CoverpageclassBcommonstockoutstanding">Model!$420:$420</definedName>
    <definedName name="z_JNYFJ20168_MO_OS_Coverpagecommonstockoutstanding">Model!$421:$421</definedName>
    <definedName name="z_JNYFJ20168_MO_OS_CumulativeoperatingleaseROUassetsacquiredthroughleaseliability">Model!$192:$192</definedName>
    <definedName name="z_JNYFJ20168_MO_OS_CurrentPeriodCostofRevenue">Model!$234:$234</definedName>
    <definedName name="z_JNYFJ20168_MO_OS_CurrentPeriodGA">Model!$257:$257</definedName>
    <definedName name="z_JNYFJ20168_MO_OS_CurrentPeriodRevenue">Model!$225:$225</definedName>
    <definedName name="z_JNYFJ20168_MO_OS_CurrentPeriodSM">Model!$249:$249</definedName>
    <definedName name="z_JNYFJ20168_MO_OS_CurrentPeriodTechnologyandInfrastructureCost">Model!$242:$242</definedName>
    <definedName name="z_JNYFJ20168_MO_OS_CustomerArevenuecontribution">Model!$138:$138</definedName>
    <definedName name="z_JNYFJ20168_MO_OS_CustomerBrevenuecontribution">Model!$139:$139</definedName>
    <definedName name="z_JNYFJ20168_MO_OS_CustomerCrevenuecontribution">Model!$140:$140</definedName>
    <definedName name="z_JNYFJ20168_MO_OS_CustomerDrevenuecontribution">Model!$141:$141</definedName>
    <definedName name="z_JNYFJ20168_MO_OS_CustomerErevenuecontribution">Model!$142:$142</definedName>
    <definedName name="z_JNYFJ20168_MO_OS_CustomerFrevenuecontribution">Model!$143:$143</definedName>
    <definedName name="z_JNYFJ20168_MO_OS_CustomerGrevenuecontribution">Model!$144:$144</definedName>
    <definedName name="z_JNYFJ20168_MO_OS_Datacenters">Model!$156:$156</definedName>
    <definedName name="z_JNYFJ20168_MO_OS_Dateofcoverpagesharecount">Model!$422:$422</definedName>
    <definedName name="z_JNYFJ20168_MO_OS_Deferredrevenuecurrent">Model!$659:$659</definedName>
    <definedName name="z_JNYFJ20168_MO_OS_DeferredrevenuecurrentYYChange">Model!$665:$665</definedName>
    <definedName name="z_JNYFJ20168_MO_OS_Depreciation">Model!$127:$127</definedName>
    <definedName name="z_JNYFJ20168_MO_OS_Dilutedsharecounttobasicsharecountratio">Model!$425:$425</definedName>
    <definedName name="z_JNYFJ20168_MO_OS_Dilutiveshares">Model!$424:$424</definedName>
    <definedName name="z_JNYFJ20168_MO_OS_Employees">Model!$157:$157</definedName>
    <definedName name="z_JNYFJ20168_MO_OS_EoPCommonstockoutstanding">Model!$411:$411</definedName>
    <definedName name="z_JNYFJ20168_MO_OS_EoPTotaldilutedcommonstockoutstanding">Model!$427:$427</definedName>
    <definedName name="z_JNYFJ20168_MO_OS_FinanceleaseROUassetsacquiredthroughleaseliability">Model!$195:$195</definedName>
    <definedName name="z_JNYFJ20168_MO_OS_FreeCashFlow">Model!$182:$182</definedName>
    <definedName name="z_JNYFJ20168_MO_OS_GAAPCOGS">Model!$41:$41</definedName>
    <definedName name="z_JNYFJ20168_MO_OS_GAAPGA">Model!$85:$85</definedName>
    <definedName name="z_JNYFJ20168_MO_OS_GAAPGAmargin">Model!$87:$87</definedName>
    <definedName name="z_JNYFJ20168_MO_OS_GAAPGrossMargin">Model!$44:$44</definedName>
    <definedName name="z_JNYFJ20168_MO_OS_GAAPGrossProfit">Model!$42:$42</definedName>
    <definedName name="z_JNYFJ20168_MO_OS_GAAPOperatingIncome">Model!$99:$99</definedName>
    <definedName name="z_JNYFJ20168_MO_OS_GAAPOperatingIncomeMargin">Model!$101:$101</definedName>
    <definedName name="z_JNYFJ20168_MO_OS_GAAPRDExpense">Model!$57:$57</definedName>
    <definedName name="z_JNYFJ20168_MO_OS_GAAPRDMargin">Model!$59:$59</definedName>
    <definedName name="z_JNYFJ20168_MO_OS_GAAPSMExpense">Model!$71:$71</definedName>
    <definedName name="z_JNYFJ20168_MO_OS_GAAPSMMargin">Model!$73:$73</definedName>
    <definedName name="z_JNYFJ20168_MO_OS_GPUSsonline">Model!$155:$155</definedName>
    <definedName name="z_JNYFJ20168_MO_OS_Increaseintotalgrosspropertyandequipment">Model!$214:$214</definedName>
    <definedName name="z_JNYFJ20168_MO_OS_Inferenceinfrastructuremarketsize">Model!$161:$161</definedName>
    <definedName name="z_JNYFJ20168_MO_OS_LessChangeinconstructioninprogress">Model!$215:$215</definedName>
    <definedName name="z_JNYFJ20168_MO_OS_Lessimputedinterest">Model!$206:$206</definedName>
    <definedName name="z_JNYFJ20168_MO_OS_LTMFreeCashFlow">Model!$183:$183</definedName>
    <definedName name="z_JNYFJ20168_MO_OS_LTMFreeCashFlowmargin">Model!$186:$186</definedName>
    <definedName name="z_JNYFJ20168_MO_OS_LTMRevenue">Model!$184:$184</definedName>
    <definedName name="z_JNYFJ20168_MO_OS_NonGAAPEarningsPerShareWAD">Model!$31:$31</definedName>
    <definedName name="z_JNYFJ20168_MO_OS_NonGAAPEBITDA">Model!$12:$12</definedName>
    <definedName name="z_JNYFJ20168_MO_OS_NonGAAPEBITDA_2">Model!$113:$113</definedName>
    <definedName name="z_JNYFJ20168_MO_OS_NonGAAPEBITDAMargin">Model!$15:$15</definedName>
    <definedName name="z_JNYFJ20168_MO_OS_NonGAAPEBITDAMargin_1">Model!$116:$116</definedName>
    <definedName name="z_JNYFJ20168_MO_OS_NonGAAPGAExpense">Model!$94:$94</definedName>
    <definedName name="z_JNYFJ20168_MO_OS_NonGAAPGAMargin">Model!$96:$96</definedName>
    <definedName name="z_JNYFJ20168_MO_OS_NonGAAPGrossMargin">Model!$53:$53</definedName>
    <definedName name="z_JNYFJ20168_MO_OS_NonGAAPGrossProfit">Model!$51:$51</definedName>
    <definedName name="z_JNYFJ20168_MO_OS_NonGAAPNetIncome">Model!$26:$26</definedName>
    <definedName name="z_JNYFJ20168_MO_OS_NonGAAPNetIncomeMargin">Model!$28:$28</definedName>
    <definedName name="z_JNYFJ20168_MO_OS_NonGAAPOperatingIncome">Model!$104:$104</definedName>
    <definedName name="z_JNYFJ20168_MO_OS_NonGAAPOperatingIncomeMargin">Model!$107:$107</definedName>
    <definedName name="z_JNYFJ20168_MO_OS_NonGAAPRDExpense">Model!$66:$66</definedName>
    <definedName name="z_JNYFJ20168_MO_OS_NonGAAPRDMargin">Model!$68:$68</definedName>
    <definedName name="z_JNYFJ20168_MO_OS_NonGAAPSMExpense">Model!$80:$80</definedName>
    <definedName name="z_JNYFJ20168_MO_OS_NonGAAPSMMargin">Model!$82:$82</definedName>
    <definedName name="z_JNYFJ20168_MO_OS_ofrevenuegrowthfromexpansionofexistingcustomerbase">Model!$219:$219</definedName>
    <definedName name="z_JNYFJ20168_MO_OS_ofrevenuegrowthfromexpansionofnewcustomerbase">Model!$220:$220</definedName>
    <definedName name="z_JNYFJ20168_MO_OS_ofRPOtoberecognizedbetweenmonths25and48months">Model!$36:$36</definedName>
    <definedName name="z_JNYFJ20168_MO_OS_ofRPOtoberecognizedbetweenmonths49and72months">Model!$37:$37</definedName>
    <definedName name="z_JNYFJ20168_MO_OS_ofRPOtoberecognizedovertheinitial24months">Model!$35:$35</definedName>
    <definedName name="z_JNYFJ20168_MO_OS_OnDemandPlatformAccessrevenue_1">Model!$171:$171</definedName>
    <definedName name="z_JNYFJ20168_MO_OS_OnDemandPlatformAccessrevenuemix">Model!$167:$167</definedName>
    <definedName name="z_JNYFJ20168_MO_OS_Operatingleaseliabilitiescurrent">Model!$209:$209</definedName>
    <definedName name="z_JNYFJ20168_MO_OS_Operatingleaseliabilitiesnoncurrent">Model!$210:$210</definedName>
    <definedName name="z_JNYFJ20168_MO_OS_OperatingleaseROUassetsacquiredthroughleaseliability">Model!$193:$193</definedName>
    <definedName name="z_JNYFJ20168_MO_OS_Other_3">Model!$112:$112</definedName>
    <definedName name="z_JNYFJ20168_MO_OS_OtherAdjustmentsCOGS">Model!$50:$50</definedName>
    <definedName name="z_JNYFJ20168_MO_OS_OtherAdjustmentsRD">Model!$65:$65</definedName>
    <definedName name="z_JNYFJ20168_MO_OS_OtherGAAdjustments">Model!$93:$93</definedName>
    <definedName name="z_JNYFJ20168_MO_OS_OtherSM">Model!$79:$79</definedName>
    <definedName name="z_JNYFJ20168_MO_OS_Prepaidexpensesandothercurrentassets">Model!$656:$656</definedName>
    <definedName name="z_JNYFJ20168_MO_OS_PrepaidexpensesandothercurrentassetsYYChange">Model!$662:$662</definedName>
    <definedName name="z_JNYFJ20168_MO_OS_Presentvalueofoperatingleaseliabilities">Model!$207:$207</definedName>
    <definedName name="z_JNYFJ20168_MO_OS_PriorPeriodCostofRevenue">Model!$227:$227</definedName>
    <definedName name="z_JNYFJ20168_MO_OS_PriorPeriodGA">Model!$251:$251</definedName>
    <definedName name="z_JNYFJ20168_MO_OS_PriorPeriodRevenue">Model!$222:$222</definedName>
    <definedName name="z_JNYFJ20168_MO_OS_PriorPeriodSM">Model!$244:$244</definedName>
    <definedName name="z_JNYFJ20168_MO_OS_PriorPeriodTechnologyandInfrastructureCost">Model!$236:$236</definedName>
    <definedName name="z_JNYFJ20168_MO_OS_QQbasicshareexpansionEoP">Model!$416:$416</definedName>
    <definedName name="z_JNYFJ20168_MO_OS_QQbasicshareexpansionfromdilutivesecurities">Model!$412:$412</definedName>
    <definedName name="z_JNYFJ20168_MO_OS_QQbasicshareexpansionfromshareissuancebuyback">Model!$414:$414</definedName>
    <definedName name="z_JNYFJ20168_MO_OS_QQTotalrevenuegrowth">Model!$9:$9</definedName>
    <definedName name="z_JNYFJ20168_MO_OS_Revenue">Model!$40:$40</definedName>
    <definedName name="z_JNYFJ20168_MO_OS_RevenuerecognizedpursuanttotheMicrosoftMasterServicesAgreement">Model!$151:$151</definedName>
    <definedName name="z_JNYFJ20168_MO_OS_Revenuerecognizedrelatedtocustomercommitmentsasoftotalrevenue">Model!$148:$148</definedName>
    <definedName name="z_JNYFJ20168_MO_OS_RPO">Model!$34:$34</definedName>
    <definedName name="z_JNYFJ20168_MO_OS_RPObookings">Model!$176:$176</definedName>
    <definedName name="z_JNYFJ20168_MO_OS_SBCCOGS">Model!$47:$47</definedName>
    <definedName name="z_JNYFJ20168_MO_OS_SBCCOGSasofrevenue">Model!$48:$48</definedName>
    <definedName name="z_JNYFJ20168_MO_OS_SBCGA">Model!$90:$90</definedName>
    <definedName name="z_JNYFJ20168_MO_OS_SBCGAasofrevenue">Model!$91:$91</definedName>
    <definedName name="z_JNYFJ20168_MO_OS_SBCincludedinCOGS">Model!$121:$121</definedName>
    <definedName name="z_JNYFJ20168_MO_OS_SBCincludedinGA">Model!$124:$124</definedName>
    <definedName name="z_JNYFJ20168_MO_OS_SBCincludedinRD">Model!$122:$122</definedName>
    <definedName name="z_JNYFJ20168_MO_OS_SBCincludedinSM">Model!$123:$123</definedName>
    <definedName name="z_JNYFJ20168_MO_OS_SBCRD">Model!$62:$62</definedName>
    <definedName name="z_JNYFJ20168_MO_OS_SBCRDasofrevenue">Model!$63:$63</definedName>
    <definedName name="z_JNYFJ20168_MO_OS_SBCSM">Model!$76:$76</definedName>
    <definedName name="z_JNYFJ20168_MO_OS_SBCSMasofrevenue">Model!$77:$77</definedName>
    <definedName name="z_JNYFJ20168_MO_OS_TAM">Model!$163:$163</definedName>
    <definedName name="z_JNYFJ20168_MO_OS_TheRuleof40">Model!$187:$187</definedName>
    <definedName name="z_JNYFJ20168_MO_OS_TotalDA">Model!$129:$129</definedName>
    <definedName name="z_JNYFJ20168_MO_OS_Totalmajorcustomersrevenuecontribution">Model!$145:$145</definedName>
    <definedName name="z_JNYFJ20168_MO_OS_TotalOperatingleaseliabilities">Model!$211:$211</definedName>
    <definedName name="z_JNYFJ20168_MO_OS_Totalrevenue">Model!$7:$7</definedName>
    <definedName name="z_JNYFJ20168_MO_OS_Totalrevenue_1">Model!$135:$135</definedName>
    <definedName name="z_JNYFJ20168_MO_OS_Totalrevenue_3">Model!$172:$172</definedName>
    <definedName name="z_JNYFJ20168_MO_OS_Totalrevenuemix">Model!$168:$168</definedName>
    <definedName name="z_JNYFJ20168_MO_OS_TotalSBCexpense">Model!$125:$125</definedName>
    <definedName name="z_JNYFJ20168_MO_OS_Totalundiscountedoperatingleasepayments">Model!$205:$205</definedName>
    <definedName name="z_JNYFJ20168_MO_OS_Traininginfrastructuremarketsize">Model!$160:$160</definedName>
    <definedName name="z_JNYFJ20168_MO_OS_Undiscountedoperatingleasepaymentsremainingportionofcurrentyear">Model!$198:$198</definedName>
    <definedName name="z_JNYFJ20168_MO_OS_Undiscountedoperatingleasepaymentsthereafter">Model!$204:$204</definedName>
    <definedName name="z_JNYFJ20168_MO_OS_Undiscountedoperatingleasepaymentsyear1">Model!$199:$199</definedName>
    <definedName name="z_JNYFJ20168_MO_OS_Undiscountedoperatingleasepaymentsyear2">Model!$200:$200</definedName>
    <definedName name="z_JNYFJ20168_MO_OS_Undiscountedoperatingleasepaymentsyear3">Model!$201:$201</definedName>
    <definedName name="z_JNYFJ20168_MO_OS_Undiscountedoperatingleasepaymentsyear4">Model!$202:$202</definedName>
    <definedName name="z_JNYFJ20168_MO_OS_Undiscountedoperatingleasepaymentsyear5">Model!$203:$203</definedName>
    <definedName name="z_JNYFJ20168_MO_OS_UnitedStates">Model!$133:$133</definedName>
    <definedName name="z_JNYFJ20168_MO_OS_Weightedaveragecontractduration">Model!$149:$149</definedName>
    <definedName name="z_JNYFJ20168_MO_OS_Workloadmonitoringmarketsize">Model!$162:$162</definedName>
    <definedName name="z_JNYFJ20168_MO_OS_YYbasicshareexpansionEoP">Model!$417:$417</definedName>
    <definedName name="z_JNYFJ20168_MO_OS_YYbasicshareexpansionfromdilutivesecurities">Model!$413:$413</definedName>
    <definedName name="z_JNYFJ20168_MO_OS_YYbasicshareexpansionfromshareissuancebuyback">Model!$415:$415</definedName>
    <definedName name="z_JNYFJ20168_MO_OS_YYCalculatedbillingsgrowth">Model!$180:$180</definedName>
    <definedName name="z_JNYFJ20168_MO_OS_YYChangeinadvertisingandsponsorshipexpenses">Model!$247:$247</definedName>
    <definedName name="z_JNYFJ20168_MO_OS_YYchangeinDAinTechnologyandInfrastructureCost">Model!$237:$237</definedName>
    <definedName name="z_JNYFJ20168_MO_OS_YYchangeinDArelatedtopowerinstallationanddistributionsystemsinCostofRevenue">Model!$232:$232</definedName>
    <definedName name="z_JNYFJ20168_MO_OS_YYchangeindatacenterutilitiesandpowerspendinCostofRevenue">Model!$229:$229</definedName>
    <definedName name="z_JNYFJ20168_MO_OS_YYchangeinequipmentsupportandsoftwareexpensesinTechnologyandInfrastructureCost">Model!$240:$240</definedName>
    <definedName name="z_JNYFJ20168_MO_OS_YYchangeinotherandroundinginCostofRevenue">Model!$233:$233</definedName>
    <definedName name="z_JNYFJ20168_MO_OS_YYchangeinotherandroundinginGA">Model!$256:$256</definedName>
    <definedName name="z_JNYFJ20168_MO_OS_YYchangeinotherandroundinginSM">Model!$248:$248</definedName>
    <definedName name="z_JNYFJ20168_MO_OS_YYchangeinotherandroundinginTechnologyandInfrastructureCost">Model!$241:$241</definedName>
    <definedName name="z_JNYFJ20168_MO_OS_YYchangeinoverheadcostsinGA">Model!$255:$255</definedName>
    <definedName name="z_JNYFJ20168_MO_OS_YYchangeinpersonnelcostsinCostofRevenue">Model!$230:$230</definedName>
    <definedName name="z_JNYFJ20168_MO_OS_YYchangeinpersonnelcostsinTechnologyandInfrastructureCost">Model!$238:$238</definedName>
    <definedName name="z_JNYFJ20168_MO_OS_YYChangeinpersonnelexpenseinSM">Model!$245:$245</definedName>
    <definedName name="z_JNYFJ20168_MO_OS_YYchangeinpersonnelrelatedexpenseinGA">Model!$252:$252</definedName>
    <definedName name="z_JNYFJ20168_MO_OS_YYchangeinprofessionalservicesexpensesinGA">Model!$254:$254</definedName>
    <definedName name="z_JNYFJ20168_MO_OS_YYchangeinrentexpenseinCostofRevenue">Model!$228:$228</definedName>
    <definedName name="z_JNYFJ20168_MO_OS_YYchangeinrevenuefromexistingcustomer">Model!$223:$223</definedName>
    <definedName name="z_JNYFJ20168_MO_OS_YYchangeinrevenuefromnewcustomer">Model!$224:$224</definedName>
    <definedName name="z_JNYFJ20168_MO_OS_YYchangeinSBCinCostofRevenue">Model!$231:$231</definedName>
    <definedName name="z_JNYFJ20168_MO_OS_YYchangeinSBCinGA">Model!$253:$253</definedName>
    <definedName name="z_JNYFJ20168_MO_OS_YYChangeinSBCinSM">Model!$246:$246</definedName>
    <definedName name="z_JNYFJ20168_MO_OS_YYchangeinSBCinTechnologyandInfrastructureCost">Model!$239:$239</definedName>
    <definedName name="z_JNYFJ20168_MO_OS_YYCompanyReportedNonGAAPOperatingIncomegrowth">Model!$21:$21</definedName>
    <definedName name="z_JNYFJ20168_MO_OS_YYCompanyReportedNonGAAPOperatingIncomeMarginImprovement">Model!$24:$24</definedName>
    <definedName name="z_JNYFJ20168_MO_OS_YYGAAPGAgrowth">Model!$86:$86</definedName>
    <definedName name="z_JNYFJ20168_MO_OS_YYGAAPGAmarginimprovement">Model!$88:$88</definedName>
    <definedName name="z_JNYFJ20168_MO_OS_YYgrowthinGAAPGrossProfit">Model!$43:$43</definedName>
    <definedName name="z_JNYFJ20168_MO_OS_YYgrowthinGAAPOperatingIncome">Model!$100:$100</definedName>
    <definedName name="z_JNYFJ20168_MO_OS_YYgrowthinGAAPRDExpense">Model!$58:$58</definedName>
    <definedName name="z_JNYFJ20168_MO_OS_YYgrowthinGAAPSMExpense">Model!$72:$72</definedName>
    <definedName name="z_JNYFJ20168_MO_OS_YYimprovementinGAAPGrossMargin">Model!$45:$45</definedName>
    <definedName name="z_JNYFJ20168_MO_OS_YYimprovementinGAAPOperatingIncomeMargin">Model!$102:$102</definedName>
    <definedName name="z_JNYFJ20168_MO_OS_YYimprovementinGAAPRDMargin">Model!$60:$60</definedName>
    <definedName name="z_JNYFJ20168_MO_OS_YYimprovementinGAAPSMMargin">Model!$74:$74</definedName>
    <definedName name="z_JNYFJ20168_MO_OS_YYimprovementinNonGAAPGAMargin">Model!$97:$97</definedName>
    <definedName name="z_JNYFJ20168_MO_OS_YYimprovementinNonGAAPGrossMargin">Model!$55:$55</definedName>
    <definedName name="z_JNYFJ20168_MO_OS_YYimprovementinNonGAAPOperatingMargin">Model!$109:$109</definedName>
    <definedName name="z_JNYFJ20168_MO_OS_YYimprovementinNonGAAPRDMargin">Model!$69:$69</definedName>
    <definedName name="z_JNYFJ20168_MO_OS_YYimprovementinNonGAAPSMMargin">Model!$83:$83</definedName>
    <definedName name="z_JNYFJ20168_MO_OS_YYLTMRevenuegrowth">Model!$185:$185</definedName>
    <definedName name="z_JNYFJ20168_MO_OS_YYNonGAAPEBITDAgrowth">Model!$14:$14</definedName>
    <definedName name="z_JNYFJ20168_MO_OS_YYNonGAAPEBITDAgrowth_1">Model!$115:$115</definedName>
    <definedName name="z_JNYFJ20168_MO_OS_YYNonGAAPEBITDAMarginImprovement">Model!$17:$17</definedName>
    <definedName name="z_JNYFJ20168_MO_OS_YYNonGAAPEBITDAMarginImprovement_1">Model!$118:$118</definedName>
    <definedName name="z_JNYFJ20168_MO_OS_YYNonGAAPGAExpensegrowth">Model!$95:$95</definedName>
    <definedName name="z_JNYFJ20168_MO_OS_YYNonGAAPGrossProfitgrowth">Model!$52:$52</definedName>
    <definedName name="z_JNYFJ20168_MO_OS_YYNonGAAPNetIncomegrowth">Model!$27:$27</definedName>
    <definedName name="z_JNYFJ20168_MO_OS_YYNonGAAPNetIncomeMarginImprovement">Model!$29:$29</definedName>
    <definedName name="z_JNYFJ20168_MO_OS_YYNonGAAPOperatingIncomegrowth">Model!$106:$106</definedName>
    <definedName name="z_JNYFJ20168_MO_OS_YYNonGAAPRDExpensegrowth">Model!$67:$67</definedName>
    <definedName name="z_JNYFJ20168_MO_OS_YYNonGAAPSMExpensegrowth">Model!$81:$81</definedName>
    <definedName name="z_JNYFJ20168_MO_OS_YYRPObookingsgrowth">Model!$177:$177</definedName>
    <definedName name="z_JNYFJ20168_MO_OS_YYRPOgrowth">Model!$175:$175</definedName>
    <definedName name="z_JNYFJ20168_MO_OS_YYTotalrevenuegrowth">Model!$10:$10</definedName>
    <definedName name="z_JNYFJ20168_MO_RIS_AdjustedSharesOutstandingWAD">Model!$406:$406</definedName>
    <definedName name="z_JNYFJ20168_MO_RIS_AdjustmentsforConvertibleSecurities">Model!$391:$391</definedName>
    <definedName name="z_JNYFJ20168_MO_RIS_AmortizationofIntangibles_4">Model!$385:$385</definedName>
    <definedName name="z_JNYFJ20168_MO_RIS_AmortizationofIntangiblesCOGS">Model!$338:$338</definedName>
    <definedName name="z_JNYFJ20168_MO_RIS_AmortizationofIntangiblesGA">Model!$349:$349</definedName>
    <definedName name="z_JNYFJ20168_MO_RIS_AmortizationofIntangiblesRD">Model!$354:$354</definedName>
    <definedName name="z_JNYFJ20168_MO_RIS_AmortizationofIntangiblesSM">Model!$344:$344</definedName>
    <definedName name="z_JNYFJ20168_MO_RIS_CompanyReportedNonGAAPOperatingIncome">Model!$359:$359</definedName>
    <definedName name="z_JNYFJ20168_MO_RIS_ConsensusEstimatesCompanyReportedNonGAAPOperatingIncome">Model!$360:$360</definedName>
    <definedName name="z_JNYFJ20168_MO_RIS_ConsensusEstimatesNetRevenue">Model!$334:$334</definedName>
    <definedName name="z_JNYFJ20168_MO_RIS_ConsensusEstimatesNonGAAPEarningsPerShareWAD">Model!$402:$402</definedName>
    <definedName name="z_JNYFJ20168_MO_RIS_ConsensusEstimatesNonGAAPEBITDA">Model!$365:$365</definedName>
    <definedName name="z_JNYFJ20168_MO_RIS_DeferredIncomeTaxasofNonGAAPTaxes">Model!$397:$397</definedName>
    <definedName name="z_JNYFJ20168_MO_RIS_GAAPCOGS">Model!$336:$336</definedName>
    <definedName name="z_JNYFJ20168_MO_RIS_GAAPEarningsPerShareWAB">Model!$399:$399</definedName>
    <definedName name="z_JNYFJ20168_MO_RIS_GAAPEarningsPerShareWAD">Model!$400:$400</definedName>
    <definedName name="z_JNYFJ20168_MO_RIS_GAAPGA">Model!$347:$347</definedName>
    <definedName name="z_JNYFJ20168_MO_RIS_GAAPInterestExpense">Model!$367:$367</definedName>
    <definedName name="z_JNYFJ20168_MO_RIS_GAAPInterestIncome">Model!$368:$368</definedName>
    <definedName name="z_JNYFJ20168_MO_RIS_GAAPNetIncometocommonshareholdersBasic">Model!$390:$390</definedName>
    <definedName name="z_JNYFJ20168_MO_RIS_GAAPNetIncometocommonshareholdersDiluted">Model!$392:$392</definedName>
    <definedName name="z_JNYFJ20168_MO_RIS_GAAPNetInterestExpense">Model!$369:$369</definedName>
    <definedName name="z_JNYFJ20168_MO_RIS_GAAPOtherItems">Model!$372:$372</definedName>
    <definedName name="z_JNYFJ20168_MO_RIS_GAAPProvisionforTaxes">Model!$376:$376</definedName>
    <definedName name="z_JNYFJ20168_MO_RIS_GAAPRD">Model!$352:$352</definedName>
    <definedName name="z_JNYFJ20168_MO_RIS_GAAPSM">Model!$342:$342</definedName>
    <definedName name="z_JNYFJ20168_MO_RIS_GAAPTaxRate">Model!$396:$396</definedName>
    <definedName name="z_JNYFJ20168_MO_RIS_InterestExpenseAdjustments">Model!$387:$387</definedName>
    <definedName name="z_JNYFJ20168_MO_RIS_MarginalTaxRateonAdjustments">Model!$395:$395</definedName>
    <definedName name="z_JNYFJ20168_MO_RIS_Netincomeattributabletoparticipatingsecurities">Model!$382:$382</definedName>
    <definedName name="z_JNYFJ20168_MO_RIS_Netincomefromdiscontinuedoperations">Model!$380:$380</definedName>
    <definedName name="z_JNYFJ20168_MO_RIS_NetRevenue">Model!$333:$333</definedName>
    <definedName name="z_JNYFJ20168_MO_RIS_NonGAAPAdjustmentstoIncomeTaxes">Model!$377:$377</definedName>
    <definedName name="z_JNYFJ20168_MO_RIS_NonGAAPAdjustmentstoOtherItems">Model!$373:$373</definedName>
    <definedName name="z_JNYFJ20168_MO_RIS_NonGAAPAdjustmenttoNetInterestExpense">Model!$370:$370</definedName>
    <definedName name="z_JNYFJ20168_MO_RIS_NonGAAPEarningsbeforeTaxes">Model!$375:$375</definedName>
    <definedName name="z_JNYFJ20168_MO_RIS_NonGAAPEarningsPerShareWAD">Model!$401:$401</definedName>
    <definedName name="z_JNYFJ20168_MO_RIS_NonGAAPEBITDA">Model!$364:$364</definedName>
    <definedName name="z_JNYFJ20168_MO_RIS_NonGAAPGA">Model!$351:$351</definedName>
    <definedName name="z_JNYFJ20168_MO_RIS_NonGAAPGrossProfit">Model!$340:$340</definedName>
    <definedName name="z_JNYFJ20168_MO_RIS_NonGAAPNetIncome_1">Model!$381:$381</definedName>
    <definedName name="z_JNYFJ20168_MO_RIS_NonGAAPNetIncomefromContinuingOperations">Model!$379:$379</definedName>
    <definedName name="z_JNYFJ20168_MO_RIS_NonGAAPNetIncometoCommonShareholders">Model!$383:$383</definedName>
    <definedName name="z_JNYFJ20168_MO_RIS_NonGAAPNetInterestExpense">Model!$371:$371</definedName>
    <definedName name="z_JNYFJ20168_MO_RIS_NonGAAPOperatingIncomeBeforeOther">Model!$357:$357</definedName>
    <definedName name="z_JNYFJ20168_MO_RIS_NonGAAPOtherItems">Model!$374:$374</definedName>
    <definedName name="z_JNYFJ20168_MO_RIS_NonGAAPProvisionforTaxes">Model!$378:$378</definedName>
    <definedName name="z_JNYFJ20168_MO_RIS_NonGAAPRD">Model!$356:$356</definedName>
    <definedName name="z_JNYFJ20168_MO_RIS_NonGAAPSM">Model!$346:$346</definedName>
    <definedName name="z_JNYFJ20168_MO_RIS_NonGAAPTaxRate">Model!$394:$394</definedName>
    <definedName name="z_JNYFJ20168_MO_RIS_Other_5">Model!$363:$363</definedName>
    <definedName name="z_JNYFJ20168_MO_RIS_OtherAdjustments_4">Model!$388:$388</definedName>
    <definedName name="z_JNYFJ20168_MO_RIS_OtherAdjustmentsCOGS">Model!$339:$339</definedName>
    <definedName name="z_JNYFJ20168_MO_RIS_OtherAdjustmentsGA">Model!$350:$350</definedName>
    <definedName name="z_JNYFJ20168_MO_RIS_OtherAdjustmentsRD">Model!$355:$355</definedName>
    <definedName name="z_JNYFJ20168_MO_RIS_OtherAdjustmentsSM">Model!$345:$345</definedName>
    <definedName name="z_JNYFJ20168_MO_RIS_OtherNonGAAPOperatingItems">Model!$358:$358</definedName>
    <definedName name="z_JNYFJ20168_MO_RIS_OtherOperatingAdjustments">Model!$386:$386</definedName>
    <definedName name="z_JNYFJ20168_MO_RIS_ReportedDepreciationandAmortization">Model!$362:$362</definedName>
    <definedName name="z_JNYFJ20168_MO_RIS_SBC_4">Model!$384:$384</definedName>
    <definedName name="z_JNYFJ20168_MO_RIS_SBCCOGS">Model!$337:$337</definedName>
    <definedName name="z_JNYFJ20168_MO_RIS_SBCGA">Model!$348:$348</definedName>
    <definedName name="z_JNYFJ20168_MO_RIS_SBCRD">Model!$353:$353</definedName>
    <definedName name="z_JNYFJ20168_MO_RIS_SBCSM">Model!$343:$343</definedName>
    <definedName name="z_JNYFJ20168_MO_RIS_SharesOutstandingWAB">Model!$404:$404</definedName>
    <definedName name="z_JNYFJ20168_MO_RIS_SharesOutstandingWAD">Model!$405:$405</definedName>
    <definedName name="z_JNYFJ20168_MO_RIS_TaxImpactonnonGAAPAdjustments">Model!$389:$389</definedName>
    <definedName name="z_JNYFJ20168_MO_Section_AN_AdjustedNumbersAsReported">Model!$301:$301</definedName>
    <definedName name="z_JNYFJ20168_MO_Section_BS_BalanceSheet">Model!$667:$667</definedName>
    <definedName name="z_JNYFJ20168_MO_Section_BSS_BalanceSheetSummary">Model!$459:$459</definedName>
    <definedName name="z_JNYFJ20168_MO_Section_CCFS_CumulativeCashFlowStatement">Model!$502:$502</definedName>
    <definedName name="z_JNYFJ20168_MO_Section_CFS_CashFlowStatement">Model!$566:$566</definedName>
    <definedName name="z_JNYFJ20168_MO_Section_CFSum_CashFlowSummary">Model!$429:$429</definedName>
    <definedName name="z_JNYFJ20168_MO_Section_DAF_DAForecasting">Model!$632:$632</definedName>
    <definedName name="z_JNYFJ20168_MO_Section_IS_IncomeStatementAsReported">Model!$279:$279</definedName>
    <definedName name="z_JNYFJ20168_MO_Section_MA_MarginAnalysis">Model!$259:$259</definedName>
    <definedName name="z_JNYFJ20168_MO_Section_MA_Valuation">Model!$478:$478</definedName>
    <definedName name="z_JNYFJ20168_MO_Section_OS_KeyMetricsAssetsObtainedthroughLeaseLiabilityMDA">Model!$191:$191</definedName>
    <definedName name="z_JNYFJ20168_MO_Section_OS_KeyMetricsCapitalexpendituresIP">Model!$213:$213</definedName>
    <definedName name="z_JNYFJ20168_MO_Section_OS_KeyMetricsCompanyStatsFS">Model!$147:$147</definedName>
    <definedName name="z_JNYFJ20168_MO_Section_OS_KeyMetricsCompanyStatsS1">"Deleted"</definedName>
    <definedName name="z_JNYFJ20168_MO_Section_OS_KeyMetricsFutureOperatingLeasePaymentsMDA">Model!$197:$197</definedName>
    <definedName name="z_JNYFJ20168_MO_Section_OS_KeyMetricsIndustryStatsFS">Model!$159:$159</definedName>
    <definedName name="z_JNYFJ20168_MO_Section_OS_KeyMetricsMajorCustomerswithRevenues10FS">Model!$137:$137</definedName>
    <definedName name="z_JNYFJ20168_MO_Section_OS_KeyMetricsRevenueandCostGranularityMDA">Model!$218:$218</definedName>
    <definedName name="z_JNYFJ20168_MO_Section_OS_KeyMetricsRevenueBreakdownFS">Model!$165:$165</definedName>
    <definedName name="z_JNYFJ20168_MO_Section_OS_KeyMetricsSaaSMetrics">Model!$174:$174</definedName>
    <definedName name="z_JNYFJ20168_MO_Section_OS_OperatingExpenseForecasting">Model!$39:$39</definedName>
    <definedName name="z_JNYFJ20168_MO_Section_OS_RevenueBuild">Model!$6:$6</definedName>
    <definedName name="z_JNYFJ20168_MO_Section_OS_SBCandDABreakdownFS">Model!$120:$120</definedName>
    <definedName name="z_JNYFJ20168_MO_Section_OS_SegmentedResultsGeographicBreakdownFS">Model!$132:$132</definedName>
    <definedName name="z_JNYFJ20168_MO_Section_OS_ShareCountAnalysis">Model!$408:$408</definedName>
    <definedName name="z_JNYFJ20168_MO_Section_OS_SupplementalData">Model!$131:$131</definedName>
    <definedName name="z_JNYFJ20168_MO_Section_OS_WorkingCapitalForecasting">Model!$654:$654</definedName>
    <definedName name="z_JNYFJ20168_MO_Section_RIS_RevisedIncomeStatement">Model!$332:$332</definedName>
    <definedName name="z_JNYFJ20168_MO_Section_SNA_ModelChecks">Model!$730:$730</definedName>
    <definedName name="z_JNYFJ20168_MO_Section_SNA_OtherTables">Model!$754:$754</definedName>
    <definedName name="z_JNYFJ20168_MO_Section_SNA_Tegus">Model!$877:$877</definedName>
    <definedName name="z_JNYFJ20168_MO_SubSection_BS_CurrentAssets">Model!$668:$668</definedName>
    <definedName name="z_JNYFJ20168_MO_SubSection_BS_CurrentLiabilities">Model!$694:$694</definedName>
    <definedName name="z_JNYFJ20168_MO_SubSection_BS_NonCurrentAssets">Model!$676:$676</definedName>
    <definedName name="z_JNYFJ20168_MO_SubSection_BS_NonCurrentLiabilities">Model!$704:$704</definedName>
    <definedName name="z_JNYFJ20168_MO_SubSection_BS_ShareholdersEquity">Model!$715:$715</definedName>
    <definedName name="z_JNYFJ20168_MO_SubSection_CCFS_CFF">Model!$540:$540</definedName>
    <definedName name="z_JNYFJ20168_MO_SubSection_CCFS_CFI">Model!$526:$526</definedName>
    <definedName name="z_JNYFJ20168_MO_SubSection_CCFS_CFO">Model!$503:$503</definedName>
    <definedName name="z_JNYFJ20168_MO_SubSection_CFS_CFF">Model!$604:$604</definedName>
    <definedName name="z_JNYFJ20168_MO_SubSection_CFS_CFI">Model!$590:$590</definedName>
    <definedName name="z_JNYFJ20168_MO_SubSection_CFS_CFO">Model!$567:$567</definedName>
    <definedName name="z_JNYFJ20168_MO_Unstructured_SNA_AnnualGuidanceTable">Model!$805:$805</definedName>
    <definedName name="z_JNYFJ20168_MO_Unstructured_SNA_ApplicablePeriod">Model!$802:$802</definedName>
    <definedName name="z_JNYFJ20168_MO_Unstructured_SNA_ApplicablePeriod_1">Model!$808:$808</definedName>
    <definedName name="z_JNYFJ20168_MO_Unstructured_SNA_ApplyTradeCurrencyScaling">Model!$864:$864</definedName>
    <definedName name="z_JNYFJ20168_MO_Unstructured_SNA_Avg">Model!$766:$766</definedName>
    <definedName name="z_JNYFJ20168_MO_Unstructured_SNA_Bloomberg">Model!$828:$828</definedName>
    <definedName name="z_JNYFJ20168_MO_Unstructured_SNA_Bloomberg_1">Model!$835:$835</definedName>
    <definedName name="z_JNYFJ20168_MO_Unstructured_SNA_Bloomberg_2">Model!$842:$842</definedName>
    <definedName name="z_JNYFJ20168_MO_Unstructured_SNA_Bloomberg_3">Model!$849:$849</definedName>
    <definedName name="z_JNYFJ20168_MO_Unstructured_SNA_CapexisUpdated">Model!$740:$740</definedName>
    <definedName name="z_JNYFJ20168_MO_Unstructured_SNA_CapitalIQ">Model!$829:$829</definedName>
    <definedName name="z_JNYFJ20168_MO_Unstructured_SNA_CapitalIQ_1">Model!$836:$836</definedName>
    <definedName name="z_JNYFJ20168_MO_Unstructured_SNA_CapitalIQ_2">Model!$843:$843</definedName>
    <definedName name="z_JNYFJ20168_MO_Unstructured_SNA_CapitalIQ_3">Model!$850:$850</definedName>
    <definedName name="z_JNYFJ20168_MO_Unstructured_SNA_CashisPositive">Model!$733:$733</definedName>
    <definedName name="z_JNYFJ20168_MO_Unstructured_SNA_CompanyReportedNonGAAPOperatingIncome">Model!$771:$771</definedName>
    <definedName name="z_JNYFJ20168_MO_Unstructured_SNA_ConsensusEstimatesCapex">Model!$820:$820</definedName>
    <definedName name="z_JNYFJ20168_MO_Unstructured_SNA_ConsensusEstimatesCashFlowPerDilutedShare">Model!$819:$819</definedName>
    <definedName name="z_JNYFJ20168_MO_Unstructured_SNA_ConsensusEstimatesCompanyReportedNonGAAPOperatingIncome">Model!$815:$815</definedName>
    <definedName name="z_JNYFJ20168_MO_Unstructured_SNA_ConsensusEstimatesNetRevenue">Model!$816:$816</definedName>
    <definedName name="z_JNYFJ20168_MO_Unstructured_SNA_ConsensusEstimatesNonGAAPEarningsPerShareWAD">Model!$818:$818</definedName>
    <definedName name="z_JNYFJ20168_MO_Unstructured_SNA_ConsensusEstimatesNonGAAPEBITDA">Model!$817:$817</definedName>
    <definedName name="z_JNYFJ20168_MO_Unstructured_SNA_ConsensusEstimatesNonGAAPGrossMargin">Model!$814:$814</definedName>
    <definedName name="z_JNYFJ20168_MO_Unstructured_SNA_ConsensusEstimateTable">Model!$811:$811</definedName>
    <definedName name="z_JNYFJ20168_MO_Unstructured_SNA_CRWVOQ">Model!$761:$761</definedName>
    <definedName name="z_JNYFJ20168_MO_Unstructured_SNA_CRWVUS">Model!$757:$757</definedName>
    <definedName name="z_JNYFJ20168_MO_Unstructured_SNA_CRWVUS_1">Model!$758:$758</definedName>
    <definedName name="z_JNYFJ20168_MO_Unstructured_SNA_CRWVUS_2">Model!$760:$760</definedName>
    <definedName name="z_JNYFJ20168_MO_Unstructured_SNA_CurrentFiscalYear">Model!$872:$872</definedName>
    <definedName name="z_JNYFJ20168_MO_Unstructured_SNA_DataSourceIndex">Model!$875:$875</definedName>
    <definedName name="z_JNYFJ20168_MO_Unstructured_SNA_DebtisPositive">Model!$734:$734</definedName>
    <definedName name="z_JNYFJ20168_MO_Unstructured_SNA_EoP">Model!$767:$767</definedName>
    <definedName name="z_JNYFJ20168_MO_Unstructured_SNA_EVEBITDAEoP">Model!$774:$774</definedName>
    <definedName name="z_JNYFJ20168_MO_Unstructured_SNA_FactSet">Model!$830:$830</definedName>
    <definedName name="z_JNYFJ20168_MO_Unstructured_SNA_FactSet_1">Model!$837:$837</definedName>
    <definedName name="z_JNYFJ20168_MO_Unstructured_SNA_FactSet_2">Model!$844:$844</definedName>
    <definedName name="z_JNYFJ20168_MO_Unstructured_SNA_FactSet_3">Model!$851:$851</definedName>
    <definedName name="z_JNYFJ20168_MO_Unstructured_SNA_FirstForecastFiscalYear">Model!$873:$873</definedName>
    <definedName name="z_JNYFJ20168_MO_Unstructured_SNA_FiscalPeriodStartDate">Model!$824:$824</definedName>
    <definedName name="z_JNYFJ20168_MO_Unstructured_SNA_FXAverageRealTimeOffSource">Model!$847:$847</definedName>
    <definedName name="z_JNYFJ20168_MO_Unstructured_SNA_FXEoP">Model!$856:$856</definedName>
    <definedName name="z_JNYFJ20168_MO_Unstructured_SNA_FYorFQ">Model!$812:$812</definedName>
    <definedName name="z_JNYFJ20168_MO_Unstructured_SNA_GeneralTable">Model!$859:$859</definedName>
    <definedName name="z_JNYFJ20168_MO_Unstructured_SNA_High">Model!$764:$764</definedName>
    <definedName name="z_JNYFJ20168_MO_Unstructured_SNA_IsHistoricalPeriod">Model!$825:$825</definedName>
    <definedName name="z_JNYFJ20168_MO_Unstructured_SNA_IsLatest">Model!$807:$807</definedName>
    <definedName name="z_JNYFJ20168_MO_Unstructured_SNA_KeyOutputs">Model!$769:$769</definedName>
    <definedName name="z_JNYFJ20168_MO_Unstructured_SNA_KPICount">Model!$874:$874</definedName>
    <definedName name="z_JNYFJ20168_MO_Unstructured_SNA_KPIData">Model!$778:$778</definedName>
    <definedName name="z_JNYFJ20168_MO_Unstructured_SNA_LastPrice">Model!$860:$860</definedName>
    <definedName name="z_JNYFJ20168_MO_Unstructured_SNA_LastPriceDate">Model!$861:$861</definedName>
    <definedName name="z_JNYFJ20168_MO_Unstructured_SNA_LastPriceFormula">Model!$863:$863</definedName>
    <definedName name="z_JNYFJ20168_MO_Unstructured_SNA_LastWorkingDayInPeriod">Model!$854:$854</definedName>
    <definedName name="z_JNYFJ20168_MO_Unstructured_SNA_Low">Model!$765:$765</definedName>
    <definedName name="z_JNYFJ20168_MO_Unstructured_SNA_Marginaddsupto100">Model!$744:$744</definedName>
    <definedName name="z_JNYFJ20168_MO_Unstructured_SNA_ModelSheetCurrencyHardcoded">Model!$867:$867</definedName>
    <definedName name="z_JNYFJ20168_MO_Unstructured_SNA_MOKPIBillingsCalc">Model!$788:$788</definedName>
    <definedName name="z_JNYFJ20168_MO_Unstructured_SNA_MOKPIBillingsGrowthCalc">Model!$789:$789</definedName>
    <definedName name="z_JNYFJ20168_MO_Unstructured_SNA_MOKPIContributionMargin">Model!$796:$796</definedName>
    <definedName name="z_JNYFJ20168_MO_Unstructured_SNA_MOKPIEmployeeCount">Model!$797:$797</definedName>
    <definedName name="z_JNYFJ20168_MO_Unstructured_SNA_MOKPIFCF">Model!$790:$790</definedName>
    <definedName name="z_JNYFJ20168_MO_Unstructured_SNA_MOKPIFCFLTM">Model!$791:$791</definedName>
    <definedName name="z_JNYFJ20168_MO_Unstructured_SNA_MOKPIFCFMargin">Model!$794:$794</definedName>
    <definedName name="z_JNYFJ20168_MO_Unstructured_SNA_MOKPIREVLTM">Model!$792:$792</definedName>
    <definedName name="z_JNYFJ20168_MO_Unstructured_SNA_MOKPIREVLTMGrowth">Model!$793:$793</definedName>
    <definedName name="z_JNYFJ20168_MO_Unstructured_SNA_MOKPIREVSubscription">Model!$783:$783</definedName>
    <definedName name="z_JNYFJ20168_MO_Unstructured_SNA_MOKPIREVUsage">Model!$784:$784</definedName>
    <definedName name="z_JNYFJ20168_MO_Unstructured_SNA_MOKPIRPOBookings">Model!$786:$786</definedName>
    <definedName name="z_JNYFJ20168_MO_Unstructured_SNA_MOKPIRPOBookingsGrowth">Model!$787:$787</definedName>
    <definedName name="z_JNYFJ20168_MO_Unstructured_SNA_MOKPIRPOGrowth">Model!$785:$785</definedName>
    <definedName name="z_JNYFJ20168_MO_Unstructured_SNA_MOKPIRuleOf40">Model!$795:$795</definedName>
    <definedName name="z_JNYFJ20168_MO_Unstructured_SNA_MORISEBITDAAdj">Model!$782:$782</definedName>
    <definedName name="z_JNYFJ20168_MO_Unstructured_SNA_MORISEPSWADAdj">Model!$781:$781</definedName>
    <definedName name="z_JNYFJ20168_MO_Unstructured_SNA_MORISNINONGAAPDiluted">Model!$780:$780</definedName>
    <definedName name="z_JNYFJ20168_MO_Unstructured_SNA_MORISREV">Model!$779:$779</definedName>
    <definedName name="z_JNYFJ20168_MO_Unstructured_SNA_MostRecentFiscalPeriodMRFP">Model!$871:$871</definedName>
    <definedName name="z_JNYFJ20168_MO_Unstructured_SNA_MostRecentFX">Model!$868:$868</definedName>
    <definedName name="z_JNYFJ20168_MO_Unstructured_SNA_MostRecentFXHardcoded">Model!$869:$869</definedName>
    <definedName name="z_JNYFJ20168_MO_Unstructured_SNA_MRFPColumnNumber">Model!$870:$870</definedName>
    <definedName name="z_JNYFJ20168_MO_Unstructured_SNA_NASDAQCRWV">Model!$759:$759</definedName>
    <definedName name="z_JNYFJ20168_MO_Unstructured_SNA_NetIncomeonReportedISNIonRevised">Model!$732:$732</definedName>
    <definedName name="z_JNYFJ20168_MO_Unstructured_SNA_NetIncomeonRevisedISNIonCFstatement">Model!$731:$731</definedName>
    <definedName name="z_JNYFJ20168_MO_Unstructured_SNA_NetRevenue">Model!$770:$770</definedName>
    <definedName name="z_JNYFJ20168_MO_Unstructured_SNA_NonGAAPEarningsPerShareWAD">Model!$773:$773</definedName>
    <definedName name="z_JNYFJ20168_MO_Unstructured_SNA_NonGAAPEBITDA">Model!$772:$772</definedName>
    <definedName name="z_JNYFJ20168_MO_Unstructured_SNA_PEEoP">Model!$775:$775</definedName>
    <definedName name="z_JNYFJ20168_MO_Unstructured_SNA_Period">Model!$813:$813</definedName>
    <definedName name="z_JNYFJ20168_MO_Unstructured_SNA_QuarterlyGuidanceTable">Model!$800:$800</definedName>
    <definedName name="z_JNYFJ20168_MO_Unstructured_SNA_RealTimeOffSource">Model!$827:$827</definedName>
    <definedName name="z_JNYFJ20168_MO_Unstructured_SNA_RealTimeOffSource_1">Model!$834:$834</definedName>
    <definedName name="z_JNYFJ20168_MO_Unstructured_SNA_RealTimeOffSource_2">Model!$841:$841</definedName>
    <definedName name="z_JNYFJ20168_MO_Unstructured_SNA_RealTimeOffSource_3">Model!$848:$848</definedName>
    <definedName name="z_JNYFJ20168_MO_Unstructured_SNA_RealTimeStockPrice">Model!$862:$862</definedName>
    <definedName name="z_JNYFJ20168_MO_Unstructured_SNA_Refinitiv">Model!$831:$831</definedName>
    <definedName name="z_JNYFJ20168_MO_Unstructured_SNA_Refinitiv_1">Model!$838:$838</definedName>
    <definedName name="z_JNYFJ20168_MO_Unstructured_SNA_Refinitiv_2">Model!$845:$845</definedName>
    <definedName name="z_JNYFJ20168_MO_Unstructured_SNA_Refinitiv_3">Model!$852:$852</definedName>
    <definedName name="z_JNYFJ20168_MO_Unstructured_SNA_ReportingDate">Model!$801:$801</definedName>
    <definedName name="z_JNYFJ20168_MO_Unstructured_SNA_ReportingDate_1">Model!$806:$806</definedName>
    <definedName name="z_JNYFJ20168_MO_Unstructured_SNA_SegmentedRevenueRevenue">Model!$735:$735</definedName>
    <definedName name="z_JNYFJ20168_MO_Unstructured_SNA_StockAverageRealTimeOffSource">Model!$840:$840</definedName>
    <definedName name="z_JNYFJ20168_MO_Unstructured_SNA_StockHighRealTimeOffSource">Model!$826:$826</definedName>
    <definedName name="z_JNYFJ20168_MO_Unstructured_SNA_StockLowRealTimeOffSource">Model!$833:$833</definedName>
    <definedName name="z_JNYFJ20168_MO_Unstructured_SNA_StockPriceEoP">Model!$855:$855</definedName>
    <definedName name="z_JNYFJ20168_MO_Unstructured_SNA_StockPriceTable">Model!$823:$823</definedName>
    <definedName name="z_JNYFJ20168_MO_Unstructured_SNA_TickerSymbol">Model!$756:$756</definedName>
    <definedName name="z_JNYFJ20168_MO_Unstructured_SNA_TradeCurrency">Model!$865:$865</definedName>
    <definedName name="z_JNYFJ20168_MO_Unstructured_SNA_TradeCurrencyHardcoded">Model!$866:$866</definedName>
    <definedName name="z_JNYFJ20168_MO_Unstructured_SNA_ValuationToggleTable">Model!$763:$763</definedName>
    <definedName name="AA.ModelColorScheme">"Classic"</definedName>
    <definedName name="AA.ColorizerVersion">"2.0.4.0"</definedName>
    <definedName name="WS.CanalystName" localSheetId="0">"Front Page"</definedName>
    <definedName name="WS.CanalystName" localSheetId="2">"Model"</definedName>
    <definedName name="_xlnm.Print_Titles" localSheetId="2">'Model'!$5:$5</definedName>
    <definedName name="_xlnm.Print_Area" localSheetId="2">'Model'!$A$1:$AU$726</definedName>
    <definedName name="_xlnm._FilterDatabase" localSheetId="3" hidden="1">'Guidance'!$A$5:$U$5</definedName>
    <definedName name="WS.CanalystName" localSheetId="5">"Summary Page"</definedName>
    <definedName name="_xlnm.Print_Area" localSheetId="5">'Summary Page'!$A$1:$AU$119</definedName>
    <definedName name="WS.CanalystName" localSheetId="6">"Update Log"</definedName>
  </definedNames>
  <calcPr calcId="124519" fullCalcOnLoad="1"/>
</workbook>
</file>

<file path=xl/styles.xml><?xml version="1.0" encoding="utf-8"?>
<styleSheet xmlns="http://schemas.openxmlformats.org/spreadsheetml/2006/main">
  <numFmts count="43">
    <numFmt numFmtId="164" formatCode="_(* 0.0%_);_(* \-0.0%_);_(* &quot;-&quot;??_);_(@_)"/>
    <numFmt numFmtId="165" formatCode="_(* #,##0_);_(* \(#,##0\);_(* &quot;-&quot;??_);_(@_)"/>
    <numFmt numFmtId="166" formatCode="_(&quot;$&quot;* 0.000_);_(&quot;$&quot;* \(0.000\);_(&quot;$&quot;* &quot;-&quot;??_);_(@_)"/>
    <numFmt numFmtId="167" formatCode="_(* #,##0.0_);_(* \(#,##0.0\);_(* &quot;-&quot;??_);_(&quot;Model Sheet Currency :   &quot;@_)"/>
    <numFmt numFmtId="168" formatCode="_(&quot;$&quot;* 0.00_);_(&quot;$&quot;* \(0.00\);_(&quot;$&quot;* &quot;-&quot;??_);_(@_)"/>
    <numFmt numFmtId="169" formatCode="_(* #,##0.0_);_(* \(#,##0.0\);_(* &quot;-&quot;??_);_(@_)"/>
    <numFmt numFmtId="170" formatCode="_(&quot;$&quot;* 0.00_);_(&quot;$&quot;* \(0.00\);_(&quot;$&quot;* &quot; - &quot;??_);_(@_)"/>
    <numFmt numFmtId="171" formatCode="_(* #,##0.000_);_(* \(#,##0.000\);_(* &quot;-&quot;??_);_(@_)"/>
    <numFmt numFmtId="172" formatCode="_(&quot;$&quot;* #,##0_);_(&quot;$&quot;* \(#,##0\);_(&quot;$&quot;* &quot;-&quot;??_);_(@_)"/>
    <numFmt numFmtId="173" formatCode="yyyy\-mm\-dd"/>
    <numFmt numFmtId="174" formatCode="_(* 0.0\ \x_);\ _(* &quot;n/a&quot;_);_(* &quot;-&quot;??_);_(@_)"/>
    <numFmt numFmtId="175" formatCode="_(\$* 0.00_);_(\$* \(0.00\);_(\$* &quot; - &quot;??_);_(@_)"/>
    <numFmt numFmtId="176" formatCode="_(&quot;$&quot;* #,##0.00_);_(&quot;$&quot;* \(#,##0.00\);_(&quot;$&quot;* &quot; - &quot;??_);_(@_)"/>
    <numFmt numFmtId="177" formatCode="&quot;Most Recent Period:&quot;"/>
    <numFmt numFmtId="178" formatCode="_(* #,##0.0_);_(* \(#,##0.0\);_(* &quot;-&quot;??_);_(&quot;Canalyst Security Identification #: &quot;@_)"/>
    <numFmt numFmtId="179" formatCode="_(* #,##0.0_);_(* \(#,##0.0\);_(* &quot;-&quot;??_);_(&quot;Model Version #: &quot;@_)"/>
    <numFmt numFmtId="180" formatCode="_(&quot;$&quot;* #,##0.00_);_(&quot;$&quot;* \(#,##0.00\);_(&quot;$&quot;* &quot;-&quot;??_);_(@_)"/>
    <numFmt numFmtId="181" formatCode="m\-d\-yy"/>
    <numFmt numFmtId="182" formatCode="_(* 0.000\ \x_);\ _(* &quot;n/a&quot;_);_(* &quot;-&quot;??_);_(@_)"/>
    <numFmt numFmtId="183" formatCode="_(* 0%_);_(* \-0%_);_(* &quot;-&quot;??_);_(@_)"/>
    <numFmt numFmtId="184" formatCode="_(* #,##0.0_);_(* \(#,##0.0\);_(* &quot;-&quot;??_);@"/>
    <numFmt numFmtId="185" formatCode="_(* #,##0.0_);_(* \(#,##0.0\);_(* &quot; - &quot;??_);_(&quot;Last Price (&quot;@&quot;) &quot;_)"/>
    <numFmt numFmtId="186" formatCode="_(* #,##0.0_);_(* \(#,##0.0\);_(* &quot;-&quot;??_);_(&quot;Real-Time Stock Price :   &quot;@_)"/>
    <numFmt numFmtId="187" formatCode="_(\$* 0.00_);_(\$* \(0.00\);_(\$* &quot;-&quot;??_);_(@\ * \ &quot;Toggle  &gt;&gt;&gt;&quot;_)"/>
    <numFmt numFmtId="188" formatCode="m/d/yy"/>
    <numFmt numFmtId="189" formatCode="_(&quot;$&quot;* #,##0.000_);_(&quot;$&quot;* \(#,##0.000\);_(&quot;$&quot;* &quot;-&quot;??_);_(@_)"/>
    <numFmt numFmtId="190" formatCode="_(* #,##0.0_);_(* \(#,##0.0\);_(* &quot;-&quot;??_);_(&quot;Ticker :   &quot;@_)"/>
    <numFmt numFmtId="191" formatCode="_(* #,##0.0_);_(* \(#,##0.0\);_(* &quot;-&quot;??_);_(&quot;Tegus Ticker &gt;&gt; &quot;@_)"/>
    <numFmt numFmtId="192" formatCode="_(* #,##0.0_);_(* \(#,##0.0\);_(* &quot;-&quot;??_);_(&quot;Bloomberg &gt;&gt; &quot;@_)"/>
    <numFmt numFmtId="193" formatCode="_(* #,##0.0_);_(* \(#,##0.0\);_(* &quot;-&quot;??_);_(&quot;Capital IQ &gt;&gt; &quot;@_)"/>
    <numFmt numFmtId="194" formatCode="_(* #,##0.0_);_(* \(#,##0.0\);_(* &quot;-&quot;??_);_(&quot;FactSet &gt;&gt; &quot;@_)"/>
    <numFmt numFmtId="195" formatCode="_(* #,##0.0_);_(* \(#,##0.0\);_(* &quot; -&quot;??_);_(&quot;Refinitiv &gt;&gt; &quot;@_)"/>
    <numFmt numFmtId="196" formatCode="_(* 0.0%_);_(* &quot;NMF&quot;_);_(* &quot;-&quot;??_);_(@_)"/>
    <numFmt numFmtId="197" formatCode="_(* 0.0%_);_(* &quot;n/a&quot;_);_(* &quot;-&quot;??_);_(@_)"/>
    <numFmt numFmtId="198" formatCode="_(* #,##0.0_);_(* \(#,##0.0\);_(* &quot;-&quot;??_);_(@\ * \ &quot;Toggle  &gt;&gt;&gt;&quot;_)"/>
    <numFmt numFmtId="199" formatCode="_(* #,##0.0_);_(* \(#,##0.0\);_(* &quot;-&quot;??_);_(&quot;Template Version: &quot;@_)"/>
    <numFmt numFmtId="200" formatCode="_(* 0.0\ \x_);\ _(* \-0.0\ \x_);_(* &quot;-&quot;??_);_(@_)"/>
    <numFmt numFmtId="201" formatCode="_(@_)"/>
    <numFmt numFmtId="202" formatCode="yyyy\-mm\-dd;@"/>
    <numFmt numFmtId="203" formatCode=";;;"/>
    <numFmt numFmtId="204" formatCode="0.0%"/>
    <numFmt numFmtId="205" formatCode="$#,##0.00"/>
    <numFmt numFmtId="206" formatCode="+0.0%;-0.0%"/>
  </numFmts>
  <fonts count="70">
    <font>
      <name val="Calibri"/>
      <family val="2"/>
      <sz val="11"/>
    </font>
    <font>
      <name val="Arial"/>
      <family val="2"/>
      <color theme="1"/>
      <sz val="10"/>
    </font>
    <font>
      <name val="Calibri"/>
      <family val="2"/>
      <color theme="1"/>
      <sz val="11"/>
      <scheme val="minor"/>
    </font>
    <font>
      <name val="Calibri"/>
      <family val="2"/>
      <b val="1"/>
      <color theme="1"/>
      <sz val="11"/>
      <scheme val="minor"/>
    </font>
    <font>
      <name val="Calibri"/>
      <family val="2"/>
      <color theme="10"/>
      <sz val="11"/>
      <u val="single"/>
      <scheme val="minor"/>
    </font>
    <font>
      <name val="Calibri"/>
      <family val="2"/>
      <i val="1"/>
      <color theme="1"/>
      <sz val="11"/>
      <scheme val="minor"/>
    </font>
    <font>
      <name val="Calibri"/>
      <family val="2"/>
      <b val="1"/>
      <sz val="11"/>
      <scheme val="minor"/>
    </font>
    <font>
      <name val="Calibri"/>
      <family val="2"/>
      <b val="1"/>
      <sz val="11"/>
    </font>
    <font>
      <name val="Calibri"/>
      <family val="2"/>
      <sz val="11"/>
      <scheme val="minor"/>
    </font>
    <font>
      <name val="Calibri"/>
      <family val="2"/>
      <color rgb="FFFF0000"/>
      <sz val="11"/>
    </font>
    <font>
      <name val="Calibri"/>
      <family val="2"/>
      <b val="1"/>
      <i val="1"/>
      <sz val="11"/>
    </font>
    <font>
      <name val="Calibri"/>
      <family val="2"/>
      <color theme="1"/>
      <sz val="22"/>
      <scheme val="minor"/>
    </font>
    <font>
      <name val="Calibri"/>
      <family val="2"/>
      <color theme="10"/>
      <sz val="11"/>
      <u val="single"/>
    </font>
    <font>
      <name val="Calibri"/>
      <family val="2"/>
      <color theme="1"/>
      <sz val="14"/>
      <scheme val="minor"/>
    </font>
    <font>
      <name val="Calibri"/>
      <family val="2"/>
      <b val="1"/>
      <i val="1"/>
      <color theme="1"/>
      <sz val="11"/>
      <scheme val="minor"/>
    </font>
    <font>
      <name val="Calibri"/>
      <family val="2"/>
      <b val="1"/>
      <color rgb="FFFF0000"/>
      <sz val="11"/>
    </font>
    <font>
      <name val="Calibri"/>
      <family val="2"/>
      <color rgb="FF006100"/>
      <sz val="11"/>
      <scheme val="minor"/>
    </font>
    <font>
      <name val="Calibri"/>
      <family val="2"/>
      <color theme="1"/>
      <sz val="10"/>
      <scheme val="minor"/>
    </font>
    <font>
      <name val="Calibri"/>
      <family val="2"/>
      <b val="1"/>
      <color theme="1"/>
      <sz val="10"/>
      <scheme val="minor"/>
    </font>
    <font>
      <name val="Calibri"/>
      <family val="2"/>
      <b val="1"/>
      <color theme="1"/>
      <sz val="14"/>
      <scheme val="minor"/>
    </font>
    <font>
      <name val="Calibri"/>
      <family val="2"/>
      <color theme="10"/>
      <sz val="14"/>
      <u val="single"/>
      <scheme val="minor"/>
    </font>
    <font>
      <name val="Calibri"/>
      <family val="2"/>
      <sz val="14"/>
      <scheme val="minor"/>
    </font>
    <font>
      <name val="Calibri"/>
      <family val="2"/>
      <i val="1"/>
      <sz val="11"/>
    </font>
    <font>
      <name val="Calibri"/>
      <family val="2"/>
      <b val="1"/>
      <i val="1"/>
      <sz val="11"/>
      <scheme val="minor"/>
    </font>
    <font>
      <name val="Tahoma"/>
      <family val="2"/>
      <b val="1"/>
      <sz val="9"/>
    </font>
    <font>
      <name val="Calibri"/>
      <family val="2"/>
      <color theme="10"/>
      <sz val="26"/>
      <u val="single"/>
      <scheme val="minor"/>
    </font>
    <font>
      <name val="Tahoma"/>
      <family val="2"/>
      <sz val="9"/>
    </font>
    <font>
      <name val="Calibri"/>
      <family val="2"/>
      <color rgb="FF000000"/>
      <sz val="11"/>
      <scheme val="minor"/>
    </font>
    <font>
      <name val="Calibri"/>
      <family val="2"/>
      <color theme="0"/>
      <sz val="10"/>
      <scheme val="minor"/>
    </font>
    <font>
      <name val="Calibri"/>
      <family val="2"/>
      <i val="1"/>
      <color rgb="FF000000"/>
      <sz val="11"/>
      <scheme val="minor"/>
    </font>
    <font>
      <name val="Calibri"/>
      <family val="2"/>
      <i val="1"/>
      <color rgb="FF000000"/>
      <sz val="11"/>
    </font>
    <font>
      <name val="Calibri"/>
      <family val="2"/>
      <b val="1"/>
      <color rgb="FF000000"/>
      <sz val="11"/>
    </font>
    <font>
      <name val="Calibri"/>
      <family val="2"/>
      <b val="1"/>
      <color rgb="FF000000"/>
      <sz val="11"/>
      <scheme val="minor"/>
    </font>
    <font>
      <name val="Calibri"/>
      <family val="2"/>
      <color rgb="FFFFFFFF"/>
      <sz val="11"/>
    </font>
    <font>
      <name val="Calibri"/>
      <family val="2"/>
      <b val="1"/>
      <color rgb="FFFFFFFF"/>
      <sz val="11"/>
    </font>
    <font>
      <name val="Calibri"/>
      <family val="2"/>
      <color rgb="FF000000"/>
      <sz val="11"/>
    </font>
    <font>
      <name val="Calibri"/>
      <family val="2"/>
      <i val="1"/>
      <color rgb="FFFF0000"/>
      <sz val="11"/>
    </font>
    <font>
      <name val="Calibri"/>
      <family val="2"/>
      <b val="1"/>
      <color rgb="FFFFFFFF"/>
      <sz val="11"/>
      <scheme val="minor"/>
    </font>
    <font>
      <name val="Calibri"/>
      <family val="2"/>
      <b val="1"/>
      <i val="1"/>
      <color rgb="FF000000"/>
      <sz val="11"/>
      <scheme val="minor"/>
    </font>
    <font>
      <name val="Calibri"/>
      <family val="2"/>
      <b val="1"/>
      <color rgb="FFD04B35"/>
      <sz val="14"/>
      <scheme val="minor"/>
    </font>
    <font>
      <name val="Calibri"/>
      <family val="2"/>
      <b val="1"/>
      <i val="1"/>
      <color rgb="FF000000"/>
      <sz val="11"/>
    </font>
    <font>
      <name val="Calibri"/>
      <family val="2"/>
      <b val="1"/>
      <i val="1"/>
      <color rgb="FFFF0000"/>
      <sz val="11"/>
    </font>
    <font>
      <name val="Calibri"/>
      <family val="2"/>
      <i val="1"/>
      <color rgb="FFFFFFFF"/>
      <sz val="11"/>
    </font>
    <font>
      <name val="Calibri"/>
      <family val="2"/>
      <b val="1"/>
      <i val="1"/>
      <color rgb="FFFFFFFF"/>
      <sz val="11"/>
    </font>
    <font>
      <name val="Calibri"/>
      <family val="2"/>
      <color rgb="FF000000"/>
      <sz val="22"/>
      <u val="single"/>
      <scheme val="minor"/>
    </font>
    <font>
      <name val="Calibri"/>
      <family val="2"/>
      <color rgb="FF0000FF"/>
      <sz val="14"/>
      <scheme val="minor"/>
    </font>
    <font>
      <name val="Calibri"/>
      <family val="2"/>
      <color rgb="FF0000FF"/>
      <sz val="14"/>
      <u val="single"/>
      <scheme val="minor"/>
    </font>
    <font>
      <name val="Calibri"/>
      <family val="2"/>
      <color rgb="FF000000"/>
      <sz val="7"/>
      <scheme val="minor"/>
    </font>
    <font>
      <name val="Calibri"/>
      <family val="2"/>
      <b val="1"/>
      <color rgb="FF000000"/>
      <sz val="7"/>
      <scheme val="minor"/>
    </font>
    <font>
      <name val="Calibri"/>
      <family val="2"/>
      <color rgb="FFFF0000"/>
      <sz val="11"/>
      <scheme val="minor"/>
    </font>
    <font>
      <name val="Calibri"/>
      <family val="2"/>
      <b val="1"/>
      <color rgb="FFFF0000"/>
      <sz val="11"/>
      <scheme val="minor"/>
    </font>
    <font>
      <name val="Calibri"/>
      <family val="2"/>
      <b val="1"/>
      <color rgb="FFFF0000"/>
      <sz val="10"/>
      <scheme val="minor"/>
    </font>
    <font>
      <name val="Calibri"/>
      <family val="2"/>
      <i val="1"/>
      <sz val="11"/>
      <scheme val="minor"/>
    </font>
    <font>
      <name val="Calibri"/>
      <family val="2"/>
      <b val="1"/>
      <color theme="0"/>
      <sz val="11"/>
    </font>
    <font>
      <name val="Calibri"/>
      <family val="2"/>
      <color theme="0" tint="-0.0489600002765656"/>
      <sz val="11"/>
    </font>
    <font>
      <name val="Calibri"/>
      <family val="2"/>
      <color rgb="FFF2F2F2"/>
      <sz val="11"/>
    </font>
    <font>
      <name val="Calibri"/>
      <family val="2"/>
      <color rgb="FF0000FF"/>
      <sz val="11"/>
    </font>
    <font>
      <name val="Calibri"/>
      <family val="2"/>
      <color rgb="FF0000FF"/>
      <sz val="11"/>
      <u val="single"/>
      <scheme val="minor"/>
    </font>
    <font>
      <name val="Calibri"/>
      <family val="2"/>
      <b val="1"/>
      <i val="1"/>
      <color rgb="FF0000FC"/>
      <sz val="11"/>
    </font>
    <font>
      <name val="Calibri"/>
      <family val="2"/>
      <b val="1"/>
      <color rgb="FF0000FC"/>
      <sz val="11"/>
    </font>
    <font>
      <name val="Calibri"/>
      <family val="2"/>
      <color rgb="FF0000FC"/>
      <sz val="11"/>
    </font>
    <font>
      <name val="Calibri"/>
      <family val="2"/>
      <i val="1"/>
      <color rgb="FF0000FC"/>
      <sz val="11"/>
    </font>
    <font>
      <name val="Calibri"/>
      <family val="2"/>
      <color rgb="FF0000FC"/>
      <sz val="11"/>
      <scheme val="minor"/>
    </font>
    <font>
      <b val="1"/>
      <color rgb="00000000"/>
      <sz val="14"/>
    </font>
    <font>
      <b val="1"/>
      <color rgb="00000000"/>
    </font>
    <font>
      <b val="1"/>
      <color rgb="00000000"/>
      <sz val="12"/>
    </font>
    <font>
      <color rgb="00007F00"/>
    </font>
    <font>
      <b val="1"/>
      <sz val="14"/>
    </font>
    <font>
      <b val="1"/>
    </font>
    <font>
      <b val="1"/>
      <sz val="12"/>
    </font>
  </fonts>
  <fills count="14">
    <fill>
      <patternFill/>
    </fill>
    <fill>
      <patternFill patternType="gray125"/>
    </fill>
    <fill>
      <patternFill patternType="solid">
        <fgColor rgb="FFC6EFCE"/>
        <bgColor indexed="64"/>
      </patternFill>
    </fill>
    <fill>
      <patternFill patternType="solid">
        <fgColor theme="0"/>
        <bgColor indexed="64"/>
      </patternFill>
    </fill>
    <fill>
      <patternFill patternType="solid">
        <fgColor rgb="FFFFFFFF"/>
        <bgColor indexed="64"/>
      </patternFill>
    </fill>
    <fill>
      <patternFill patternType="solid">
        <fgColor rgb="FF89E0FF"/>
        <bgColor indexed="64"/>
      </patternFill>
    </fill>
    <fill>
      <patternFill patternType="solid">
        <fgColor rgb="FF000000"/>
        <bgColor indexed="64"/>
      </patternFill>
    </fill>
    <fill>
      <patternFill patternType="solid">
        <fgColor rgb="FFD0F9F2"/>
        <bgColor indexed="64"/>
      </patternFill>
    </fill>
    <fill>
      <patternFill patternType="solid">
        <fgColor rgb="FFECEDF0"/>
        <bgColor indexed="64"/>
      </patternFill>
    </fill>
    <fill>
      <patternFill patternType="solid">
        <fgColor theme="1"/>
        <bgColor indexed="64"/>
      </patternFill>
    </fill>
    <fill>
      <patternFill patternType="solid">
        <fgColor theme="0" tint="-0.247850000858307"/>
        <bgColor indexed="64"/>
      </patternFill>
    </fill>
    <fill>
      <patternFill patternType="solid">
        <fgColor theme="0" tint="-0.248339995741844"/>
        <bgColor indexed="64"/>
      </patternFill>
    </fill>
    <fill>
      <patternFill patternType="solid">
        <fgColor rgb="FFF2F2F2"/>
        <bgColor indexed="64"/>
      </patternFill>
    </fill>
    <fill>
      <patternFill patternType="solid">
        <fgColor rgb="00CCCCFF"/>
        <bgColor rgb="00CCCCFF"/>
      </patternFill>
    </fill>
  </fills>
  <borders count="36">
    <border>
      <left/>
      <right/>
      <top/>
      <bottom/>
      <diagonal/>
    </border>
    <border>
      <left/>
      <right/>
      <top style="thin">
        <color auto="1"/>
      </top>
      <bottom/>
    </border>
    <border>
      <left style="thin">
        <color auto="1"/>
      </left>
      <right/>
      <top style="thin">
        <color auto="1"/>
      </top>
      <bottom/>
    </border>
    <border>
      <left/>
      <right style="thin">
        <color auto="1"/>
      </right>
      <top/>
      <bottom style="thin">
        <color auto="1"/>
      </bottom>
    </border>
    <border>
      <left/>
      <right/>
      <top/>
      <bottom style="thin">
        <color auto="1"/>
      </bottom>
    </border>
    <border>
      <left style="thin">
        <color auto="1"/>
      </left>
      <right/>
      <top/>
      <bottom style="thin">
        <color auto="1"/>
      </bottom>
    </border>
    <border>
      <left/>
      <right style="thin">
        <color auto="1"/>
      </right>
      <top/>
      <bottom/>
    </border>
    <border>
      <left style="thin">
        <color auto="1"/>
      </left>
      <right/>
      <top/>
      <bottom/>
    </border>
    <border>
      <left/>
      <right style="thin">
        <color auto="1"/>
      </right>
      <top style="thin">
        <color auto="1"/>
      </top>
      <bottom/>
    </border>
    <border>
      <left/>
      <right/>
      <top style="thin">
        <color rgb="FF000000"/>
      </top>
      <bottom/>
    </border>
    <border>
      <left/>
      <right/>
      <top/>
      <bottom style="thin">
        <color rgb="FF000000"/>
      </bottom>
    </border>
    <border>
      <left style="thin">
        <color rgb="FF000000"/>
      </left>
      <right/>
      <top/>
      <bottom/>
    </border>
    <border>
      <left style="thin">
        <color rgb="FF000000"/>
      </left>
      <right/>
      <top style="thin">
        <color rgb="FF000000"/>
      </top>
      <bottom/>
    </border>
    <border>
      <left/>
      <right style="thick">
        <color auto="1"/>
      </right>
      <top/>
      <bottom/>
    </border>
    <border>
      <left/>
      <right style="thin">
        <color rgb="FF000000"/>
      </right>
      <top/>
      <bottom/>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rgb="FF000000"/>
      </left>
      <right style="thin">
        <color rgb="FF000000"/>
      </right>
      <top style="thin">
        <color rgb="FF000000"/>
      </top>
      <bottom style="thin">
        <color rgb="FF000000"/>
      </bottom>
    </border>
    <border>
      <left/>
      <right/>
      <top style="thin">
        <color auto="1"/>
      </top>
      <bottom style="thin">
        <color auto="1"/>
      </bottom>
    </border>
    <border>
      <left/>
      <right style="thick">
        <color auto="1"/>
      </right>
      <top style="thin">
        <color auto="1"/>
      </top>
      <bottom/>
    </border>
    <border>
      <left/>
      <right style="thick">
        <color auto="1"/>
      </right>
      <top/>
      <bottom style="thin">
        <color auto="1"/>
      </bottom>
    </border>
    <border>
      <left/>
      <right style="thick">
        <color auto="1"/>
      </right>
      <top style="thin">
        <color rgb="FF000000"/>
      </top>
      <bottom/>
    </border>
    <border>
      <left/>
      <right style="thin">
        <color rgb="FF000000"/>
      </right>
      <top style="thin">
        <color rgb="FF000000"/>
      </top>
      <bottom/>
    </border>
    <border>
      <left style="thin">
        <color rgb="FF000000"/>
      </left>
      <right/>
      <top/>
      <bottom style="thin">
        <color auto="1"/>
      </bottom>
    </border>
    <border>
      <left/>
      <right style="thin">
        <color rgb="FF000000"/>
      </right>
      <top/>
      <bottom style="thin">
        <color auto="1"/>
      </bottom>
    </border>
    <border>
      <left style="thin">
        <color auto="1"/>
      </left>
      <right style="thin">
        <color auto="1"/>
      </right>
      <top/>
      <bottom/>
    </border>
    <border>
      <left style="thin">
        <color auto="1"/>
      </left>
      <right style="thin">
        <color auto="1"/>
      </right>
      <top/>
      <bottom style="thin">
        <color auto="1"/>
      </bottom>
    </border>
    <border>
      <left style="thin">
        <color rgb="FF000000"/>
      </left>
      <right style="thin">
        <color rgb="FF000000"/>
      </right>
      <top/>
      <bottom style="thin">
        <color rgb="FF000000"/>
      </bottom>
    </border>
    <border>
      <left/>
      <right style="thick">
        <color auto="1"/>
      </right>
      <top style="thin">
        <color auto="1"/>
      </top>
      <bottom style="thin">
        <color auto="1"/>
      </bottom>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0">
    <xf numFmtId="0" fontId="0" fillId="0" borderId="0"/>
    <xf numFmtId="9" fontId="1" fillId="0" borderId="0"/>
    <xf numFmtId="44" fontId="0" fillId="0" borderId="0"/>
    <xf numFmtId="42" fontId="1" fillId="0" borderId="0"/>
    <xf numFmtId="43" fontId="1" fillId="0" borderId="0"/>
    <xf numFmtId="41" fontId="1" fillId="0" borderId="0"/>
    <xf numFmtId="0" fontId="4" fillId="0" borderId="0"/>
    <xf numFmtId="0" fontId="2" fillId="0" borderId="0"/>
    <xf numFmtId="44" fontId="2" fillId="0" borderId="0"/>
    <xf numFmtId="0" fontId="12" fillId="0" borderId="0" applyProtection="1">
      <protection locked="0" hidden="0"/>
    </xf>
    <xf numFmtId="9" fontId="2" fillId="0" borderId="0"/>
    <xf numFmtId="0" fontId="16" fillId="2" borderId="0"/>
    <xf numFmtId="0" fontId="2" fillId="0" borderId="0"/>
    <xf numFmtId="0" fontId="0" fillId="0" borderId="0"/>
    <xf numFmtId="44" fontId="0" fillId="0" borderId="0"/>
    <xf numFmtId="44" fontId="0" fillId="0" borderId="0"/>
    <xf numFmtId="44" fontId="0" fillId="0" borderId="0"/>
    <xf numFmtId="0" fontId="0" fillId="0" borderId="0"/>
    <xf numFmtId="0" fontId="2" fillId="0" borderId="0"/>
    <xf numFmtId="0" fontId="2" fillId="0" borderId="0"/>
  </cellStyleXfs>
  <cellXfs count="2231">
    <xf numFmtId="0" fontId="0" fillId="0" borderId="0" pivotButton="0" quotePrefix="0" xfId="0"/>
    <xf numFmtId="0" fontId="0" fillId="3" borderId="1" applyAlignment="1" pivotButton="0" quotePrefix="0" xfId="0">
      <alignment horizontal="left" vertical="top" wrapText="1"/>
    </xf>
    <xf numFmtId="0" fontId="0" fillId="3" borderId="2" applyAlignment="1" pivotButton="0" quotePrefix="0" xfId="0">
      <alignment horizontal="left" vertical="top" wrapText="1"/>
    </xf>
    <xf numFmtId="0" fontId="2" fillId="4" borderId="0" applyAlignment="1" pivotButton="0" quotePrefix="1" xfId="26">
      <alignment horizontal="left" vertical="top" wrapText="1"/>
    </xf>
    <xf numFmtId="0" fontId="2" fillId="4" borderId="3" applyAlignment="1" pivotButton="0" quotePrefix="0" xfId="26">
      <alignment vertical="top" wrapText="1"/>
    </xf>
    <xf numFmtId="0" fontId="2" fillId="4" borderId="4" applyAlignment="1" pivotButton="0" quotePrefix="0" xfId="26">
      <alignment vertical="top" wrapText="1"/>
    </xf>
    <xf numFmtId="0" fontId="2" fillId="4" borderId="5" applyAlignment="1" pivotButton="0" quotePrefix="0" xfId="26">
      <alignment vertical="top" wrapText="1"/>
    </xf>
    <xf numFmtId="0" fontId="2" fillId="4" borderId="6" applyAlignment="1" pivotButton="0" quotePrefix="0" xfId="26">
      <alignment vertical="top" wrapText="1"/>
    </xf>
    <xf numFmtId="0" fontId="2" fillId="4" borderId="0" applyAlignment="1" pivotButton="0" quotePrefix="0" xfId="26">
      <alignment vertical="top" wrapText="1"/>
    </xf>
    <xf numFmtId="0" fontId="2" fillId="4" borderId="7" applyAlignment="1" pivotButton="0" quotePrefix="0" xfId="26">
      <alignment vertical="top" wrapText="1"/>
    </xf>
    <xf numFmtId="0" fontId="2" fillId="4" borderId="8" applyAlignment="1" pivotButton="0" quotePrefix="0" xfId="26">
      <alignment vertical="top" wrapText="1"/>
    </xf>
    <xf numFmtId="0" fontId="2" fillId="4" borderId="1" applyAlignment="1" pivotButton="0" quotePrefix="0" xfId="26">
      <alignment vertical="top" wrapText="1"/>
    </xf>
    <xf numFmtId="0" fontId="47" fillId="4" borderId="2" applyAlignment="1" pivotButton="0" quotePrefix="0" xfId="26">
      <alignment vertical="top" wrapText="1"/>
    </xf>
    <xf numFmtId="0" fontId="11" fillId="4" borderId="0" applyAlignment="1" pivotButton="0" quotePrefix="0" xfId="26">
      <alignment horizontal="center"/>
    </xf>
    <xf numFmtId="0" fontId="45" fillId="4" borderId="0" pivotButton="0" quotePrefix="0" xfId="26"/>
    <xf numFmtId="0" fontId="46" fillId="4" borderId="0" pivotButton="0" quotePrefix="0" xfId="20"/>
    <xf numFmtId="0" fontId="2" fillId="0" borderId="0" pivotButton="0" quotePrefix="0" xfId="26"/>
    <xf numFmtId="0" fontId="17" fillId="0" borderId="0" pivotButton="0" quotePrefix="0" xfId="26"/>
    <xf numFmtId="164" fontId="15" fillId="5" borderId="0" applyAlignment="1" pivotButton="0" quotePrefix="0" xfId="0">
      <alignment horizontal="right"/>
    </xf>
    <xf numFmtId="165" fontId="0" fillId="5" borderId="0" pivotButton="0" quotePrefix="0" xfId="0"/>
    <xf numFmtId="164" fontId="0" fillId="5" borderId="0" pivotButton="0" quotePrefix="0" xfId="0"/>
    <xf numFmtId="164" fontId="0" fillId="5" borderId="0" applyAlignment="1" pivotButton="0" quotePrefix="0" xfId="0">
      <alignment horizontal="right"/>
    </xf>
    <xf numFmtId="166" fontId="9" fillId="5" borderId="0" pivotButton="0" quotePrefix="0" xfId="0"/>
    <xf numFmtId="167" fontId="3" fillId="4" borderId="0" pivotButton="0" quotePrefix="0" xfId="0"/>
    <xf numFmtId="168" fontId="30" fillId="5" borderId="0" applyAlignment="1" pivotButton="0" quotePrefix="0" xfId="0">
      <alignment horizontal="right"/>
    </xf>
    <xf numFmtId="164" fontId="30" fillId="5" borderId="0" pivotButton="0" quotePrefix="0" xfId="0"/>
    <xf numFmtId="164" fontId="31" fillId="5" borderId="0" applyAlignment="1" pivotButton="0" quotePrefix="0" xfId="0">
      <alignment horizontal="right"/>
    </xf>
    <xf numFmtId="165" fontId="0" fillId="4" borderId="0" pivotButton="0" quotePrefix="0" xfId="0"/>
    <xf numFmtId="0" fontId="0" fillId="4" borderId="0" pivotButton="0" quotePrefix="0" xfId="0"/>
    <xf numFmtId="169" fontId="7" fillId="4" borderId="9" pivotButton="0" quotePrefix="0" xfId="0"/>
    <xf numFmtId="170" fontId="0" fillId="4" borderId="0" applyAlignment="1" pivotButton="0" quotePrefix="0" xfId="0">
      <alignment horizontal="left" indent="1"/>
    </xf>
    <xf numFmtId="170" fontId="0" fillId="4" borderId="0" pivotButton="0" quotePrefix="0" xfId="0"/>
    <xf numFmtId="169" fontId="0" fillId="4" borderId="0" applyAlignment="1" pivotButton="0" quotePrefix="0" xfId="0">
      <alignment horizontal="left" indent="1"/>
    </xf>
    <xf numFmtId="165" fontId="0" fillId="4" borderId="0" applyAlignment="1" pivotButton="0" quotePrefix="0" xfId="0">
      <alignment horizontal="left" indent="1"/>
    </xf>
    <xf numFmtId="165" fontId="0" fillId="4" borderId="10" applyAlignment="1" pivotButton="0" quotePrefix="0" xfId="0">
      <alignment horizontal="left" indent="1"/>
    </xf>
    <xf numFmtId="165" fontId="0" fillId="4" borderId="10" pivotButton="0" quotePrefix="0" xfId="0"/>
    <xf numFmtId="0" fontId="33" fillId="6" borderId="0" pivotButton="0" quotePrefix="0" xfId="0"/>
    <xf numFmtId="171" fontId="0" fillId="4" borderId="0" pivotButton="0" quotePrefix="0" xfId="0"/>
    <xf numFmtId="171" fontId="9" fillId="4" borderId="0" pivotButton="0" quotePrefix="0" xfId="0"/>
    <xf numFmtId="169" fontId="2" fillId="4" borderId="11" applyAlignment="1" pivotButton="0" quotePrefix="0" xfId="21">
      <alignment horizontal="left" indent="1"/>
    </xf>
    <xf numFmtId="172" fontId="3" fillId="4" borderId="12" applyAlignment="1" pivotButton="0" quotePrefix="0" xfId="21">
      <alignment horizontal="left"/>
    </xf>
    <xf numFmtId="172" fontId="2" fillId="4" borderId="11" applyAlignment="1" pivotButton="0" quotePrefix="0" xfId="21">
      <alignment horizontal="left"/>
    </xf>
    <xf numFmtId="170" fontId="2" fillId="4" borderId="11" applyAlignment="1" pivotButton="0" quotePrefix="0" xfId="21">
      <alignment horizontal="left" indent="1"/>
    </xf>
    <xf numFmtId="170" fontId="2" fillId="4" borderId="11" applyAlignment="1" pivotButton="0" quotePrefix="0" xfId="21">
      <alignment horizontal="left" indent="2"/>
    </xf>
    <xf numFmtId="171" fontId="2" fillId="4" borderId="11" applyAlignment="1" pivotButton="0" quotePrefix="0" xfId="21">
      <alignment horizontal="left" indent="1"/>
    </xf>
    <xf numFmtId="171" fontId="2" fillId="4" borderId="11" applyAlignment="1" pivotButton="0" quotePrefix="0" xfId="21">
      <alignment horizontal="left" indent="2"/>
    </xf>
    <xf numFmtId="169" fontId="27" fillId="4" borderId="0" pivotButton="0" quotePrefix="0" xfId="16"/>
    <xf numFmtId="164" fontId="30" fillId="5" borderId="0" applyAlignment="1" pivotButton="0" quotePrefix="0" xfId="0">
      <alignment horizontal="right"/>
    </xf>
    <xf numFmtId="169" fontId="3" fillId="4" borderId="8" applyAlignment="1" pivotButton="0" quotePrefix="0" xfId="21">
      <alignment horizontal="left"/>
    </xf>
    <xf numFmtId="169" fontId="2" fillId="4" borderId="6" applyAlignment="1" pivotButton="0" quotePrefix="0" xfId="21">
      <alignment horizontal="left" indent="1"/>
    </xf>
    <xf numFmtId="165" fontId="34" fillId="6" borderId="0" pivotButton="0" quotePrefix="0" xfId="27"/>
    <xf numFmtId="164" fontId="33" fillId="6" borderId="0" pivotButton="0" quotePrefix="0" xfId="27"/>
    <xf numFmtId="165" fontId="34" fillId="6" borderId="0" pivotButton="0" quotePrefix="0" xfId="0"/>
    <xf numFmtId="170" fontId="35" fillId="4" borderId="0" pivotButton="0" quotePrefix="0" xfId="0"/>
    <xf numFmtId="173" fontId="35" fillId="4" borderId="0" pivotButton="0" quotePrefix="0" xfId="0"/>
    <xf numFmtId="164" fontId="22" fillId="5" borderId="0" applyAlignment="1" pivotButton="0" quotePrefix="0" xfId="0">
      <alignment horizontal="right"/>
    </xf>
    <xf numFmtId="164" fontId="22" fillId="5" borderId="0" pivotButton="0" quotePrefix="0" xfId="0"/>
    <xf numFmtId="164" fontId="34" fillId="6" borderId="0" pivotButton="0" quotePrefix="0" xfId="0"/>
    <xf numFmtId="164" fontId="33" fillId="6" borderId="0" pivotButton="0" quotePrefix="0" xfId="0"/>
    <xf numFmtId="164" fontId="33" fillId="6" borderId="13" pivotButton="0" quotePrefix="0" xfId="0"/>
    <xf numFmtId="169" fontId="34" fillId="6" borderId="0" pivotButton="0" quotePrefix="0" xfId="0"/>
    <xf numFmtId="169" fontId="34" fillId="6" borderId="0" applyAlignment="1" pivotButton="0" quotePrefix="0" xfId="0">
      <alignment horizontal="left" indent="3"/>
    </xf>
    <xf numFmtId="165" fontId="35" fillId="5" borderId="0" pivotButton="0" quotePrefix="0" xfId="0"/>
    <xf numFmtId="165" fontId="35" fillId="4" borderId="0" applyAlignment="1" pivotButton="0" quotePrefix="0" xfId="0">
      <alignment horizontal="left" indent="1"/>
    </xf>
    <xf numFmtId="169" fontId="35" fillId="4" borderId="0" applyAlignment="1" pivotButton="0" quotePrefix="0" xfId="0">
      <alignment horizontal="left" indent="1"/>
    </xf>
    <xf numFmtId="169" fontId="7" fillId="4" borderId="1" applyAlignment="1" pivotButton="0" quotePrefix="0" xfId="0">
      <alignment horizontal="left"/>
    </xf>
    <xf numFmtId="164" fontId="0" fillId="4" borderId="0" pivotButton="0" quotePrefix="0" xfId="0"/>
    <xf numFmtId="165" fontId="9" fillId="4" borderId="0" pivotButton="0" quotePrefix="0" xfId="0"/>
    <xf numFmtId="165" fontId="9" fillId="5" borderId="0" pivotButton="0" quotePrefix="0" xfId="0"/>
    <xf numFmtId="164" fontId="22" fillId="4" borderId="0" applyAlignment="1" pivotButton="0" quotePrefix="0" xfId="0">
      <alignment horizontal="left" indent="1"/>
    </xf>
    <xf numFmtId="164" fontId="0" fillId="4" borderId="0" applyAlignment="1" pivotButton="0" quotePrefix="0" xfId="0">
      <alignment horizontal="left"/>
    </xf>
    <xf numFmtId="165" fontId="35" fillId="4" borderId="0" applyAlignment="1" pivotButton="0" quotePrefix="0" xfId="0">
      <alignment horizontal="left" indent="4"/>
    </xf>
    <xf numFmtId="169" fontId="0" fillId="4" borderId="0" applyAlignment="1" pivotButton="0" quotePrefix="0" xfId="0">
      <alignment horizontal="left"/>
    </xf>
    <xf numFmtId="0" fontId="32" fillId="5" borderId="0" applyAlignment="1" pivotButton="0" quotePrefix="0" xfId="0">
      <alignment horizontal="center"/>
    </xf>
    <xf numFmtId="164" fontId="35" fillId="5" borderId="0" applyAlignment="1" pivotButton="0" quotePrefix="0" xfId="0">
      <alignment horizontal="right"/>
    </xf>
    <xf numFmtId="168" fontId="31" fillId="5" borderId="0" pivotButton="0" quotePrefix="0" xfId="0"/>
    <xf numFmtId="168" fontId="31" fillId="5" borderId="0" pivotButton="0" quotePrefix="0" xfId="16"/>
    <xf numFmtId="174" fontId="31" fillId="5" borderId="0" applyAlignment="1" pivotButton="0" quotePrefix="0" xfId="0">
      <alignment horizontal="right"/>
    </xf>
    <xf numFmtId="174" fontId="35" fillId="5" borderId="0" applyAlignment="1" pivotButton="0" quotePrefix="0" xfId="0">
      <alignment horizontal="right"/>
    </xf>
    <xf numFmtId="170" fontId="35" fillId="5" borderId="0" pivotButton="0" quotePrefix="0" xfId="0"/>
    <xf numFmtId="175" fontId="35" fillId="5" borderId="0" pivotButton="0" quotePrefix="0" xfId="0"/>
    <xf numFmtId="171" fontId="35" fillId="5" borderId="0" pivotButton="0" quotePrefix="0" xfId="0"/>
    <xf numFmtId="17" fontId="35" fillId="4" borderId="0" pivotButton="0" quotePrefix="0" xfId="0"/>
    <xf numFmtId="171" fontId="35" fillId="4" borderId="0" pivotButton="0" quotePrefix="0" xfId="0"/>
    <xf numFmtId="17" fontId="35" fillId="4" borderId="14" pivotButton="0" quotePrefix="0" xfId="0"/>
    <xf numFmtId="170" fontId="35" fillId="4" borderId="14" pivotButton="0" quotePrefix="0" xfId="0"/>
    <xf numFmtId="171" fontId="35" fillId="4" borderId="14" pivotButton="0" quotePrefix="0" xfId="0"/>
    <xf numFmtId="166" fontId="35" fillId="5" borderId="0" pivotButton="0" quotePrefix="0" xfId="0"/>
    <xf numFmtId="164" fontId="0" fillId="4" borderId="0" applyAlignment="1" pivotButton="0" quotePrefix="0" xfId="0">
      <alignment horizontal="right"/>
    </xf>
    <xf numFmtId="164" fontId="15" fillId="4" borderId="0" applyAlignment="1" pivotButton="0" quotePrefix="0" xfId="0">
      <alignment horizontal="right"/>
    </xf>
    <xf numFmtId="164" fontId="31" fillId="4" borderId="0" applyAlignment="1" pivotButton="0" quotePrefix="0" xfId="0">
      <alignment horizontal="right"/>
    </xf>
    <xf numFmtId="168" fontId="31" fillId="4" borderId="0" pivotButton="0" quotePrefix="0" xfId="16"/>
    <xf numFmtId="168" fontId="31" fillId="4" borderId="0" pivotButton="0" quotePrefix="0" xfId="16"/>
    <xf numFmtId="176" fontId="31" fillId="5" borderId="0" pivotButton="0" quotePrefix="0" xfId="0"/>
    <xf numFmtId="176" fontId="15" fillId="5" borderId="0" pivotButton="0" quotePrefix="0" xfId="0"/>
    <xf numFmtId="168" fontId="31" fillId="5" borderId="0" applyAlignment="1" pivotButton="0" quotePrefix="0" xfId="16">
      <alignment horizontal="right" indent="1"/>
    </xf>
    <xf numFmtId="169" fontId="35" fillId="4" borderId="0" applyAlignment="1" pivotButton="0" quotePrefix="0" xfId="0">
      <alignment horizontal="left" indent="3"/>
    </xf>
    <xf numFmtId="169" fontId="31" fillId="4" borderId="0" applyAlignment="1" pivotButton="0" quotePrefix="0" xfId="0">
      <alignment horizontal="left" indent="3"/>
    </xf>
    <xf numFmtId="165" fontId="35" fillId="4" borderId="0" applyAlignment="1" pivotButton="0" quotePrefix="0" xfId="0">
      <alignment horizontal="left"/>
    </xf>
    <xf numFmtId="169" fontId="3" fillId="4" borderId="1" applyAlignment="1" pivotButton="0" quotePrefix="0" xfId="21">
      <alignment horizontal="left"/>
    </xf>
    <xf numFmtId="169" fontId="3" fillId="4" borderId="0" applyAlignment="1" pivotButton="0" quotePrefix="0" xfId="21">
      <alignment horizontal="left"/>
    </xf>
    <xf numFmtId="0" fontId="2" fillId="4" borderId="0" pivotButton="0" quotePrefix="0" xfId="26"/>
    <xf numFmtId="0" fontId="13" fillId="4" borderId="0" applyAlignment="1" pivotButton="0" quotePrefix="0" xfId="26">
      <alignment vertical="center"/>
    </xf>
    <xf numFmtId="0" fontId="19" fillId="4" borderId="0" applyAlignment="1" pivotButton="0" quotePrefix="0" xfId="26">
      <alignment vertical="center"/>
    </xf>
    <xf numFmtId="0" fontId="2" fillId="4" borderId="0" applyAlignment="1" pivotButton="0" quotePrefix="0" xfId="26">
      <alignment vertical="center"/>
    </xf>
    <xf numFmtId="0" fontId="19" fillId="4" borderId="0" applyAlignment="1" pivotButton="0" quotePrefix="0" xfId="26">
      <alignment horizontal="center" vertical="center"/>
    </xf>
    <xf numFmtId="0" fontId="13" fillId="4" borderId="0" pivotButton="0" quotePrefix="0" xfId="26"/>
    <xf numFmtId="14" fontId="13" fillId="4" borderId="0" applyAlignment="1" pivotButton="0" quotePrefix="0" xfId="26">
      <alignment horizontal="center" vertical="center"/>
    </xf>
    <xf numFmtId="0" fontId="13" fillId="4" borderId="0" applyAlignment="1" pivotButton="0" quotePrefix="0" xfId="26">
      <alignment horizontal="center"/>
    </xf>
    <xf numFmtId="0" fontId="18" fillId="4" borderId="0" pivotButton="0" quotePrefix="0" xfId="26"/>
    <xf numFmtId="0" fontId="17" fillId="4" borderId="0" pivotButton="0" quotePrefix="0" xfId="26"/>
    <xf numFmtId="0" fontId="28" fillId="4" borderId="0" applyAlignment="1" pivotButton="0" quotePrefix="0" xfId="26">
      <alignment horizontal="center"/>
    </xf>
    <xf numFmtId="1" fontId="17" fillId="4" borderId="0" applyAlignment="1" pivotButton="0" quotePrefix="0" xfId="26">
      <alignment horizontal="center"/>
    </xf>
    <xf numFmtId="0" fontId="18" fillId="4" borderId="0" pivotButton="0" quotePrefix="1" xfId="26"/>
    <xf numFmtId="0" fontId="19" fillId="4" borderId="0" pivotButton="0" quotePrefix="0" xfId="26"/>
    <xf numFmtId="173" fontId="17" fillId="4" borderId="0" pivotButton="0" quotePrefix="0" xfId="26"/>
    <xf numFmtId="177" fontId="19" fillId="4" borderId="0" applyAlignment="1" pivotButton="0" quotePrefix="0" xfId="26">
      <alignment horizontal="center" vertical="center"/>
    </xf>
    <xf numFmtId="178" fontId="3" fillId="4" borderId="0" applyAlignment="1" pivotButton="0" quotePrefix="0" xfId="26">
      <alignment horizontal="right"/>
    </xf>
    <xf numFmtId="179" fontId="3" fillId="4" borderId="0" applyAlignment="1" pivotButton="0" quotePrefix="0" xfId="26">
      <alignment horizontal="right"/>
    </xf>
    <xf numFmtId="14" fontId="8" fillId="4" borderId="15" applyAlignment="1" pivotButton="0" quotePrefix="0" xfId="26">
      <alignment horizontal="center"/>
    </xf>
    <xf numFmtId="0" fontId="8" fillId="4" borderId="15" applyAlignment="1" pivotButton="0" quotePrefix="0" xfId="26">
      <alignment horizontal="center"/>
    </xf>
    <xf numFmtId="14" fontId="13" fillId="7" borderId="0" applyAlignment="1" pivotButton="0" quotePrefix="0" xfId="26">
      <alignment horizontal="center" vertical="center"/>
    </xf>
    <xf numFmtId="0" fontId="21" fillId="7" borderId="0" applyAlignment="1" pivotButton="0" quotePrefix="0" xfId="26">
      <alignment horizontal="center" vertical="center"/>
    </xf>
    <xf numFmtId="1" fontId="39" fillId="8" borderId="0" applyAlignment="1" pivotButton="0" quotePrefix="0" xfId="26">
      <alignment horizontal="center" vertical="center"/>
    </xf>
    <xf numFmtId="0" fontId="32" fillId="4" borderId="15" applyAlignment="1" pivotButton="0" quotePrefix="0" xfId="26">
      <alignment horizontal="center"/>
    </xf>
    <xf numFmtId="165" fontId="30" fillId="4" borderId="0" applyAlignment="1" pivotButton="0" quotePrefix="0" xfId="0">
      <alignment horizontal="left" indent="1"/>
    </xf>
    <xf numFmtId="164" fontId="22" fillId="4" borderId="0" pivotButton="0" quotePrefix="0" xfId="0"/>
    <xf numFmtId="164" fontId="36" fillId="4" borderId="0" pivotButton="0" quotePrefix="0" xfId="0"/>
    <xf numFmtId="164" fontId="36" fillId="5" borderId="0" pivotButton="0" quotePrefix="0" xfId="0"/>
    <xf numFmtId="165" fontId="30" fillId="4" borderId="4" applyAlignment="1" pivotButton="0" quotePrefix="0" xfId="0">
      <alignment horizontal="left" indent="1"/>
    </xf>
    <xf numFmtId="165" fontId="30" fillId="4" borderId="0" applyAlignment="1" pivotButton="0" quotePrefix="0" xfId="0">
      <alignment horizontal="left"/>
    </xf>
    <xf numFmtId="17" fontId="40" fillId="5" borderId="0" applyAlignment="1" pivotButton="0" quotePrefix="0" xfId="0">
      <alignment horizontal="center"/>
    </xf>
    <xf numFmtId="164" fontId="30" fillId="5" borderId="4" pivotButton="0" quotePrefix="0" xfId="0"/>
    <xf numFmtId="164" fontId="30" fillId="4" borderId="0" pivotButton="0" quotePrefix="0" xfId="0"/>
    <xf numFmtId="165" fontId="35" fillId="4" borderId="0" pivotButton="0" quotePrefix="0" xfId="0"/>
    <xf numFmtId="168" fontId="31" fillId="4" borderId="0" pivotButton="0" quotePrefix="0" xfId="0"/>
    <xf numFmtId="166" fontId="9" fillId="4" borderId="0" pivotButton="0" quotePrefix="0" xfId="0"/>
    <xf numFmtId="176" fontId="15" fillId="4" borderId="0" pivotButton="0" quotePrefix="0" xfId="0"/>
    <xf numFmtId="174" fontId="7" fillId="4" borderId="0" pivotButton="0" quotePrefix="0" xfId="0"/>
    <xf numFmtId="174" fontId="0" fillId="4" borderId="0" pivotButton="0" quotePrefix="0" xfId="0"/>
    <xf numFmtId="170" fontId="35" fillId="4" borderId="0" applyAlignment="1" pivotButton="0" quotePrefix="0" xfId="0">
      <alignment horizontal="right"/>
    </xf>
    <xf numFmtId="175" fontId="35" fillId="4" borderId="0" applyAlignment="1" pivotButton="0" quotePrefix="0" xfId="0">
      <alignment horizontal="right"/>
    </xf>
    <xf numFmtId="171" fontId="35" fillId="4" borderId="0" applyAlignment="1" pivotButton="0" quotePrefix="0" xfId="0">
      <alignment horizontal="right"/>
    </xf>
    <xf numFmtId="1" fontId="31" fillId="5" borderId="0" applyAlignment="1" pivotButton="0" quotePrefix="0" xfId="0">
      <alignment horizontal="center"/>
    </xf>
    <xf numFmtId="180" fontId="39" fillId="8" borderId="0" applyAlignment="1" pivotButton="0" quotePrefix="0" xfId="16">
      <alignment horizontal="center" vertical="center"/>
    </xf>
    <xf numFmtId="180" fontId="31" fillId="4" borderId="0" pivotButton="0" quotePrefix="0" xfId="0"/>
    <xf numFmtId="180" fontId="31" fillId="5" borderId="0" pivotButton="0" quotePrefix="0" xfId="0"/>
    <xf numFmtId="181" fontId="0" fillId="4" borderId="0" pivotButton="0" quotePrefix="0" xfId="0"/>
    <xf numFmtId="182" fontId="30" fillId="4" borderId="0" applyAlignment="1" pivotButton="0" quotePrefix="0" xfId="0">
      <alignment horizontal="left" indent="1"/>
    </xf>
    <xf numFmtId="182" fontId="36" fillId="4" borderId="0" pivotButton="0" quotePrefix="0" xfId="0"/>
    <xf numFmtId="182" fontId="30" fillId="5" borderId="0" pivotButton="0" quotePrefix="0" xfId="0"/>
    <xf numFmtId="182" fontId="36" fillId="5" borderId="0" pivotButton="0" quotePrefix="0" xfId="0"/>
    <xf numFmtId="181" fontId="35" fillId="4" borderId="0" applyAlignment="1" pivotButton="0" quotePrefix="0" xfId="0">
      <alignment horizontal="left" indent="1"/>
    </xf>
    <xf numFmtId="0" fontId="13" fillId="0" borderId="0" pivotButton="0" quotePrefix="0" xfId="26"/>
    <xf numFmtId="0" fontId="20" fillId="4" borderId="0" pivotButton="0" quotePrefix="0" xfId="20"/>
    <xf numFmtId="169" fontId="34" fillId="6" borderId="0" applyAlignment="1" pivotButton="0" quotePrefix="0" xfId="0">
      <alignment horizontal="left"/>
    </xf>
    <xf numFmtId="164" fontId="36" fillId="4" borderId="0" applyAlignment="1" pivotButton="0" quotePrefix="0" xfId="0">
      <alignment horizontal="right"/>
    </xf>
    <xf numFmtId="164" fontId="36" fillId="5" borderId="0" applyAlignment="1" pivotButton="0" quotePrefix="0" xfId="0">
      <alignment horizontal="right"/>
    </xf>
    <xf numFmtId="165" fontId="31" fillId="4" borderId="0" applyAlignment="1" pivotButton="0" quotePrefix="0" xfId="0">
      <alignment horizontal="right"/>
    </xf>
    <xf numFmtId="165" fontId="31" fillId="5" borderId="0" applyAlignment="1" pivotButton="0" quotePrefix="0" xfId="0">
      <alignment horizontal="right"/>
    </xf>
    <xf numFmtId="174" fontId="31" fillId="4" borderId="0" applyAlignment="1" pivotButton="0" quotePrefix="0" xfId="0">
      <alignment horizontal="right"/>
    </xf>
    <xf numFmtId="0" fontId="32" fillId="4" borderId="16" applyAlignment="1" pivotButton="0" quotePrefix="0" xfId="26">
      <alignment horizontal="left"/>
    </xf>
    <xf numFmtId="0" fontId="4" fillId="4" borderId="17" applyAlignment="1" pivotButton="0" quotePrefix="0" xfId="20">
      <alignment horizontal="left"/>
    </xf>
    <xf numFmtId="0" fontId="2" fillId="4" borderId="15" applyAlignment="1" pivotButton="0" quotePrefix="0" xfId="26">
      <alignment horizontal="center"/>
    </xf>
    <xf numFmtId="165" fontId="0" fillId="5" borderId="0" applyAlignment="1" pivotButton="0" quotePrefix="0" xfId="0">
      <alignment horizontal="right"/>
    </xf>
    <xf numFmtId="165" fontId="0" fillId="4" borderId="0" applyAlignment="1" pivotButton="0" quotePrefix="0" xfId="0">
      <alignment horizontal="right"/>
    </xf>
    <xf numFmtId="165" fontId="9" fillId="5" borderId="0" applyAlignment="1" pivotButton="0" quotePrefix="0" xfId="0">
      <alignment horizontal="right"/>
    </xf>
    <xf numFmtId="169" fontId="35" fillId="4" borderId="6" pivotButton="0" quotePrefix="0" xfId="0"/>
    <xf numFmtId="164" fontId="35" fillId="5" borderId="0" applyAlignment="1" pivotButton="0" quotePrefix="0" xfId="27">
      <alignment horizontal="right"/>
    </xf>
    <xf numFmtId="164" fontId="35" fillId="5" borderId="0" pivotButton="0" quotePrefix="0" xfId="27"/>
    <xf numFmtId="164" fontId="35" fillId="5" borderId="4" applyAlignment="1" pivotButton="0" quotePrefix="0" xfId="27">
      <alignment horizontal="right"/>
    </xf>
    <xf numFmtId="164" fontId="35" fillId="5" borderId="4" pivotButton="0" quotePrefix="0" xfId="27"/>
    <xf numFmtId="164" fontId="31" fillId="5" borderId="0" applyAlignment="1" pivotButton="0" quotePrefix="0" xfId="27">
      <alignment horizontal="right"/>
    </xf>
    <xf numFmtId="164" fontId="31" fillId="5" borderId="0" pivotButton="0" quotePrefix="0" xfId="27"/>
    <xf numFmtId="164" fontId="31" fillId="5" borderId="4" pivotButton="0" quotePrefix="0" xfId="0"/>
    <xf numFmtId="164" fontId="31" fillId="4" borderId="4" applyAlignment="1" pivotButton="0" quotePrefix="0" xfId="0">
      <alignment horizontal="right"/>
    </xf>
    <xf numFmtId="164" fontId="31" fillId="5" borderId="4" applyAlignment="1" pivotButton="0" quotePrefix="0" xfId="0">
      <alignment horizontal="right"/>
    </xf>
    <xf numFmtId="164" fontId="30" fillId="4" borderId="0" applyAlignment="1" pivotButton="0" quotePrefix="0" xfId="0">
      <alignment horizontal="right"/>
    </xf>
    <xf numFmtId="164" fontId="35" fillId="4" borderId="0" applyAlignment="1" pivotButton="0" quotePrefix="0" xfId="0">
      <alignment horizontal="left" indent="2"/>
    </xf>
    <xf numFmtId="169" fontId="35" fillId="4" borderId="4" applyAlignment="1" pivotButton="0" quotePrefix="0" xfId="0">
      <alignment horizontal="left" indent="1"/>
    </xf>
    <xf numFmtId="164" fontId="30" fillId="4" borderId="0" applyAlignment="1" pivotButton="0" quotePrefix="0" xfId="0">
      <alignment horizontal="left" indent="1"/>
    </xf>
    <xf numFmtId="164" fontId="35" fillId="4" borderId="0" applyAlignment="1" pivotButton="0" quotePrefix="0" xfId="0">
      <alignment horizontal="left"/>
    </xf>
    <xf numFmtId="169" fontId="31" fillId="4" borderId="1" applyAlignment="1" pivotButton="0" quotePrefix="0" xfId="0">
      <alignment horizontal="left"/>
    </xf>
    <xf numFmtId="169" fontId="35" fillId="4" borderId="0" applyAlignment="1" pivotButton="0" quotePrefix="0" xfId="0">
      <alignment horizontal="left"/>
    </xf>
    <xf numFmtId="164" fontId="29" fillId="4" borderId="0" applyAlignment="1" pivotButton="0" quotePrefix="0" xfId="0">
      <alignment horizontal="left" indent="1"/>
    </xf>
    <xf numFmtId="164" fontId="35" fillId="5" borderId="0" pivotButton="0" quotePrefix="0" xfId="0"/>
    <xf numFmtId="164" fontId="35" fillId="4" borderId="0" pivotButton="0" quotePrefix="0" xfId="0"/>
    <xf numFmtId="164" fontId="9" fillId="4" borderId="0" pivotButton="0" quotePrefix="0" xfId="0"/>
    <xf numFmtId="164" fontId="9" fillId="5" borderId="0" pivotButton="0" quotePrefix="0" xfId="0"/>
    <xf numFmtId="164" fontId="35" fillId="4" borderId="0" applyAlignment="1" pivotButton="0" quotePrefix="0" xfId="0">
      <alignment horizontal="left" indent="4"/>
    </xf>
    <xf numFmtId="169" fontId="35" fillId="4" borderId="4" applyAlignment="1" pivotButton="0" quotePrefix="0" xfId="0">
      <alignment horizontal="left" indent="4"/>
    </xf>
    <xf numFmtId="164" fontId="22" fillId="4" borderId="0" applyAlignment="1" pivotButton="0" quotePrefix="0" xfId="0">
      <alignment horizontal="right"/>
    </xf>
    <xf numFmtId="176" fontId="7" fillId="5" borderId="0" applyAlignment="1" pivotButton="0" quotePrefix="0" xfId="0">
      <alignment horizontal="right"/>
    </xf>
    <xf numFmtId="176" fontId="7" fillId="4" borderId="0" applyAlignment="1" pivotButton="0" quotePrefix="0" xfId="0">
      <alignment horizontal="right"/>
    </xf>
    <xf numFmtId="176" fontId="22" fillId="5" borderId="0" applyAlignment="1" pivotButton="0" quotePrefix="0" xfId="0">
      <alignment horizontal="right"/>
    </xf>
    <xf numFmtId="176" fontId="22" fillId="4" borderId="0" applyAlignment="1" pivotButton="0" quotePrefix="0" xfId="0">
      <alignment horizontal="right"/>
    </xf>
    <xf numFmtId="164" fontId="41" fillId="4" borderId="0" applyAlignment="1" pivotButton="0" quotePrefix="0" xfId="0">
      <alignment horizontal="right"/>
    </xf>
    <xf numFmtId="164" fontId="41" fillId="5" borderId="0" applyAlignment="1" pivotButton="0" quotePrefix="0" xfId="0">
      <alignment horizontal="right"/>
    </xf>
    <xf numFmtId="164" fontId="40" fillId="5" borderId="0" applyAlignment="1" pivotButton="0" quotePrefix="0" xfId="0">
      <alignment horizontal="right"/>
    </xf>
    <xf numFmtId="165" fontId="35" fillId="4" borderId="0" applyAlignment="1" pivotButton="0" quotePrefix="0" xfId="0">
      <alignment horizontal="left" indent="2"/>
    </xf>
    <xf numFmtId="165" fontId="35" fillId="4" borderId="4" applyAlignment="1" pivotButton="0" quotePrefix="0" xfId="0">
      <alignment horizontal="left" indent="2"/>
    </xf>
    <xf numFmtId="165" fontId="7" fillId="5" borderId="1" applyAlignment="1" pivotButton="0" quotePrefix="0" xfId="0">
      <alignment horizontal="right"/>
    </xf>
    <xf numFmtId="183" fontId="0" fillId="4" borderId="0" pivotButton="0" quotePrefix="0" xfId="0"/>
    <xf numFmtId="183" fontId="7" fillId="5" borderId="1" pivotButton="0" quotePrefix="0" xfId="0"/>
    <xf numFmtId="183" fontId="7" fillId="4" borderId="1" pivotButton="0" quotePrefix="0" xfId="0"/>
    <xf numFmtId="169" fontId="35" fillId="4" borderId="1" applyAlignment="1" pivotButton="0" quotePrefix="0" xfId="0">
      <alignment horizontal="left"/>
    </xf>
    <xf numFmtId="169" fontId="35" fillId="4" borderId="1" applyAlignment="1" pivotButton="0" quotePrefix="0" xfId="0">
      <alignment horizontal="left" indent="4"/>
    </xf>
    <xf numFmtId="165" fontId="35" fillId="5" borderId="0" applyAlignment="1" pivotButton="0" quotePrefix="0" xfId="27">
      <alignment horizontal="right"/>
    </xf>
    <xf numFmtId="184" fontId="25" fillId="4" borderId="0" applyAlignment="1" pivotButton="0" quotePrefix="0" xfId="20">
      <alignment horizontal="left"/>
    </xf>
    <xf numFmtId="185" fontId="3" fillId="4" borderId="0" applyAlignment="1" pivotButton="0" quotePrefix="0" xfId="0">
      <alignment horizontal="left"/>
    </xf>
    <xf numFmtId="180" fontId="6" fillId="4" borderId="0" applyAlignment="1" pivotButton="0" quotePrefix="0" xfId="16">
      <alignment horizontal="center"/>
    </xf>
    <xf numFmtId="1" fontId="31" fillId="4" borderId="0" applyAlignment="1" pivotButton="0" quotePrefix="0" xfId="0">
      <alignment horizontal="center"/>
    </xf>
    <xf numFmtId="169" fontId="7" fillId="4" borderId="0" applyAlignment="1" pivotButton="0" quotePrefix="0" xfId="0">
      <alignment horizontal="center"/>
    </xf>
    <xf numFmtId="186" fontId="3" fillId="4" borderId="0" pivotButton="0" quotePrefix="0" xfId="0"/>
    <xf numFmtId="0" fontId="7" fillId="4" borderId="0" applyAlignment="1" pivotButton="0" quotePrefix="0" xfId="0">
      <alignment horizontal="center"/>
    </xf>
    <xf numFmtId="17" fontId="38" fillId="4" borderId="0" applyAlignment="1" pivotButton="0" quotePrefix="0" xfId="0">
      <alignment horizontal="center"/>
    </xf>
    <xf numFmtId="0" fontId="32" fillId="4" borderId="0" applyAlignment="1" pivotButton="0" quotePrefix="0" xfId="0">
      <alignment horizontal="center"/>
    </xf>
    <xf numFmtId="169" fontId="7" fillId="4" borderId="0" applyAlignment="1" pivotButton="0" quotePrefix="0" xfId="0">
      <alignment horizontal="left"/>
    </xf>
    <xf numFmtId="169" fontId="22" fillId="4" borderId="0" pivotButton="0" quotePrefix="0" xfId="0"/>
    <xf numFmtId="169" fontId="10" fillId="4" borderId="0" pivotButton="0" quotePrefix="0" xfId="0"/>
    <xf numFmtId="165" fontId="7" fillId="4" borderId="0" pivotButton="0" quotePrefix="0" xfId="0"/>
    <xf numFmtId="176" fontId="7" fillId="4" borderId="0" applyAlignment="1" pivotButton="0" quotePrefix="0" xfId="0">
      <alignment horizontal="left"/>
    </xf>
    <xf numFmtId="176" fontId="7" fillId="4" borderId="0" pivotButton="0" quotePrefix="0" xfId="0"/>
    <xf numFmtId="176" fontId="22" fillId="4" borderId="0" applyAlignment="1" pivotButton="0" quotePrefix="0" xfId="0">
      <alignment horizontal="left" indent="1"/>
    </xf>
    <xf numFmtId="176" fontId="22" fillId="4" borderId="0" pivotButton="0" quotePrefix="0" xfId="0"/>
    <xf numFmtId="165" fontId="7" fillId="4" borderId="0" applyAlignment="1" pivotButton="0" quotePrefix="0" xfId="0">
      <alignment horizontal="left"/>
    </xf>
    <xf numFmtId="164" fontId="0" fillId="4" borderId="0" applyAlignment="1" pivotButton="0" quotePrefix="0" xfId="0">
      <alignment horizontal="left" indent="1"/>
    </xf>
    <xf numFmtId="165" fontId="35" fillId="4" borderId="13" pivotButton="0" quotePrefix="0" xfId="0"/>
    <xf numFmtId="169" fontId="0" fillId="4" borderId="0" pivotButton="0" quotePrefix="0" xfId="0"/>
    <xf numFmtId="183" fontId="2" fillId="4" borderId="0" applyAlignment="1" pivotButton="0" quotePrefix="0" xfId="16">
      <alignment horizontal="left" indent="1"/>
    </xf>
    <xf numFmtId="183" fontId="3" fillId="4" borderId="1" pivotButton="0" quotePrefix="0" xfId="16"/>
    <xf numFmtId="183" fontId="7" fillId="4" borderId="0" pivotButton="0" quotePrefix="0" xfId="0"/>
    <xf numFmtId="183" fontId="0" fillId="4" borderId="0" applyAlignment="1" pivotButton="0" quotePrefix="0" xfId="0">
      <alignment horizontal="left"/>
    </xf>
    <xf numFmtId="165" fontId="0" fillId="4" borderId="0" applyAlignment="1" pivotButton="0" quotePrefix="0" xfId="0">
      <alignment horizontal="left"/>
    </xf>
    <xf numFmtId="165" fontId="7" fillId="4" borderId="1" applyAlignment="1" pivotButton="0" quotePrefix="0" xfId="0">
      <alignment horizontal="left"/>
    </xf>
    <xf numFmtId="164" fontId="32" fillId="4" borderId="4" applyAlignment="1" pivotButton="0" quotePrefix="0" xfId="0">
      <alignment horizontal="left" indent="2"/>
    </xf>
    <xf numFmtId="164" fontId="31" fillId="4" borderId="4" applyAlignment="1" pivotButton="0" quotePrefix="0" xfId="0">
      <alignment horizontal="left" indent="3"/>
    </xf>
    <xf numFmtId="164" fontId="31" fillId="4" borderId="4" pivotButton="0" quotePrefix="0" xfId="0"/>
    <xf numFmtId="164" fontId="32" fillId="4" borderId="4" pivotButton="0" quotePrefix="0" xfId="0"/>
    <xf numFmtId="164" fontId="32" fillId="4" borderId="0" applyAlignment="1" pivotButton="0" quotePrefix="0" xfId="0">
      <alignment horizontal="left" indent="1"/>
    </xf>
    <xf numFmtId="164" fontId="31" fillId="4" borderId="0" applyAlignment="1" pivotButton="0" quotePrefix="0" xfId="0">
      <alignment horizontal="left" indent="3"/>
    </xf>
    <xf numFmtId="164" fontId="32" fillId="4" borderId="4" applyAlignment="1" pivotButton="0" quotePrefix="0" xfId="0">
      <alignment horizontal="left" indent="1"/>
    </xf>
    <xf numFmtId="164" fontId="32" fillId="4" borderId="0" applyAlignment="1" pivotButton="0" quotePrefix="0" xfId="0">
      <alignment horizontal="left"/>
    </xf>
    <xf numFmtId="164" fontId="30" fillId="4" borderId="0" applyAlignment="1" pivotButton="0" quotePrefix="0" xfId="0">
      <alignment horizontal="left" indent="3"/>
    </xf>
    <xf numFmtId="169" fontId="0" fillId="4" borderId="0" applyAlignment="1" pivotButton="0" quotePrefix="0" xfId="0">
      <alignment horizontal="left" indent="2"/>
    </xf>
    <xf numFmtId="169" fontId="0" fillId="4" borderId="4" applyAlignment="1" pivotButton="0" quotePrefix="0" xfId="0">
      <alignment horizontal="left" indent="2"/>
    </xf>
    <xf numFmtId="169" fontId="0" fillId="4" borderId="4" applyAlignment="1" pivotButton="0" quotePrefix="0" xfId="0">
      <alignment horizontal="left" indent="1"/>
    </xf>
    <xf numFmtId="169" fontId="7" fillId="4" borderId="18" applyAlignment="1" pivotButton="0" quotePrefix="0" xfId="0">
      <alignment horizontal="left"/>
    </xf>
    <xf numFmtId="169" fontId="30" fillId="4" borderId="0" pivotButton="0" quotePrefix="0" xfId="0"/>
    <xf numFmtId="169" fontId="27" fillId="4" borderId="0" applyAlignment="1" pivotButton="0" quotePrefix="0" xfId="0">
      <alignment horizontal="left" indent="1"/>
    </xf>
    <xf numFmtId="169" fontId="27" fillId="4" borderId="0" applyAlignment="1" pivotButton="0" quotePrefix="0" xfId="0">
      <alignment horizontal="left" indent="2"/>
    </xf>
    <xf numFmtId="169" fontId="27" fillId="4" borderId="4" applyAlignment="1" pivotButton="0" quotePrefix="0" xfId="0">
      <alignment horizontal="left" indent="2"/>
    </xf>
    <xf numFmtId="169" fontId="35" fillId="4" borderId="4" applyAlignment="1" pivotButton="0" quotePrefix="0" xfId="0">
      <alignment horizontal="left" indent="3"/>
    </xf>
    <xf numFmtId="169" fontId="32" fillId="4" borderId="0" applyAlignment="1" pivotButton="0" quotePrefix="0" xfId="0">
      <alignment horizontal="left"/>
    </xf>
    <xf numFmtId="169" fontId="27" fillId="4" borderId="4" applyAlignment="1" pivotButton="0" quotePrefix="0" xfId="0">
      <alignment horizontal="left" indent="1"/>
    </xf>
    <xf numFmtId="169" fontId="32" fillId="4" borderId="1" applyAlignment="1" pivotButton="0" quotePrefix="0" xfId="0">
      <alignment horizontal="left"/>
    </xf>
    <xf numFmtId="169" fontId="31" fillId="4" borderId="1" applyAlignment="1" pivotButton="0" quotePrefix="0" xfId="0">
      <alignment horizontal="left" indent="3"/>
    </xf>
    <xf numFmtId="169" fontId="40" fillId="4" borderId="0" pivotButton="0" quotePrefix="0" xfId="0"/>
    <xf numFmtId="169" fontId="32" fillId="4" borderId="4" applyAlignment="1" pivotButton="0" quotePrefix="0" xfId="0">
      <alignment horizontal="left"/>
    </xf>
    <xf numFmtId="169" fontId="31" fillId="4" borderId="4" applyAlignment="1" pivotButton="0" quotePrefix="0" xfId="0">
      <alignment horizontal="left" indent="3"/>
    </xf>
    <xf numFmtId="168" fontId="3" fillId="4" borderId="0" pivotButton="0" quotePrefix="0" xfId="16"/>
    <xf numFmtId="168" fontId="7" fillId="4" borderId="0" pivotButton="0" quotePrefix="0" xfId="0"/>
    <xf numFmtId="168" fontId="29" fillId="4" borderId="0" applyAlignment="1" pivotButton="0" quotePrefix="0" xfId="0">
      <alignment horizontal="left" indent="1"/>
    </xf>
    <xf numFmtId="168" fontId="30" fillId="4" borderId="0" applyAlignment="1" pivotButton="0" quotePrefix="0" xfId="0">
      <alignment horizontal="left" indent="3"/>
    </xf>
    <xf numFmtId="168" fontId="30" fillId="4" borderId="0" pivotButton="0" quotePrefix="0" xfId="0"/>
    <xf numFmtId="168" fontId="30" fillId="4" borderId="0" applyAlignment="1" pivotButton="0" quotePrefix="0" xfId="0">
      <alignment horizontal="right"/>
    </xf>
    <xf numFmtId="164" fontId="30" fillId="4" borderId="4" pivotButton="0" quotePrefix="0" xfId="0"/>
    <xf numFmtId="182" fontId="0" fillId="4" borderId="0" pivotButton="0" quotePrefix="0" xfId="0"/>
    <xf numFmtId="169" fontId="31" fillId="4" borderId="0" applyAlignment="1" pivotButton="0" quotePrefix="0" xfId="0">
      <alignment horizontal="left"/>
    </xf>
    <xf numFmtId="168" fontId="32" fillId="4" borderId="0" applyAlignment="1" pivotButton="0" quotePrefix="0" xfId="0">
      <alignment horizontal="left"/>
    </xf>
    <xf numFmtId="168" fontId="31" fillId="4" borderId="0" applyAlignment="1" pivotButton="0" quotePrefix="0" xfId="0">
      <alignment horizontal="left" indent="3"/>
    </xf>
    <xf numFmtId="168" fontId="29" fillId="4" borderId="0" pivotButton="0" quotePrefix="0" xfId="16"/>
    <xf numFmtId="169" fontId="3" fillId="4" borderId="0" pivotButton="0" quotePrefix="0" xfId="0"/>
    <xf numFmtId="166" fontId="2" fillId="4" borderId="0" pivotButton="0" quotePrefix="0" xfId="16"/>
    <xf numFmtId="166" fontId="0" fillId="4" borderId="0" pivotButton="0" quotePrefix="0" xfId="0"/>
    <xf numFmtId="166" fontId="35" fillId="4" borderId="0" pivotButton="0" quotePrefix="0" xfId="0"/>
    <xf numFmtId="176" fontId="3" fillId="4" borderId="0" pivotButton="0" quotePrefix="0" xfId="16"/>
    <xf numFmtId="176" fontId="0" fillId="4" borderId="0" pivotButton="0" quotePrefix="0" xfId="0"/>
    <xf numFmtId="169" fontId="27" fillId="4" borderId="0" pivotButton="0" quotePrefix="0" xfId="16"/>
    <xf numFmtId="164" fontId="5" fillId="4" borderId="0" applyAlignment="1" pivotButton="0" quotePrefix="0" xfId="16">
      <alignment horizontal="left" indent="1"/>
    </xf>
    <xf numFmtId="174" fontId="3" fillId="4" borderId="0" pivotButton="0" quotePrefix="0" xfId="0"/>
    <xf numFmtId="187" fontId="7" fillId="4" borderId="0" pivotButton="0" quotePrefix="0" xfId="0"/>
    <xf numFmtId="170" fontId="15" fillId="4" borderId="0" pivotButton="0" quotePrefix="0" xfId="0"/>
    <xf numFmtId="180" fontId="7" fillId="4" borderId="0" pivotButton="0" quotePrefix="0" xfId="0"/>
    <xf numFmtId="174" fontId="2" fillId="4" borderId="0" pivotButton="0" quotePrefix="0" xfId="0"/>
    <xf numFmtId="164" fontId="35" fillId="4" borderId="0" applyAlignment="1" pivotButton="0" quotePrefix="0" xfId="0">
      <alignment horizontal="right"/>
    </xf>
    <xf numFmtId="175" fontId="35" fillId="4" borderId="0" pivotButton="0" quotePrefix="0" xfId="0"/>
    <xf numFmtId="171" fontId="0" fillId="4" borderId="0" applyAlignment="1" pivotButton="0" quotePrefix="0" xfId="0">
      <alignment horizontal="left" indent="1"/>
    </xf>
    <xf numFmtId="169" fontId="7" fillId="4" borderId="0" applyAlignment="1" pivotButton="0" quotePrefix="0" xfId="0">
      <alignment horizontal="left" indent="1"/>
    </xf>
    <xf numFmtId="169" fontId="0" fillId="4" borderId="1" applyAlignment="1" pivotButton="0" quotePrefix="0" xfId="0">
      <alignment horizontal="left" indent="1"/>
    </xf>
    <xf numFmtId="169" fontId="7" fillId="4" borderId="9" applyAlignment="1" pivotButton="0" quotePrefix="0" xfId="0">
      <alignment horizontal="left"/>
    </xf>
    <xf numFmtId="169" fontId="10" fillId="4" borderId="0" applyAlignment="1" pivotButton="0" quotePrefix="0" xfId="0">
      <alignment horizontal="left" indent="1"/>
    </xf>
    <xf numFmtId="0" fontId="35" fillId="4" borderId="0" pivotButton="0" quotePrefix="0" xfId="0"/>
    <xf numFmtId="0" fontId="35" fillId="4" borderId="13" pivotButton="0" quotePrefix="0" xfId="0"/>
    <xf numFmtId="0" fontId="32" fillId="4" borderId="0" applyAlignment="1" pivotButton="0" quotePrefix="0" xfId="16">
      <alignment horizontal="center"/>
    </xf>
    <xf numFmtId="169" fontId="32" fillId="4" borderId="0" pivotButton="0" quotePrefix="0" xfId="16"/>
    <xf numFmtId="164" fontId="29" fillId="4" borderId="0" pivotButton="0" quotePrefix="0" xfId="16"/>
    <xf numFmtId="164" fontId="27" fillId="4" borderId="0" pivotButton="0" quotePrefix="0" xfId="16"/>
    <xf numFmtId="165" fontId="27" fillId="4" borderId="0" pivotButton="0" quotePrefix="0" xfId="16"/>
    <xf numFmtId="165" fontId="35" fillId="4" borderId="0" applyAlignment="1" pivotButton="0" quotePrefix="0" xfId="0">
      <alignment horizontal="right"/>
    </xf>
    <xf numFmtId="176" fontId="32" fillId="4" borderId="0" pivotButton="0" quotePrefix="0" xfId="16"/>
    <xf numFmtId="176" fontId="29" fillId="4" borderId="0" pivotButton="0" quotePrefix="0" xfId="16"/>
    <xf numFmtId="165" fontId="32" fillId="4" borderId="0" pivotButton="0" quotePrefix="0" xfId="16"/>
    <xf numFmtId="169" fontId="31" fillId="4" borderId="0" applyAlignment="1" pivotButton="0" quotePrefix="0" xfId="0">
      <alignment horizontal="left" indent="4"/>
    </xf>
    <xf numFmtId="169" fontId="31" fillId="4" borderId="1" applyAlignment="1" pivotButton="0" quotePrefix="0" xfId="0">
      <alignment horizontal="left" indent="4"/>
    </xf>
    <xf numFmtId="164" fontId="30" fillId="4" borderId="0" applyAlignment="1" pivotButton="0" quotePrefix="0" xfId="0">
      <alignment horizontal="left" indent="4"/>
    </xf>
    <xf numFmtId="183" fontId="35" fillId="4" borderId="0" applyAlignment="1" pivotButton="0" quotePrefix="0" xfId="0">
      <alignment horizontal="left" indent="3"/>
    </xf>
    <xf numFmtId="183" fontId="35" fillId="4" borderId="0" pivotButton="0" quotePrefix="0" xfId="0"/>
    <xf numFmtId="183" fontId="31" fillId="4" borderId="1" applyAlignment="1" pivotButton="0" quotePrefix="0" xfId="0">
      <alignment horizontal="left" indent="3"/>
    </xf>
    <xf numFmtId="183" fontId="31" fillId="4" borderId="1" pivotButton="0" quotePrefix="0" xfId="0"/>
    <xf numFmtId="164" fontId="35" fillId="4" borderId="0" applyAlignment="1" pivotButton="0" quotePrefix="0" xfId="0">
      <alignment horizontal="left" indent="1"/>
    </xf>
    <xf numFmtId="183" fontId="27" fillId="4" borderId="0" pivotButton="0" quotePrefix="0" xfId="16"/>
    <xf numFmtId="183" fontId="35" fillId="4" borderId="0" applyAlignment="1" pivotButton="0" quotePrefix="0" xfId="0">
      <alignment horizontal="right"/>
    </xf>
    <xf numFmtId="183" fontId="35" fillId="4" borderId="0" applyAlignment="1" pivotButton="0" quotePrefix="0" xfId="0">
      <alignment horizontal="left"/>
    </xf>
    <xf numFmtId="165" fontId="32" fillId="4" borderId="1" pivotButton="0" quotePrefix="0" xfId="16"/>
    <xf numFmtId="165" fontId="31" fillId="4" borderId="1" applyAlignment="1" pivotButton="0" quotePrefix="0" xfId="0">
      <alignment horizontal="right"/>
    </xf>
    <xf numFmtId="169" fontId="31" fillId="4" borderId="18" applyAlignment="1" pivotButton="0" quotePrefix="0" xfId="0">
      <alignment horizontal="left" indent="3"/>
    </xf>
    <xf numFmtId="169" fontId="30" fillId="4" borderId="4" applyAlignment="1" pivotButton="0" quotePrefix="0" xfId="0">
      <alignment horizontal="left" indent="3"/>
    </xf>
    <xf numFmtId="181" fontId="35" fillId="4" borderId="0" applyAlignment="1" pivotButton="0" quotePrefix="0" xfId="0">
      <alignment horizontal="left" indent="3"/>
    </xf>
    <xf numFmtId="181" fontId="35" fillId="4" borderId="0" pivotButton="0" quotePrefix="0" xfId="0"/>
    <xf numFmtId="182" fontId="30" fillId="4" borderId="0" applyAlignment="1" pivotButton="0" quotePrefix="0" xfId="0">
      <alignment horizontal="left" indent="3"/>
    </xf>
    <xf numFmtId="166" fontId="35" fillId="4" borderId="0" applyAlignment="1" pivotButton="0" quotePrefix="0" xfId="0">
      <alignment horizontal="left" indent="3"/>
    </xf>
    <xf numFmtId="166" fontId="27" fillId="4" borderId="0" pivotButton="0" quotePrefix="0" xfId="16"/>
    <xf numFmtId="176" fontId="35" fillId="4" borderId="0" applyAlignment="1" pivotButton="0" quotePrefix="0" xfId="0">
      <alignment horizontal="left" indent="3"/>
    </xf>
    <xf numFmtId="166" fontId="32" fillId="4" borderId="0" pivotButton="0" quotePrefix="0" xfId="16"/>
    <xf numFmtId="166" fontId="31" fillId="4" borderId="0" pivotButton="0" quotePrefix="0" xfId="0"/>
    <xf numFmtId="169" fontId="35" fillId="4" borderId="1" applyAlignment="1" pivotButton="0" quotePrefix="0" xfId="0">
      <alignment horizontal="left" indent="3"/>
    </xf>
    <xf numFmtId="174" fontId="31" fillId="4" borderId="0" applyAlignment="1" pivotButton="0" quotePrefix="0" xfId="0">
      <alignment horizontal="left" indent="3"/>
    </xf>
    <xf numFmtId="174" fontId="31" fillId="4" borderId="0" pivotButton="0" quotePrefix="0" xfId="0"/>
    <xf numFmtId="0" fontId="35" fillId="4" borderId="0" applyAlignment="1" pivotButton="0" quotePrefix="0" xfId="0">
      <alignment horizontal="left" indent="3"/>
    </xf>
    <xf numFmtId="174" fontId="27" fillId="4" borderId="0" pivotButton="0" quotePrefix="0" xfId="0"/>
    <xf numFmtId="174" fontId="35" fillId="4" borderId="0" applyAlignment="1" pivotButton="0" quotePrefix="0" xfId="0">
      <alignment horizontal="left" indent="3"/>
    </xf>
    <xf numFmtId="174" fontId="35" fillId="4" borderId="0" pivotButton="0" quotePrefix="0" xfId="0"/>
    <xf numFmtId="170" fontId="27" fillId="4" borderId="0" pivotButton="0" quotePrefix="0" xfId="16"/>
    <xf numFmtId="171" fontId="27" fillId="4" borderId="0" pivotButton="0" quotePrefix="0" xfId="16"/>
    <xf numFmtId="169" fontId="35" fillId="4" borderId="0" applyAlignment="1" pivotButton="0" quotePrefix="0" xfId="0">
      <alignment horizontal="left" indent="2"/>
    </xf>
    <xf numFmtId="169" fontId="31" fillId="4" borderId="9" applyAlignment="1" pivotButton="0" quotePrefix="0" xfId="0">
      <alignment horizontal="left" indent="3"/>
    </xf>
    <xf numFmtId="165" fontId="31" fillId="4" borderId="0" applyAlignment="1" pivotButton="0" quotePrefix="0" xfId="0">
      <alignment horizontal="left" indent="3"/>
    </xf>
    <xf numFmtId="169" fontId="40" fillId="4" borderId="0" applyAlignment="1" pivotButton="0" quotePrefix="0" xfId="0">
      <alignment horizontal="left" indent="3"/>
    </xf>
    <xf numFmtId="169" fontId="27" fillId="4" borderId="0" applyAlignment="1" pivotButton="0" quotePrefix="0" xfId="21">
      <alignment horizontal="left" indent="1"/>
    </xf>
    <xf numFmtId="0" fontId="35" fillId="4" borderId="8" pivotButton="0" quotePrefix="0" xfId="0"/>
    <xf numFmtId="169" fontId="27" fillId="4" borderId="3" applyAlignment="1" pivotButton="0" quotePrefix="0" xfId="21">
      <alignment horizontal="left" indent="1"/>
    </xf>
    <xf numFmtId="165" fontId="35" fillId="4" borderId="1" pivotButton="0" quotePrefix="0" xfId="0"/>
    <xf numFmtId="165" fontId="27" fillId="4" borderId="1" pivotButton="0" quotePrefix="0" xfId="21"/>
    <xf numFmtId="165" fontId="35" fillId="4" borderId="19" pivotButton="0" quotePrefix="0" xfId="0"/>
    <xf numFmtId="165" fontId="35" fillId="4" borderId="8" pivotButton="0" quotePrefix="0" xfId="0"/>
    <xf numFmtId="188" fontId="31" fillId="4" borderId="0" applyAlignment="1" pivotButton="0" quotePrefix="0" xfId="0">
      <alignment horizontal="right"/>
    </xf>
    <xf numFmtId="188" fontId="31" fillId="4" borderId="13" applyAlignment="1" pivotButton="0" quotePrefix="0" xfId="0">
      <alignment horizontal="right"/>
    </xf>
    <xf numFmtId="188" fontId="31" fillId="4" borderId="6" applyAlignment="1" pivotButton="0" quotePrefix="0" xfId="0">
      <alignment horizontal="right"/>
    </xf>
    <xf numFmtId="0" fontId="31" fillId="4" borderId="0" applyAlignment="1" pivotButton="0" quotePrefix="0" xfId="0">
      <alignment horizontal="right"/>
    </xf>
    <xf numFmtId="0" fontId="31" fillId="4" borderId="13" applyAlignment="1" pivotButton="0" quotePrefix="0" xfId="0">
      <alignment horizontal="right"/>
    </xf>
    <xf numFmtId="0" fontId="31" fillId="4" borderId="6" applyAlignment="1" pivotButton="0" quotePrefix="0" xfId="0">
      <alignment horizontal="right"/>
    </xf>
    <xf numFmtId="169" fontId="32" fillId="4" borderId="4" applyAlignment="1" pivotButton="0" quotePrefix="0" xfId="21">
      <alignment horizontal="left"/>
    </xf>
    <xf numFmtId="165" fontId="35" fillId="4" borderId="4" pivotButton="0" quotePrefix="0" xfId="0"/>
    <xf numFmtId="165" fontId="27" fillId="4" borderId="4" pivotButton="0" quotePrefix="0" xfId="21"/>
    <xf numFmtId="165" fontId="35" fillId="4" borderId="20" pivotButton="0" quotePrefix="0" xfId="0"/>
    <xf numFmtId="165" fontId="35" fillId="4" borderId="3" pivotButton="0" quotePrefix="0" xfId="0"/>
    <xf numFmtId="189" fontId="27" fillId="4" borderId="0" pivotButton="0" quotePrefix="0" xfId="16"/>
    <xf numFmtId="169" fontId="27" fillId="4" borderId="5" applyAlignment="1" pivotButton="0" quotePrefix="0" xfId="21">
      <alignment horizontal="left" indent="1"/>
    </xf>
    <xf numFmtId="169" fontId="27" fillId="4" borderId="4" pivotButton="0" quotePrefix="0" xfId="21"/>
    <xf numFmtId="169" fontId="35" fillId="4" borderId="3" pivotButton="0" quotePrefix="0" xfId="0"/>
    <xf numFmtId="169" fontId="35" fillId="4" borderId="9" pivotButton="0" quotePrefix="0" xfId="0"/>
    <xf numFmtId="169" fontId="27" fillId="4" borderId="9" pivotButton="0" quotePrefix="0" xfId="21"/>
    <xf numFmtId="169" fontId="35" fillId="4" borderId="21" pivotButton="0" quotePrefix="0" xfId="0"/>
    <xf numFmtId="169" fontId="35" fillId="4" borderId="22" pivotButton="0" quotePrefix="0" xfId="0"/>
    <xf numFmtId="170" fontId="35" fillId="4" borderId="13" pivotButton="0" quotePrefix="0" xfId="0"/>
    <xf numFmtId="169" fontId="27" fillId="4" borderId="11" applyAlignment="1" pivotButton="0" quotePrefix="0" xfId="21">
      <alignment horizontal="left" indent="1"/>
    </xf>
    <xf numFmtId="169" fontId="35" fillId="4" borderId="14" pivotButton="0" quotePrefix="0" xfId="0"/>
    <xf numFmtId="175" fontId="35" fillId="4" borderId="14" pivotButton="0" quotePrefix="0" xfId="0"/>
    <xf numFmtId="169" fontId="27" fillId="4" borderId="23" applyAlignment="1" pivotButton="0" quotePrefix="0" xfId="21">
      <alignment horizontal="left" indent="1"/>
    </xf>
    <xf numFmtId="171" fontId="27" fillId="4" borderId="4" pivotButton="0" quotePrefix="0" xfId="21"/>
    <xf numFmtId="171" fontId="35" fillId="4" borderId="4" pivotButton="0" quotePrefix="0" xfId="0"/>
    <xf numFmtId="171" fontId="35" fillId="4" borderId="20" pivotButton="0" quotePrefix="0" xfId="0"/>
    <xf numFmtId="171" fontId="35" fillId="4" borderId="24" pivotButton="0" quotePrefix="0" xfId="0"/>
    <xf numFmtId="165" fontId="35" fillId="5" borderId="0" applyAlignment="1" pivotButton="0" quotePrefix="0" xfId="0">
      <alignment horizontal="right"/>
    </xf>
    <xf numFmtId="183" fontId="35" fillId="5" borderId="0" pivotButton="0" quotePrefix="0" xfId="0"/>
    <xf numFmtId="183" fontId="31" fillId="5" borderId="1" pivotButton="0" quotePrefix="0" xfId="0"/>
    <xf numFmtId="183" fontId="35" fillId="5" borderId="0" applyAlignment="1" pivotButton="0" quotePrefix="0" xfId="0">
      <alignment horizontal="right"/>
    </xf>
    <xf numFmtId="165" fontId="31" fillId="5" borderId="1" applyAlignment="1" pivotButton="0" quotePrefix="0" xfId="0">
      <alignment horizontal="right"/>
    </xf>
    <xf numFmtId="181" fontId="35" fillId="5" borderId="0" pivotButton="0" quotePrefix="0" xfId="0"/>
    <xf numFmtId="166" fontId="31" fillId="5" borderId="0" pivotButton="0" quotePrefix="0" xfId="0"/>
    <xf numFmtId="190" fontId="2" fillId="4" borderId="0" applyAlignment="1" pivotButton="0" quotePrefix="0" xfId="0">
      <alignment horizontal="left"/>
    </xf>
    <xf numFmtId="184" fontId="27" fillId="4" borderId="0" applyAlignment="1" pivotButton="0" quotePrefix="0" xfId="0">
      <alignment horizontal="center"/>
    </xf>
    <xf numFmtId="169" fontId="27" fillId="4" borderId="7" applyAlignment="1" pivotButton="0" quotePrefix="0" xfId="21">
      <alignment horizontal="left" indent="1"/>
    </xf>
    <xf numFmtId="169" fontId="32" fillId="4" borderId="16" pivotButton="0" quotePrefix="0" xfId="21"/>
    <xf numFmtId="191" fontId="27" fillId="4" borderId="25" applyAlignment="1" pivotButton="0" quotePrefix="0" xfId="21">
      <alignment horizontal="left" indent="1"/>
    </xf>
    <xf numFmtId="192" fontId="27" fillId="4" borderId="25" applyAlignment="1" pivotButton="0" quotePrefix="0" xfId="21">
      <alignment horizontal="left" indent="1"/>
    </xf>
    <xf numFmtId="193" fontId="27" fillId="4" borderId="25" applyAlignment="1" pivotButton="0" quotePrefix="0" xfId="21">
      <alignment horizontal="left" indent="1"/>
    </xf>
    <xf numFmtId="194" fontId="27" fillId="4" borderId="25" applyAlignment="1" pivotButton="0" quotePrefix="0" xfId="21">
      <alignment horizontal="left" indent="1"/>
    </xf>
    <xf numFmtId="195" fontId="27" fillId="4" borderId="26" applyAlignment="1" pivotButton="0" quotePrefix="0" xfId="21">
      <alignment horizontal="left" indent="1"/>
    </xf>
    <xf numFmtId="165" fontId="27" fillId="4" borderId="6" pivotButton="0" quotePrefix="0" xfId="21"/>
    <xf numFmtId="165" fontId="27" fillId="4" borderId="3" pivotButton="0" quotePrefix="0" xfId="21"/>
    <xf numFmtId="17" fontId="38" fillId="5" borderId="0" applyAlignment="1" pivotButton="0" quotePrefix="0" xfId="27">
      <alignment horizontal="center"/>
    </xf>
    <xf numFmtId="169" fontId="32" fillId="5" borderId="0" applyAlignment="1" pivotButton="0" quotePrefix="0" xfId="27">
      <alignment horizontal="center"/>
    </xf>
    <xf numFmtId="180" fontId="31" fillId="5" borderId="0" pivotButton="0" quotePrefix="0" xfId="27"/>
    <xf numFmtId="168" fontId="31" fillId="5" borderId="0" pivotButton="0" quotePrefix="0" xfId="27"/>
    <xf numFmtId="196" fontId="31" fillId="5" borderId="0" applyAlignment="1" pivotButton="0" quotePrefix="0" xfId="27">
      <alignment horizontal="right"/>
    </xf>
    <xf numFmtId="174" fontId="31" fillId="5" borderId="0" applyAlignment="1" pivotButton="0" quotePrefix="0" xfId="27">
      <alignment horizontal="right"/>
    </xf>
    <xf numFmtId="197" fontId="31" fillId="5" borderId="0" applyAlignment="1" pivotButton="0" quotePrefix="0" xfId="27">
      <alignment horizontal="right"/>
    </xf>
    <xf numFmtId="174" fontId="35" fillId="5" borderId="0" applyAlignment="1" pivotButton="0" quotePrefix="0" xfId="27">
      <alignment horizontal="right"/>
    </xf>
    <xf numFmtId="165" fontId="31" fillId="4" borderId="0" pivotButton="0" quotePrefix="0" xfId="27"/>
    <xf numFmtId="164" fontId="35" fillId="4" borderId="0" pivotButton="0" quotePrefix="0" xfId="27"/>
    <xf numFmtId="184" fontId="44" fillId="4" borderId="0" applyAlignment="1" pivotButton="0" quotePrefix="0" xfId="20">
      <alignment horizontal="left"/>
    </xf>
    <xf numFmtId="17" fontId="38" fillId="4" borderId="0" applyAlignment="1" pivotButton="0" quotePrefix="0" xfId="27">
      <alignment horizontal="center"/>
    </xf>
    <xf numFmtId="169" fontId="32" fillId="4" borderId="0" applyAlignment="1" pivotButton="0" quotePrefix="0" xfId="27">
      <alignment horizontal="left"/>
    </xf>
    <xf numFmtId="169" fontId="38" fillId="4" borderId="0" applyAlignment="1" pivotButton="0" quotePrefix="0" xfId="27">
      <alignment horizontal="center"/>
    </xf>
    <xf numFmtId="169" fontId="32" fillId="4" borderId="0" applyAlignment="1" pivotButton="0" quotePrefix="0" xfId="27">
      <alignment horizontal="center"/>
    </xf>
    <xf numFmtId="198" fontId="31" fillId="4" borderId="0" applyAlignment="1" pivotButton="0" quotePrefix="0" xfId="27">
      <alignment horizontal="left" indent="1"/>
    </xf>
    <xf numFmtId="169" fontId="15" fillId="4" borderId="0" applyAlignment="1" pivotButton="0" quotePrefix="0" xfId="27">
      <alignment horizontal="left"/>
    </xf>
    <xf numFmtId="180" fontId="31" fillId="4" borderId="0" applyAlignment="1" pivotButton="0" quotePrefix="0" xfId="27">
      <alignment horizontal="right"/>
    </xf>
    <xf numFmtId="180" fontId="31" fillId="4" borderId="0" pivotButton="0" quotePrefix="0" xfId="27"/>
    <xf numFmtId="169" fontId="35" fillId="4" borderId="4" applyAlignment="1" pivotButton="0" quotePrefix="0" xfId="27">
      <alignment horizontal="left" indent="1"/>
    </xf>
    <xf numFmtId="169" fontId="35" fillId="4" borderId="4" applyAlignment="1" pivotButton="0" quotePrefix="0" xfId="27">
      <alignment horizontal="left"/>
    </xf>
    <xf numFmtId="168" fontId="31" fillId="4" borderId="0" pivotButton="0" quotePrefix="0" xfId="27"/>
    <xf numFmtId="169" fontId="31" fillId="4" borderId="1" applyAlignment="1" pivotButton="0" quotePrefix="0" xfId="27">
      <alignment horizontal="left"/>
    </xf>
    <xf numFmtId="169" fontId="31" fillId="4" borderId="1" applyAlignment="1" pivotButton="0" quotePrefix="0" xfId="27">
      <alignment horizontal="left" indent="3"/>
    </xf>
    <xf numFmtId="169" fontId="35" fillId="4" borderId="0" applyAlignment="1" pivotButton="0" quotePrefix="0" xfId="27">
      <alignment horizontal="left" indent="1"/>
    </xf>
    <xf numFmtId="169" fontId="35" fillId="4" borderId="0" applyAlignment="1" pivotButton="0" quotePrefix="0" xfId="27">
      <alignment horizontal="left" indent="3"/>
    </xf>
    <xf numFmtId="169" fontId="31" fillId="4" borderId="0" applyAlignment="1" pivotButton="0" quotePrefix="0" xfId="27">
      <alignment horizontal="left"/>
    </xf>
    <xf numFmtId="169" fontId="31" fillId="4" borderId="0" applyAlignment="1" pivotButton="0" quotePrefix="0" xfId="27">
      <alignment horizontal="left" indent="3"/>
    </xf>
    <xf numFmtId="164" fontId="35" fillId="4" borderId="0" applyAlignment="1" pivotButton="0" quotePrefix="0" xfId="27">
      <alignment horizontal="left"/>
    </xf>
    <xf numFmtId="164" fontId="27" fillId="4" borderId="0" pivotButton="0" quotePrefix="0" xfId="28"/>
    <xf numFmtId="164" fontId="35" fillId="4" borderId="0" applyAlignment="1" pivotButton="0" quotePrefix="0" xfId="27">
      <alignment horizontal="right"/>
    </xf>
    <xf numFmtId="169" fontId="35" fillId="4" borderId="0" applyAlignment="1" pivotButton="0" quotePrefix="0" xfId="27">
      <alignment horizontal="left"/>
    </xf>
    <xf numFmtId="169" fontId="27" fillId="4" borderId="0" pivotButton="0" quotePrefix="0" xfId="28"/>
    <xf numFmtId="165" fontId="35" fillId="4" borderId="0" applyAlignment="1" pivotButton="0" quotePrefix="0" xfId="27">
      <alignment horizontal="left"/>
    </xf>
    <xf numFmtId="165" fontId="27" fillId="4" borderId="0" pivotButton="0" quotePrefix="0" xfId="28"/>
    <xf numFmtId="165" fontId="35" fillId="4" borderId="0" applyAlignment="1" pivotButton="0" quotePrefix="0" xfId="27">
      <alignment horizontal="right"/>
    </xf>
    <xf numFmtId="165" fontId="35" fillId="4" borderId="0" pivotButton="0" quotePrefix="0" xfId="27"/>
    <xf numFmtId="164" fontId="35" fillId="4" borderId="0" applyAlignment="1" pivotButton="0" quotePrefix="0" xfId="27">
      <alignment horizontal="left" indent="1"/>
    </xf>
    <xf numFmtId="169" fontId="35" fillId="4" borderId="4" applyAlignment="1" pivotButton="0" quotePrefix="0" xfId="27">
      <alignment horizontal="left" indent="3"/>
    </xf>
    <xf numFmtId="168" fontId="32" fillId="4" borderId="0" pivotButton="0" quotePrefix="0" xfId="28"/>
    <xf numFmtId="168" fontId="31" fillId="4" borderId="0" applyAlignment="1" pivotButton="0" quotePrefix="0" xfId="27">
      <alignment horizontal="left" indent="3"/>
    </xf>
    <xf numFmtId="164" fontId="31" fillId="4" borderId="0" applyAlignment="1" pivotButton="0" quotePrefix="0" xfId="27">
      <alignment horizontal="center"/>
    </xf>
    <xf numFmtId="164" fontId="35" fillId="4" borderId="0" applyAlignment="1" pivotButton="0" quotePrefix="0" xfId="27">
      <alignment horizontal="center"/>
    </xf>
    <xf numFmtId="164" fontId="35" fillId="4" borderId="4" applyAlignment="1" pivotButton="0" quotePrefix="0" xfId="27">
      <alignment horizontal="left" indent="1"/>
    </xf>
    <xf numFmtId="164" fontId="27" fillId="4" borderId="4" pivotButton="0" quotePrefix="0" xfId="28"/>
    <xf numFmtId="164" fontId="35" fillId="4" borderId="4" applyAlignment="1" pivotButton="0" quotePrefix="0" xfId="27">
      <alignment horizontal="right"/>
    </xf>
    <xf numFmtId="164" fontId="31" fillId="4" borderId="0" applyAlignment="1" pivotButton="0" quotePrefix="0" xfId="27">
      <alignment horizontal="left"/>
    </xf>
    <xf numFmtId="164" fontId="32" fillId="4" borderId="0" pivotButton="0" quotePrefix="0" xfId="28"/>
    <xf numFmtId="164" fontId="31" fillId="4" borderId="0" applyAlignment="1" pivotButton="0" quotePrefix="0" xfId="27">
      <alignment horizontal="right"/>
    </xf>
    <xf numFmtId="196" fontId="31" fillId="4" borderId="0" applyAlignment="1" pivotButton="0" quotePrefix="0" xfId="27">
      <alignment horizontal="left"/>
    </xf>
    <xf numFmtId="196" fontId="32" fillId="4" borderId="0" pivotButton="0" quotePrefix="0" xfId="28"/>
    <xf numFmtId="196" fontId="31" fillId="4" borderId="0" applyAlignment="1" pivotButton="0" quotePrefix="0" xfId="27">
      <alignment horizontal="right"/>
    </xf>
    <xf numFmtId="196" fontId="31" fillId="4" borderId="0" pivotButton="0" quotePrefix="0" xfId="27"/>
    <xf numFmtId="174" fontId="32" fillId="4" borderId="0" pivotButton="0" quotePrefix="0" xfId="27"/>
    <xf numFmtId="174" fontId="31" fillId="4" borderId="0" applyAlignment="1" pivotButton="0" quotePrefix="0" xfId="27">
      <alignment horizontal="left" indent="3"/>
    </xf>
    <xf numFmtId="174" fontId="31" fillId="4" borderId="0" applyAlignment="1" pivotButton="0" quotePrefix="0" xfId="27">
      <alignment horizontal="right"/>
    </xf>
    <xf numFmtId="174" fontId="31" fillId="4" borderId="0" pivotButton="0" quotePrefix="0" xfId="27"/>
    <xf numFmtId="197" fontId="31" fillId="4" borderId="0" applyAlignment="1" pivotButton="0" quotePrefix="0" xfId="27">
      <alignment horizontal="left"/>
    </xf>
    <xf numFmtId="197" fontId="32" fillId="4" borderId="0" pivotButton="0" quotePrefix="0" xfId="28"/>
    <xf numFmtId="197" fontId="31" fillId="4" borderId="0" applyAlignment="1" pivotButton="0" quotePrefix="0" xfId="27">
      <alignment horizontal="right"/>
    </xf>
    <xf numFmtId="197" fontId="31" fillId="4" borderId="0" pivotButton="0" quotePrefix="0" xfId="27"/>
    <xf numFmtId="164" fontId="31" fillId="4" borderId="0" pivotButton="0" quotePrefix="0" xfId="27"/>
    <xf numFmtId="174" fontId="27" fillId="4" borderId="0" pivotButton="0" quotePrefix="0" xfId="27"/>
    <xf numFmtId="174" fontId="35" fillId="4" borderId="0" applyAlignment="1" pivotButton="0" quotePrefix="0" xfId="27">
      <alignment horizontal="left" indent="3"/>
    </xf>
    <xf numFmtId="174" fontId="35" fillId="4" borderId="0" pivotButton="0" quotePrefix="0" xfId="27"/>
    <xf numFmtId="0" fontId="35" fillId="4" borderId="0" pivotButton="0" quotePrefix="0" xfId="27"/>
    <xf numFmtId="169" fontId="37" fillId="6" borderId="0" pivotButton="0" quotePrefix="0" xfId="27"/>
    <xf numFmtId="169" fontId="37" fillId="6" borderId="13" pivotButton="0" quotePrefix="0" xfId="27"/>
    <xf numFmtId="164" fontId="34" fillId="6" borderId="0" pivotButton="0" quotePrefix="0" xfId="27"/>
    <xf numFmtId="164" fontId="33" fillId="6" borderId="13" pivotButton="0" quotePrefix="0" xfId="27"/>
    <xf numFmtId="169" fontId="34" fillId="6" borderId="0" pivotButton="0" quotePrefix="0" xfId="27"/>
    <xf numFmtId="0" fontId="8" fillId="4" borderId="15" applyAlignment="1" pivotButton="0" quotePrefix="0" xfId="26">
      <alignment horizontal="left"/>
    </xf>
    <xf numFmtId="164" fontId="30" fillId="4" borderId="0" applyAlignment="1" pivotButton="0" quotePrefix="0" xfId="27">
      <alignment horizontal="left"/>
    </xf>
    <xf numFmtId="164" fontId="29" fillId="4" borderId="0" pivotButton="0" quotePrefix="0" xfId="28"/>
    <xf numFmtId="164" fontId="30" fillId="5" borderId="0" applyAlignment="1" pivotButton="0" quotePrefix="0" xfId="27">
      <alignment horizontal="right"/>
    </xf>
    <xf numFmtId="164" fontId="30" fillId="4" borderId="0" applyAlignment="1" pivotButton="0" quotePrefix="0" xfId="27">
      <alignment horizontal="right"/>
    </xf>
    <xf numFmtId="164" fontId="30" fillId="4" borderId="0" pivotButton="0" quotePrefix="0" xfId="27"/>
    <xf numFmtId="171" fontId="35" fillId="4" borderId="0" applyAlignment="1" pivotButton="0" quotePrefix="0" xfId="0">
      <alignment horizontal="left"/>
    </xf>
    <xf numFmtId="171" fontId="35" fillId="4" borderId="0" applyAlignment="1" pivotButton="0" quotePrefix="0" xfId="0">
      <alignment horizontal="left" indent="3"/>
    </xf>
    <xf numFmtId="169" fontId="31" fillId="5" borderId="0" applyAlignment="1" pivotButton="0" quotePrefix="0" xfId="0">
      <alignment horizontal="right"/>
    </xf>
    <xf numFmtId="169" fontId="7" fillId="5" borderId="0" applyAlignment="1" pivotButton="0" quotePrefix="0" xfId="0">
      <alignment horizontal="right"/>
    </xf>
    <xf numFmtId="169" fontId="7" fillId="4" borderId="0" applyAlignment="1" pivotButton="0" quotePrefix="0" xfId="0">
      <alignment horizontal="right"/>
    </xf>
    <xf numFmtId="169" fontId="0" fillId="5" borderId="0" applyAlignment="1" pivotButton="0" quotePrefix="0" xfId="0">
      <alignment horizontal="right"/>
    </xf>
    <xf numFmtId="169" fontId="0" fillId="4" borderId="0" applyAlignment="1" pivotButton="0" quotePrefix="0" xfId="0">
      <alignment horizontal="right"/>
    </xf>
    <xf numFmtId="0" fontId="0" fillId="3" borderId="0" pivotButton="0" quotePrefix="0" xfId="0"/>
    <xf numFmtId="0" fontId="9" fillId="3" borderId="0" applyAlignment="1" pivotButton="0" quotePrefix="0" xfId="0">
      <alignment horizontal="right"/>
    </xf>
    <xf numFmtId="0" fontId="0" fillId="3" borderId="0" applyAlignment="1" pivotButton="0" quotePrefix="0" xfId="0">
      <alignment horizontal="right"/>
    </xf>
    <xf numFmtId="0" fontId="35" fillId="3" borderId="0" applyAlignment="1" pivotButton="0" quotePrefix="0" xfId="0">
      <alignment horizontal="left" indent="1"/>
    </xf>
    <xf numFmtId="164" fontId="33" fillId="3" borderId="0" pivotButton="0" quotePrefix="0" xfId="0"/>
    <xf numFmtId="199" fontId="43" fillId="9" borderId="0" pivotButton="0" quotePrefix="0" xfId="0"/>
    <xf numFmtId="0" fontId="35" fillId="3" borderId="26" applyAlignment="1" pivotButton="0" quotePrefix="0" xfId="0">
      <alignment horizontal="left" indent="1"/>
    </xf>
    <xf numFmtId="0" fontId="35" fillId="3" borderId="25" applyAlignment="1" pivotButton="0" quotePrefix="0" xfId="0">
      <alignment horizontal="left" indent="1"/>
    </xf>
    <xf numFmtId="0" fontId="31" fillId="3" borderId="16" applyAlignment="1" pivotButton="0" quotePrefix="0" xfId="0">
      <alignment horizontal="left"/>
    </xf>
    <xf numFmtId="0" fontId="31" fillId="3" borderId="0" applyAlignment="1" pivotButton="0" quotePrefix="0" xfId="0">
      <alignment horizontal="left"/>
    </xf>
    <xf numFmtId="164" fontId="34" fillId="9" borderId="0" pivotButton="0" quotePrefix="0" xfId="0"/>
    <xf numFmtId="164" fontId="22" fillId="3" borderId="0" pivotButton="0" quotePrefix="0" xfId="0"/>
    <xf numFmtId="164" fontId="29" fillId="4" borderId="0" pivotButton="0" quotePrefix="0" xfId="30"/>
    <xf numFmtId="164" fontId="30" fillId="4" borderId="0" applyAlignment="1" pivotButton="0" quotePrefix="0" xfId="0">
      <alignment horizontal="left" indent="2"/>
    </xf>
    <xf numFmtId="168" fontId="7" fillId="3" borderId="0" pivotButton="0" quotePrefix="0" xfId="0"/>
    <xf numFmtId="168" fontId="7" fillId="5" borderId="0" applyAlignment="1" pivotButton="0" quotePrefix="0" xfId="0">
      <alignment horizontal="right"/>
    </xf>
    <xf numFmtId="168" fontId="27" fillId="4" borderId="0" pivotButton="0" quotePrefix="0" xfId="30"/>
    <xf numFmtId="168" fontId="32" fillId="4" borderId="0" pivotButton="0" quotePrefix="0" xfId="30"/>
    <xf numFmtId="168" fontId="31" fillId="4" borderId="0" applyAlignment="1" pivotButton="0" quotePrefix="0" xfId="0">
      <alignment horizontal="left" indent="1"/>
    </xf>
    <xf numFmtId="174" fontId="0" fillId="3" borderId="0" pivotButton="0" quotePrefix="0" xfId="0"/>
    <xf numFmtId="174" fontId="49" fillId="5" borderId="0" applyAlignment="1" pivotButton="0" quotePrefix="0" xfId="30">
      <alignment horizontal="right" vertical="center"/>
    </xf>
    <xf numFmtId="174" fontId="49" fillId="5" borderId="0" applyAlignment="1" pivotButton="0" quotePrefix="0" xfId="30">
      <alignment horizontal="right" vertical="center"/>
    </xf>
    <xf numFmtId="174" fontId="27" fillId="4" borderId="0" pivotButton="0" quotePrefix="0" xfId="30"/>
    <xf numFmtId="174" fontId="35" fillId="4" borderId="0" applyAlignment="1" pivotButton="0" quotePrefix="0" xfId="0">
      <alignment horizontal="left" indent="1"/>
    </xf>
    <xf numFmtId="200" fontId="0" fillId="5" borderId="0" applyAlignment="1" pivotButton="0" quotePrefix="0" xfId="0">
      <alignment horizontal="right"/>
    </xf>
    <xf numFmtId="168" fontId="31" fillId="5" borderId="0" applyAlignment="1" pivotButton="0" quotePrefix="0" xfId="0">
      <alignment horizontal="right"/>
    </xf>
    <xf numFmtId="168" fontId="31" fillId="4" borderId="0" applyAlignment="1" pivotButton="0" quotePrefix="0" xfId="0">
      <alignment horizontal="left"/>
    </xf>
    <xf numFmtId="169" fontId="7" fillId="3" borderId="0" pivotButton="0" quotePrefix="0" xfId="0"/>
    <xf numFmtId="169" fontId="15" fillId="5" borderId="0" applyAlignment="1" pivotButton="0" quotePrefix="0" xfId="0">
      <alignment horizontal="right"/>
    </xf>
    <xf numFmtId="169" fontId="27" fillId="4" borderId="0" pivotButton="0" quotePrefix="0" xfId="30"/>
    <xf numFmtId="169" fontId="32" fillId="4" borderId="0" pivotButton="0" quotePrefix="0" xfId="30"/>
    <xf numFmtId="0" fontId="6" fillId="5" borderId="0" applyAlignment="1" pivotButton="0" quotePrefix="0" xfId="0">
      <alignment horizontal="center"/>
    </xf>
    <xf numFmtId="169" fontId="32" fillId="5" borderId="0" applyAlignment="1" pivotButton="0" quotePrefix="0" xfId="31">
      <alignment horizontal="center"/>
    </xf>
    <xf numFmtId="0" fontId="49" fillId="4" borderId="0" applyAlignment="1" pivotButton="0" quotePrefix="0" xfId="30">
      <alignment horizontal="center"/>
    </xf>
    <xf numFmtId="0" fontId="50" fillId="4" borderId="0" applyAlignment="1" pivotButton="0" quotePrefix="0" xfId="30">
      <alignment horizontal="center"/>
    </xf>
    <xf numFmtId="0" fontId="0" fillId="4" borderId="0" applyAlignment="1" pivotButton="0" quotePrefix="0" xfId="0">
      <alignment vertical="top" wrapText="1"/>
    </xf>
    <xf numFmtId="201" fontId="2" fillId="3" borderId="0" applyAlignment="1" pivotButton="0" quotePrefix="1" xfId="32">
      <alignment vertical="top" wrapText="1"/>
    </xf>
    <xf numFmtId="164" fontId="0" fillId="3" borderId="0" applyAlignment="1" pivotButton="0" quotePrefix="0" xfId="0">
      <alignment horizontal="right"/>
    </xf>
    <xf numFmtId="169" fontId="0" fillId="3" borderId="0" pivotButton="0" quotePrefix="0" xfId="0"/>
    <xf numFmtId="169" fontId="7" fillId="3" borderId="0" applyAlignment="1" pivotButton="0" quotePrefix="0" xfId="0">
      <alignment horizontal="right"/>
    </xf>
    <xf numFmtId="169" fontId="7" fillId="3" borderId="1" applyAlignment="1" pivotButton="0" quotePrefix="0" xfId="0">
      <alignment horizontal="right"/>
    </xf>
    <xf numFmtId="169" fontId="7" fillId="4" borderId="1" applyAlignment="1" pivotButton="0" quotePrefix="0" xfId="0">
      <alignment horizontal="right"/>
    </xf>
    <xf numFmtId="164" fontId="0" fillId="6" borderId="0" pivotButton="0" quotePrefix="0" xfId="0"/>
    <xf numFmtId="168" fontId="0" fillId="3" borderId="0" pivotButton="0" quotePrefix="0" xfId="0"/>
    <xf numFmtId="168" fontId="0" fillId="3" borderId="0" applyAlignment="1" pivotButton="0" quotePrefix="0" xfId="0">
      <alignment horizontal="right"/>
    </xf>
    <xf numFmtId="168" fontId="0" fillId="4" borderId="0" applyAlignment="1" pivotButton="0" quotePrefix="0" xfId="0">
      <alignment horizontal="right"/>
    </xf>
    <xf numFmtId="168" fontId="35" fillId="4" borderId="0" applyAlignment="1" pivotButton="0" quotePrefix="0" xfId="0">
      <alignment horizontal="left" indent="1"/>
    </xf>
    <xf numFmtId="168" fontId="7" fillId="3" borderId="0" applyAlignment="1" pivotButton="0" quotePrefix="0" xfId="0">
      <alignment horizontal="right"/>
    </xf>
    <xf numFmtId="168" fontId="31" fillId="3" borderId="0" applyAlignment="1" pivotButton="0" quotePrefix="0" xfId="0">
      <alignment horizontal="left"/>
    </xf>
    <xf numFmtId="168" fontId="7" fillId="3" borderId="1" applyAlignment="1" pivotButton="0" quotePrefix="0" xfId="0">
      <alignment horizontal="right"/>
    </xf>
    <xf numFmtId="168" fontId="31" fillId="3" borderId="1" applyAlignment="1" pivotButton="0" quotePrefix="0" xfId="0">
      <alignment horizontal="left"/>
    </xf>
    <xf numFmtId="169" fontId="31" fillId="3" borderId="0" applyAlignment="1" pivotButton="0" quotePrefix="0" xfId="0">
      <alignment horizontal="left"/>
    </xf>
    <xf numFmtId="169" fontId="31" fillId="3" borderId="1" applyAlignment="1" pivotButton="0" quotePrefix="0" xfId="0">
      <alignment horizontal="left"/>
    </xf>
    <xf numFmtId="169" fontId="0" fillId="3" borderId="0" applyAlignment="1" pivotButton="0" quotePrefix="0" xfId="0">
      <alignment horizontal="right"/>
    </xf>
    <xf numFmtId="0" fontId="0" fillId="3" borderId="0" applyAlignment="1" pivotButton="0" quotePrefix="0" xfId="0">
      <alignment vertical="top" wrapText="1"/>
    </xf>
    <xf numFmtId="190" fontId="2" fillId="3" borderId="0" applyAlignment="1" pivotButton="0" quotePrefix="0" xfId="0">
      <alignment horizontal="left"/>
    </xf>
    <xf numFmtId="169" fontId="3" fillId="3" borderId="0" applyAlignment="1" pivotButton="0" quotePrefix="1" xfId="32">
      <alignment vertical="top" wrapText="1"/>
    </xf>
    <xf numFmtId="201" fontId="3" fillId="3" borderId="0" applyAlignment="1" pivotButton="0" quotePrefix="1" xfId="32">
      <alignment vertical="top" wrapText="1"/>
    </xf>
    <xf numFmtId="201" fontId="3" fillId="3" borderId="0" applyAlignment="1" pivotButton="0" quotePrefix="1" xfId="32">
      <alignment vertical="top"/>
    </xf>
    <xf numFmtId="169" fontId="2" fillId="4" borderId="4" applyAlignment="1" pivotButton="0" quotePrefix="1" xfId="32">
      <alignment vertical="top" wrapText="1"/>
    </xf>
    <xf numFmtId="201" fontId="2" fillId="3" borderId="4" applyAlignment="1" pivotButton="0" quotePrefix="1" xfId="32">
      <alignment vertical="top" wrapText="1"/>
    </xf>
    <xf numFmtId="0" fontId="27" fillId="3" borderId="4" applyAlignment="1" pivotButton="0" quotePrefix="0" xfId="0">
      <alignment horizontal="left" indent="1"/>
    </xf>
    <xf numFmtId="169" fontId="2" fillId="4" borderId="0" applyAlignment="1" pivotButton="0" quotePrefix="1" xfId="32">
      <alignment vertical="top" wrapText="1"/>
    </xf>
    <xf numFmtId="0" fontId="27" fillId="3" borderId="0" applyAlignment="1" pivotButton="0" quotePrefix="0" xfId="0">
      <alignment horizontal="left" indent="1"/>
    </xf>
    <xf numFmtId="180" fontId="8" fillId="3" borderId="0" applyAlignment="1" pivotButton="0" quotePrefix="0" xfId="30">
      <alignment horizontal="center"/>
    </xf>
    <xf numFmtId="169" fontId="0" fillId="4" borderId="4" applyAlignment="1" pivotButton="0" quotePrefix="0" xfId="0">
      <alignment horizontal="right"/>
    </xf>
    <xf numFmtId="169" fontId="0" fillId="3" borderId="4" applyAlignment="1" pivotButton="0" quotePrefix="0" xfId="0">
      <alignment horizontal="right"/>
    </xf>
    <xf numFmtId="169" fontId="35" fillId="3" borderId="4" applyAlignment="1" pivotButton="0" quotePrefix="0" xfId="0">
      <alignment horizontal="left" indent="1"/>
    </xf>
    <xf numFmtId="169" fontId="35" fillId="3" borderId="0" applyAlignment="1" pivotButton="0" quotePrefix="0" xfId="0">
      <alignment horizontal="left" indent="1"/>
    </xf>
    <xf numFmtId="0" fontId="51" fillId="10" borderId="0" applyAlignment="1" pivotButton="0" quotePrefix="0" xfId="33">
      <alignment horizontal="center"/>
    </xf>
    <xf numFmtId="0" fontId="32" fillId="3" borderId="0" applyAlignment="1" pivotButton="0" quotePrefix="0" xfId="0">
      <alignment horizontal="left"/>
    </xf>
    <xf numFmtId="169" fontId="9" fillId="3" borderId="0" applyAlignment="1" pivotButton="0" quotePrefix="0" xfId="0">
      <alignment horizontal="left"/>
    </xf>
    <xf numFmtId="180" fontId="8" fillId="3" borderId="0" applyAlignment="1" pivotButton="0" quotePrefix="0" xfId="30">
      <alignment horizontal="center"/>
    </xf>
    <xf numFmtId="169" fontId="8" fillId="4" borderId="0" applyAlignment="1" pivotButton="0" quotePrefix="1" xfId="32">
      <alignment horizontal="center" vertical="top" wrapText="1"/>
    </xf>
    <xf numFmtId="169" fontId="7" fillId="0" borderId="1" pivotButton="0" quotePrefix="0" xfId="0"/>
    <xf numFmtId="0" fontId="32" fillId="3" borderId="1" applyAlignment="1" pivotButton="0" quotePrefix="0" xfId="0">
      <alignment horizontal="left" indent="1"/>
    </xf>
    <xf numFmtId="0" fontId="27" fillId="3" borderId="0" applyAlignment="1" pivotButton="0" quotePrefix="0" xfId="0">
      <alignment horizontal="left" indent="2"/>
    </xf>
    <xf numFmtId="180" fontId="52" fillId="3" borderId="0" applyAlignment="1" pivotButton="0" quotePrefix="0" xfId="30">
      <alignment horizontal="center"/>
    </xf>
    <xf numFmtId="0" fontId="0" fillId="4" borderId="1" applyAlignment="1" pivotButton="0" quotePrefix="0" xfId="0">
      <alignment vertical="top" wrapText="1"/>
    </xf>
    <xf numFmtId="180" fontId="32" fillId="3" borderId="0" applyAlignment="1" pivotButton="0" quotePrefix="0" xfId="30">
      <alignment horizontal="center"/>
    </xf>
    <xf numFmtId="0" fontId="32" fillId="3" borderId="0" applyAlignment="1" pivotButton="0" quotePrefix="0" xfId="0">
      <alignment horizontal="left" indent="1"/>
    </xf>
    <xf numFmtId="169" fontId="6" fillId="3" borderId="0" applyAlignment="1" pivotButton="0" quotePrefix="0" xfId="30">
      <alignment horizontal="center"/>
    </xf>
    <xf numFmtId="0" fontId="50" fillId="11" borderId="0" applyAlignment="1" pivotButton="0" quotePrefix="0" xfId="32">
      <alignment horizontal="center"/>
    </xf>
    <xf numFmtId="180" fontId="52" fillId="3" borderId="0" applyAlignment="1" pivotButton="0" quotePrefix="0" xfId="30">
      <alignment horizontal="center"/>
    </xf>
    <xf numFmtId="169" fontId="6" fillId="4" borderId="1" applyAlignment="1" pivotButton="0" quotePrefix="1" xfId="32">
      <alignment horizontal="center" vertical="top" wrapText="1"/>
    </xf>
    <xf numFmtId="169" fontId="50" fillId="3" borderId="0" applyAlignment="1" pivotButton="0" quotePrefix="0" xfId="30">
      <alignment horizontal="center"/>
    </xf>
    <xf numFmtId="169" fontId="8" fillId="3" borderId="4" applyAlignment="1" pivotButton="0" quotePrefix="0" xfId="30">
      <alignment horizontal="center"/>
    </xf>
    <xf numFmtId="180" fontId="27" fillId="3" borderId="4" applyAlignment="1" pivotButton="0" quotePrefix="0" xfId="30">
      <alignment horizontal="center"/>
    </xf>
    <xf numFmtId="0" fontId="53" fillId="9" borderId="3" applyAlignment="1" pivotButton="0" quotePrefix="0" xfId="0">
      <alignment vertical="top" wrapText="1"/>
    </xf>
    <xf numFmtId="0" fontId="53" fillId="9" borderId="4" applyAlignment="1" pivotButton="0" quotePrefix="0" xfId="0">
      <alignment vertical="top" wrapText="1"/>
    </xf>
    <xf numFmtId="0" fontId="0" fillId="3" borderId="0" applyAlignment="1" pivotButton="0" quotePrefix="0" xfId="0">
      <alignment wrapText="1"/>
    </xf>
    <xf numFmtId="1" fontId="15" fillId="4" borderId="0" applyAlignment="1" pivotButton="0" quotePrefix="0" xfId="0">
      <alignment horizontal="center"/>
    </xf>
    <xf numFmtId="1" fontId="9" fillId="3" borderId="0" applyAlignment="1" pivotButton="0" quotePrefix="0" xfId="0">
      <alignment horizontal="centerContinuous"/>
    </xf>
    <xf numFmtId="1" fontId="15" fillId="3" borderId="0" applyAlignment="1" pivotButton="0" quotePrefix="0" xfId="0">
      <alignment horizontal="centerContinuous"/>
    </xf>
    <xf numFmtId="202" fontId="50" fillId="3" borderId="0" applyAlignment="1" pivotButton="0" quotePrefix="0" xfId="31">
      <alignment horizontal="left"/>
    </xf>
    <xf numFmtId="169" fontId="6" fillId="3" borderId="0" pivotButton="0" quotePrefix="0" xfId="31"/>
    <xf numFmtId="0" fontId="31" fillId="0" borderId="0" pivotButton="0" quotePrefix="0" xfId="0"/>
    <xf numFmtId="0" fontId="31" fillId="3" borderId="0" applyAlignment="1" pivotButton="0" quotePrefix="0" xfId="0">
      <alignment wrapText="1"/>
    </xf>
    <xf numFmtId="0" fontId="31" fillId="3" borderId="0" pivotButton="0" quotePrefix="0" xfId="0"/>
    <xf numFmtId="1" fontId="31" fillId="3" borderId="0" applyAlignment="1" pivotButton="0" quotePrefix="0" xfId="0">
      <alignment horizontal="centerContinuous"/>
    </xf>
    <xf numFmtId="202" fontId="32" fillId="3" borderId="0" applyAlignment="1" pivotButton="0" quotePrefix="0" xfId="31">
      <alignment horizontal="left"/>
    </xf>
    <xf numFmtId="169" fontId="32" fillId="3" borderId="0" pivotButton="0" quotePrefix="0" xfId="31"/>
    <xf numFmtId="0" fontId="6" fillId="3" borderId="0" applyAlignment="1" pivotButton="0" quotePrefix="0" xfId="30">
      <alignment horizontal="left"/>
    </xf>
    <xf numFmtId="0" fontId="0" fillId="4" borderId="0" applyAlignment="1" pivotButton="0" quotePrefix="0" xfId="0">
      <alignment vertical="top"/>
    </xf>
    <xf numFmtId="190" fontId="3" fillId="3" borderId="0" applyAlignment="1" pivotButton="0" quotePrefix="0" xfId="0">
      <alignment horizontal="left"/>
    </xf>
    <xf numFmtId="184" fontId="44" fillId="4" borderId="0" applyAlignment="1" pivotButton="0" quotePrefix="0" xfId="20">
      <alignment horizontal="left"/>
    </xf>
    <xf numFmtId="169" fontId="6" fillId="3" borderId="0" applyAlignment="1" pivotButton="0" quotePrefix="0" xfId="0">
      <alignment horizontal="left"/>
    </xf>
    <xf numFmtId="169" fontId="32" fillId="3" borderId="0" applyAlignment="1" pivotButton="0" quotePrefix="0" xfId="0">
      <alignment horizontal="left"/>
    </xf>
    <xf numFmtId="169" fontId="31" fillId="3" borderId="0" applyAlignment="1" pivotButton="0" quotePrefix="0" xfId="0">
      <alignment horizontal="left" indent="1"/>
    </xf>
    <xf numFmtId="169" fontId="31" fillId="3" borderId="4" applyAlignment="1" pivotButton="0" quotePrefix="0" xfId="0">
      <alignment horizontal="left" indent="1"/>
    </xf>
    <xf numFmtId="169" fontId="7" fillId="3" borderId="4" applyAlignment="1" pivotButton="0" quotePrefix="0" xfId="0">
      <alignment horizontal="right"/>
    </xf>
    <xf numFmtId="169" fontId="0" fillId="0" borderId="0" pivotButton="0" quotePrefix="0" xfId="0"/>
    <xf numFmtId="180" fontId="6" fillId="3" borderId="0" applyAlignment="1" pivotButton="0" quotePrefix="0" xfId="30">
      <alignment horizontal="center"/>
    </xf>
    <xf numFmtId="169" fontId="8" fillId="3" borderId="0" applyAlignment="1" pivotButton="0" quotePrefix="0" xfId="30">
      <alignment horizontal="center"/>
    </xf>
    <xf numFmtId="169" fontId="0" fillId="4" borderId="0" applyAlignment="1" pivotButton="0" quotePrefix="0" xfId="0">
      <alignment vertical="top" wrapText="1"/>
    </xf>
    <xf numFmtId="169" fontId="27" fillId="3" borderId="0" applyAlignment="1" pivotButton="0" quotePrefix="0" xfId="0">
      <alignment horizontal="left" indent="1"/>
    </xf>
    <xf numFmtId="164" fontId="8" fillId="3" borderId="0" applyAlignment="1" pivotButton="0" quotePrefix="0" xfId="30">
      <alignment horizontal="center"/>
    </xf>
    <xf numFmtId="164" fontId="7" fillId="3" borderId="1" applyAlignment="1" pivotButton="0" quotePrefix="0" xfId="0">
      <alignment horizontal="right"/>
    </xf>
    <xf numFmtId="164" fontId="8" fillId="3" borderId="0" applyAlignment="1" pivotButton="0" quotePrefix="0" xfId="30">
      <alignment horizontal="center"/>
    </xf>
    <xf numFmtId="169" fontId="8" fillId="3" borderId="0" applyAlignment="1" pivotButton="0" quotePrefix="0" xfId="30">
      <alignment horizontal="center"/>
    </xf>
    <xf numFmtId="164" fontId="0" fillId="3" borderId="4" applyAlignment="1" pivotButton="0" quotePrefix="0" xfId="0">
      <alignment horizontal="right"/>
    </xf>
    <xf numFmtId="0" fontId="8" fillId="3" borderId="0" applyAlignment="1" pivotButton="0" quotePrefix="0" xfId="30">
      <alignment horizontal="center"/>
    </xf>
    <xf numFmtId="169" fontId="6" fillId="3" borderId="1" applyAlignment="1" pivotButton="0" quotePrefix="0" xfId="30">
      <alignment horizontal="center"/>
    </xf>
    <xf numFmtId="164" fontId="0" fillId="4" borderId="4" applyAlignment="1" pivotButton="0" quotePrefix="0" xfId="0">
      <alignment horizontal="right"/>
    </xf>
    <xf numFmtId="169" fontId="8" fillId="4" borderId="4" applyAlignment="1" pivotButton="0" quotePrefix="1" xfId="32">
      <alignment horizontal="center" vertical="top" wrapText="1"/>
    </xf>
    <xf numFmtId="202" fontId="6" fillId="3" borderId="0" applyAlignment="1" pivotButton="0" quotePrefix="0" xfId="31">
      <alignment horizontal="left"/>
    </xf>
    <xf numFmtId="0" fontId="0" fillId="0" borderId="0" pivotButton="0" quotePrefix="0" xfId="0"/>
    <xf numFmtId="169" fontId="0" fillId="0" borderId="0" pivotButton="0" quotePrefix="0" xfId="0"/>
    <xf numFmtId="169" fontId="7" fillId="0" borderId="0" applyAlignment="1" pivotButton="0" quotePrefix="0" xfId="0">
      <alignment horizontal="center"/>
    </xf>
    <xf numFmtId="164" fontId="0" fillId="0" borderId="0" pivotButton="0" quotePrefix="0" xfId="0"/>
    <xf numFmtId="169" fontId="7" fillId="0" borderId="0" pivotButton="0" quotePrefix="0" xfId="0"/>
    <xf numFmtId="169" fontId="22" fillId="0" borderId="0" pivotButton="0" quotePrefix="0" xfId="0"/>
    <xf numFmtId="164" fontId="22" fillId="0" borderId="0" pivotButton="0" quotePrefix="0" xfId="0"/>
    <xf numFmtId="165" fontId="0" fillId="0" borderId="0" pivotButton="0" quotePrefix="0" xfId="0"/>
    <xf numFmtId="169" fontId="10" fillId="0" borderId="0" pivotButton="0" quotePrefix="0" xfId="0"/>
    <xf numFmtId="165" fontId="7" fillId="0" borderId="0" pivotButton="0" quotePrefix="0" xfId="0"/>
    <xf numFmtId="176" fontId="7" fillId="0" borderId="0" pivotButton="0" quotePrefix="0" xfId="0"/>
    <xf numFmtId="176" fontId="22" fillId="0" borderId="0" pivotButton="0" quotePrefix="0" xfId="0"/>
    <xf numFmtId="183" fontId="0" fillId="0" borderId="0" pivotButton="0" quotePrefix="0" xfId="0"/>
    <xf numFmtId="183" fontId="7" fillId="0" borderId="0" pivotButton="0" quotePrefix="0" xfId="0"/>
    <xf numFmtId="164" fontId="30" fillId="0" borderId="0" pivotButton="0" quotePrefix="0" xfId="0"/>
    <xf numFmtId="169" fontId="30" fillId="0" borderId="0" pivotButton="0" quotePrefix="0" xfId="0"/>
    <xf numFmtId="169" fontId="40" fillId="0" borderId="0" pivotButton="0" quotePrefix="0" xfId="0"/>
    <xf numFmtId="168" fontId="7" fillId="0" borderId="0" pivotButton="0" quotePrefix="0" xfId="0"/>
    <xf numFmtId="168" fontId="30" fillId="0" borderId="0" pivotButton="0" quotePrefix="0" xfId="0"/>
    <xf numFmtId="181" fontId="0" fillId="0" borderId="0" pivotButton="0" quotePrefix="0" xfId="0"/>
    <xf numFmtId="171" fontId="0" fillId="0" borderId="0" pivotButton="0" quotePrefix="0" xfId="0"/>
    <xf numFmtId="182" fontId="0" fillId="0" borderId="0" pivotButton="0" quotePrefix="0" xfId="0"/>
    <xf numFmtId="166" fontId="0" fillId="0" borderId="0" pivotButton="0" quotePrefix="0" xfId="0"/>
    <xf numFmtId="176" fontId="0" fillId="0" borderId="0" pivotButton="0" quotePrefix="0" xfId="0"/>
    <xf numFmtId="174" fontId="7" fillId="0" borderId="0" pivotButton="0" quotePrefix="0" xfId="0"/>
    <xf numFmtId="170" fontId="7" fillId="0" borderId="0" pivotButton="0" quotePrefix="0" xfId="0"/>
    <xf numFmtId="174" fontId="0" fillId="0" borderId="0" pivotButton="0" quotePrefix="0" xfId="0"/>
    <xf numFmtId="170" fontId="0" fillId="0" borderId="0" pivotButton="0" quotePrefix="0" xfId="0"/>
    <xf numFmtId="0" fontId="0" fillId="0" borderId="0" pivotButton="0" quotePrefix="0" xfId="27"/>
    <xf numFmtId="169" fontId="0" fillId="0" borderId="0" pivotButton="0" quotePrefix="0" xfId="27"/>
    <xf numFmtId="168" fontId="7" fillId="0" borderId="0" pivotButton="0" quotePrefix="0" xfId="27"/>
    <xf numFmtId="169" fontId="7" fillId="0" borderId="0" pivotButton="0" quotePrefix="0" xfId="27"/>
    <xf numFmtId="164" fontId="22" fillId="0" borderId="0" pivotButton="0" quotePrefix="0" xfId="27"/>
    <xf numFmtId="165" fontId="0" fillId="0" borderId="0" pivotButton="0" quotePrefix="0" xfId="27"/>
    <xf numFmtId="164" fontId="0" fillId="0" borderId="0" pivotButton="0" quotePrefix="0" xfId="27"/>
    <xf numFmtId="196" fontId="7" fillId="0" borderId="0" pivotButton="0" quotePrefix="0" xfId="27"/>
    <xf numFmtId="174" fontId="7" fillId="0" borderId="0" pivotButton="0" quotePrefix="0" xfId="27"/>
    <xf numFmtId="197" fontId="7" fillId="0" borderId="0" pivotButton="0" quotePrefix="0" xfId="27"/>
    <xf numFmtId="164" fontId="7" fillId="0" borderId="0" pivotButton="0" quotePrefix="0" xfId="27"/>
    <xf numFmtId="174" fontId="0" fillId="0" borderId="0" pivotButton="0" quotePrefix="0" xfId="27"/>
    <xf numFmtId="169" fontId="0" fillId="4" borderId="0" pivotButton="0" quotePrefix="0" xfId="0"/>
    <xf numFmtId="169" fontId="0" fillId="0" borderId="0" pivotButton="0" quotePrefix="0" xfId="0"/>
    <xf numFmtId="164" fontId="0" fillId="4" borderId="0" pivotButton="0" quotePrefix="0" xfId="0"/>
    <xf numFmtId="164" fontId="0" fillId="0" borderId="0" pivotButton="0" quotePrefix="0" xfId="0"/>
    <xf numFmtId="43" fontId="31" fillId="4" borderId="0" applyAlignment="1" pivotButton="0" quotePrefix="0" xfId="0">
      <alignment horizontal="left"/>
    </xf>
    <xf numFmtId="43" fontId="32" fillId="4" borderId="0" pivotButton="0" quotePrefix="0" xfId="16"/>
    <xf numFmtId="43" fontId="31" fillId="5" borderId="0" applyAlignment="1" pivotButton="0" quotePrefix="0" xfId="0">
      <alignment horizontal="right"/>
    </xf>
    <xf numFmtId="43" fontId="31" fillId="4" borderId="0" applyAlignment="1" pivotButton="0" quotePrefix="0" xfId="0">
      <alignment horizontal="right"/>
    </xf>
    <xf numFmtId="43" fontId="7" fillId="4" borderId="0" pivotButton="0" quotePrefix="0" xfId="0"/>
    <xf numFmtId="43" fontId="7" fillId="0" borderId="0" pivotButton="0" quotePrefix="0" xfId="0"/>
    <xf numFmtId="164" fontId="35" fillId="4" borderId="4" applyAlignment="1" pivotButton="0" quotePrefix="0" xfId="0">
      <alignment horizontal="left" indent="1"/>
    </xf>
    <xf numFmtId="164" fontId="27" fillId="4" borderId="4" pivotButton="0" quotePrefix="0" xfId="16"/>
    <xf numFmtId="164" fontId="35" fillId="5" borderId="4" applyAlignment="1" pivotButton="0" quotePrefix="0" xfId="0">
      <alignment horizontal="right"/>
    </xf>
    <xf numFmtId="164" fontId="35" fillId="4" borderId="4" applyAlignment="1" pivotButton="0" quotePrefix="0" xfId="0">
      <alignment horizontal="right"/>
    </xf>
    <xf numFmtId="164" fontId="31" fillId="4" borderId="0" applyAlignment="1" pivotButton="0" quotePrefix="0" xfId="0">
      <alignment horizontal="left"/>
    </xf>
    <xf numFmtId="164" fontId="32" fillId="4" borderId="0" pivotButton="0" quotePrefix="0" xfId="16"/>
    <xf numFmtId="164" fontId="7" fillId="4" borderId="0" pivotButton="0" quotePrefix="0" xfId="0"/>
    <xf numFmtId="164" fontId="7" fillId="0" borderId="0" pivotButton="0" quotePrefix="0" xfId="0"/>
    <xf numFmtId="164" fontId="7" fillId="4" borderId="1" applyAlignment="1" pivotButton="0" quotePrefix="0" xfId="0">
      <alignment horizontal="left"/>
    </xf>
    <xf numFmtId="164" fontId="32" fillId="4" borderId="1" pivotButton="0" quotePrefix="0" xfId="16"/>
    <xf numFmtId="164" fontId="31" fillId="5" borderId="1" applyAlignment="1" pivotButton="0" quotePrefix="0" xfId="0">
      <alignment horizontal="right"/>
    </xf>
    <xf numFmtId="164" fontId="31" fillId="4" borderId="1" applyAlignment="1" pivotButton="0" quotePrefix="0" xfId="0">
      <alignment horizontal="right"/>
    </xf>
    <xf numFmtId="164" fontId="7" fillId="5" borderId="1" applyAlignment="1" pivotButton="0" quotePrefix="0" xfId="0">
      <alignment horizontal="right"/>
    </xf>
    <xf numFmtId="169" fontId="27" fillId="2" borderId="0" pivotButton="0" quotePrefix="0" xfId="25"/>
    <xf numFmtId="169" fontId="27" fillId="4" borderId="0" pivotButton="0" quotePrefix="0" xfId="21"/>
    <xf numFmtId="203" fontId="0" fillId="4" borderId="0" pivotButton="0" quotePrefix="0" xfId="0"/>
    <xf numFmtId="0" fontId="35" fillId="4" borderId="0" pivotButton="0" quotePrefix="0" xfId="0"/>
    <xf numFmtId="1" fontId="7" fillId="5" borderId="0" applyAlignment="1" pivotButton="0" quotePrefix="0" xfId="0">
      <alignment horizontal="center"/>
    </xf>
    <xf numFmtId="1" fontId="7" fillId="4" borderId="0" applyAlignment="1" pivotButton="0" quotePrefix="0" xfId="0">
      <alignment horizontal="center"/>
    </xf>
    <xf numFmtId="17" fontId="10" fillId="5" borderId="0" applyAlignment="1" pivotButton="0" quotePrefix="0" xfId="0">
      <alignment horizontal="center"/>
    </xf>
    <xf numFmtId="17" fontId="14" fillId="4" borderId="0" applyAlignment="1" pivotButton="0" quotePrefix="0" xfId="0">
      <alignment horizontal="center"/>
    </xf>
    <xf numFmtId="17" fontId="23" fillId="4" borderId="0" applyAlignment="1" pivotButton="0" quotePrefix="0" xfId="0">
      <alignment horizontal="center"/>
    </xf>
    <xf numFmtId="0" fontId="7" fillId="5" borderId="0" applyAlignment="1" pivotButton="0" quotePrefix="0" xfId="0">
      <alignment horizontal="center"/>
    </xf>
    <xf numFmtId="0" fontId="3" fillId="5" borderId="0" applyAlignment="1" pivotButton="0" quotePrefix="0" xfId="0">
      <alignment horizontal="center"/>
    </xf>
    <xf numFmtId="0" fontId="3" fillId="4" borderId="0" applyAlignment="1" pivotButton="0" quotePrefix="0" xfId="0">
      <alignment horizontal="center"/>
    </xf>
    <xf numFmtId="0" fontId="6" fillId="4" borderId="0" applyAlignment="1" pivotButton="0" quotePrefix="0" xfId="0">
      <alignment horizontal="center"/>
    </xf>
    <xf numFmtId="164" fontId="33" fillId="6" borderId="0" pivotButton="0" quotePrefix="0" xfId="0"/>
    <xf numFmtId="164" fontId="42" fillId="6" borderId="0" applyAlignment="1" pivotButton="0" quotePrefix="0" xfId="0">
      <alignment horizontal="center"/>
    </xf>
    <xf numFmtId="164" fontId="30" fillId="5" borderId="0" applyAlignment="1" pivotButton="0" quotePrefix="0" xfId="0">
      <alignment horizontal="right"/>
    </xf>
    <xf numFmtId="164" fontId="30" fillId="4" borderId="0" applyAlignment="1" pivotButton="0" quotePrefix="0" xfId="0">
      <alignment horizontal="right"/>
    </xf>
    <xf numFmtId="164" fontId="22" fillId="4" borderId="0" applyAlignment="1" pivotButton="0" quotePrefix="0" xfId="0">
      <alignment horizontal="right"/>
    </xf>
    <xf numFmtId="164" fontId="22" fillId="5" borderId="0" applyAlignment="1" pivotButton="0" quotePrefix="0" xfId="0">
      <alignment horizontal="right"/>
    </xf>
    <xf numFmtId="164" fontId="35" fillId="5" borderId="0" applyAlignment="1" pivotButton="0" quotePrefix="0" xfId="0">
      <alignment horizontal="right"/>
    </xf>
    <xf numFmtId="164" fontId="35" fillId="4" borderId="0" applyAlignment="1" pivotButton="0" quotePrefix="0" xfId="0">
      <alignment horizontal="right"/>
    </xf>
    <xf numFmtId="164" fontId="0" fillId="5" borderId="0" applyAlignment="1" pivotButton="0" quotePrefix="0" xfId="0">
      <alignment horizontal="right"/>
    </xf>
    <xf numFmtId="164" fontId="0" fillId="4" borderId="0" applyAlignment="1" pivotButton="0" quotePrefix="0" xfId="0">
      <alignment horizontal="right"/>
    </xf>
    <xf numFmtId="165" fontId="35" fillId="5" borderId="0" applyAlignment="1" pivotButton="0" quotePrefix="0" xfId="0">
      <alignment horizontal="right"/>
    </xf>
    <xf numFmtId="165" fontId="35" fillId="4" borderId="0" applyAlignment="1" pivotButton="0" quotePrefix="0" xfId="0">
      <alignment horizontal="right"/>
    </xf>
    <xf numFmtId="165" fontId="0" fillId="5" borderId="0" applyAlignment="1" pivotButton="0" quotePrefix="0" xfId="0">
      <alignment horizontal="right"/>
    </xf>
    <xf numFmtId="165" fontId="0" fillId="4" borderId="0" applyAlignment="1" pivotButton="0" quotePrefix="0" xfId="0">
      <alignment horizontal="right"/>
    </xf>
    <xf numFmtId="176" fontId="31" fillId="5" borderId="0" applyAlignment="1" pivotButton="0" quotePrefix="0" xfId="0">
      <alignment horizontal="right"/>
    </xf>
    <xf numFmtId="176" fontId="31" fillId="4" borderId="0" applyAlignment="1" pivotButton="0" quotePrefix="0" xfId="0">
      <alignment horizontal="right"/>
    </xf>
    <xf numFmtId="176" fontId="7" fillId="5" borderId="0" applyAlignment="1" pivotButton="0" quotePrefix="0" xfId="0">
      <alignment horizontal="right"/>
    </xf>
    <xf numFmtId="176" fontId="7" fillId="4" borderId="0" applyAlignment="1" pivotButton="0" quotePrefix="0" xfId="0">
      <alignment horizontal="right"/>
    </xf>
    <xf numFmtId="176" fontId="30" fillId="5" borderId="0" applyAlignment="1" pivotButton="0" quotePrefix="0" xfId="0">
      <alignment horizontal="right"/>
    </xf>
    <xf numFmtId="176" fontId="30" fillId="4" borderId="0" applyAlignment="1" pivotButton="0" quotePrefix="0" xfId="0">
      <alignment horizontal="right"/>
    </xf>
    <xf numFmtId="165" fontId="31" fillId="5" borderId="0" applyAlignment="1" pivotButton="0" quotePrefix="0" xfId="0">
      <alignment horizontal="right"/>
    </xf>
    <xf numFmtId="165" fontId="31" fillId="4" borderId="0" applyAlignment="1" pivotButton="0" quotePrefix="0" xfId="0">
      <alignment horizontal="right"/>
    </xf>
    <xf numFmtId="165" fontId="7" fillId="5" borderId="0" applyAlignment="1" pivotButton="0" quotePrefix="0" xfId="0">
      <alignment horizontal="right"/>
    </xf>
    <xf numFmtId="165" fontId="7" fillId="4" borderId="0" applyAlignment="1" pivotButton="0" quotePrefix="0" xfId="0">
      <alignment horizontal="right"/>
    </xf>
    <xf numFmtId="164" fontId="30" fillId="5" borderId="0" pivotButton="0" quotePrefix="0" xfId="0"/>
    <xf numFmtId="164" fontId="30" fillId="4" borderId="0" pivotButton="0" quotePrefix="0" xfId="0"/>
    <xf numFmtId="164" fontId="22" fillId="5" borderId="0" pivotButton="0" quotePrefix="0" xfId="0"/>
    <xf numFmtId="164" fontId="22" fillId="4" borderId="0" pivotButton="0" quotePrefix="0" xfId="0"/>
    <xf numFmtId="164" fontId="35" fillId="5" borderId="0" pivotButton="0" quotePrefix="0" xfId="0"/>
    <xf numFmtId="164" fontId="35" fillId="4" borderId="0" pivotButton="0" quotePrefix="0" xfId="0"/>
    <xf numFmtId="164" fontId="0" fillId="5" borderId="0" pivotButton="0" quotePrefix="0" xfId="0"/>
    <xf numFmtId="164" fontId="0" fillId="4" borderId="0" pivotButton="0" quotePrefix="0" xfId="0"/>
    <xf numFmtId="165" fontId="35" fillId="5" borderId="0" pivotButton="0" quotePrefix="0" xfId="0"/>
    <xf numFmtId="165" fontId="35" fillId="4" borderId="0" pivotButton="0" quotePrefix="0" xfId="0"/>
    <xf numFmtId="165" fontId="0" fillId="5" borderId="0" pivotButton="0" quotePrefix="0" xfId="0"/>
    <xf numFmtId="165" fontId="0" fillId="4" borderId="0" pivotButton="0" quotePrefix="0" xfId="0"/>
    <xf numFmtId="183" fontId="35" fillId="5" borderId="0" pivotButton="0" quotePrefix="0" xfId="0"/>
    <xf numFmtId="183" fontId="35" fillId="4" borderId="0" pivotButton="0" quotePrefix="0" xfId="0"/>
    <xf numFmtId="183" fontId="0" fillId="4" borderId="0" pivotButton="0" quotePrefix="0" xfId="0"/>
    <xf numFmtId="183" fontId="0" fillId="5" borderId="0" pivotButton="0" quotePrefix="0" xfId="0"/>
    <xf numFmtId="183" fontId="35" fillId="5" borderId="0" applyAlignment="1" pivotButton="0" quotePrefix="0" xfId="0">
      <alignment horizontal="right"/>
    </xf>
    <xf numFmtId="183" fontId="35" fillId="4" borderId="0" applyAlignment="1" pivotButton="0" quotePrefix="0" xfId="0">
      <alignment horizontal="right"/>
    </xf>
    <xf numFmtId="183" fontId="0" fillId="5" borderId="0" applyAlignment="1" pivotButton="0" quotePrefix="0" xfId="0">
      <alignment horizontal="right"/>
    </xf>
    <xf numFmtId="183" fontId="0" fillId="4" borderId="0" applyAlignment="1" pivotButton="0" quotePrefix="0" xfId="0">
      <alignment horizontal="right"/>
    </xf>
    <xf numFmtId="43" fontId="31" fillId="5" borderId="0" applyAlignment="1" pivotButton="0" quotePrefix="0" xfId="0">
      <alignment horizontal="right"/>
    </xf>
    <xf numFmtId="43" fontId="31" fillId="4" borderId="0" applyAlignment="1" pivotButton="0" quotePrefix="0" xfId="0">
      <alignment horizontal="right"/>
    </xf>
    <xf numFmtId="164" fontId="31" fillId="5" borderId="0" applyAlignment="1" pivotButton="0" quotePrefix="0" xfId="0">
      <alignment horizontal="right"/>
    </xf>
    <xf numFmtId="164" fontId="31" fillId="4" borderId="0" applyAlignment="1" pivotButton="0" quotePrefix="0" xfId="0">
      <alignment horizontal="right"/>
    </xf>
    <xf numFmtId="164" fontId="31" fillId="5" borderId="0" pivotButton="0" quotePrefix="0" xfId="0"/>
    <xf numFmtId="164" fontId="31" fillId="4" borderId="0" pivotButton="0" quotePrefix="0" xfId="0"/>
    <xf numFmtId="164" fontId="32" fillId="4" borderId="0" pivotButton="0" quotePrefix="0" xfId="0"/>
    <xf numFmtId="164" fontId="29" fillId="4" borderId="0" pivotButton="0" quotePrefix="0" xfId="0"/>
    <xf numFmtId="164" fontId="32" fillId="4" borderId="0" applyAlignment="1" pivotButton="0" quotePrefix="0" xfId="0">
      <alignment horizontal="right"/>
    </xf>
    <xf numFmtId="168" fontId="31" fillId="5" borderId="0" pivotButton="0" quotePrefix="0" xfId="0"/>
    <xf numFmtId="168" fontId="31" fillId="4" borderId="0" pivotButton="0" quotePrefix="0" xfId="0"/>
    <xf numFmtId="168" fontId="7" fillId="5" borderId="0" pivotButton="0" quotePrefix="0" xfId="0"/>
    <xf numFmtId="168" fontId="7" fillId="4" borderId="0" pivotButton="0" quotePrefix="0" xfId="0"/>
    <xf numFmtId="168" fontId="30" fillId="5" borderId="0" pivotButton="0" quotePrefix="0" xfId="0"/>
    <xf numFmtId="168" fontId="30" fillId="4" borderId="0" pivotButton="0" quotePrefix="0" xfId="0"/>
    <xf numFmtId="168" fontId="29" fillId="4" borderId="0" pivotButton="0" quotePrefix="0" xfId="0"/>
    <xf numFmtId="181" fontId="35" fillId="5" borderId="0" pivotButton="0" quotePrefix="0" xfId="0"/>
    <xf numFmtId="181" fontId="35" fillId="4" borderId="0" pivotButton="0" quotePrefix="0" xfId="0"/>
    <xf numFmtId="171" fontId="35" fillId="5" borderId="0" pivotButton="0" quotePrefix="0" xfId="0"/>
    <xf numFmtId="171" fontId="35" fillId="4" borderId="0" pivotButton="0" quotePrefix="0" xfId="0"/>
    <xf numFmtId="182" fontId="30" fillId="5" borderId="0" pivotButton="0" quotePrefix="0" xfId="0"/>
    <xf numFmtId="182" fontId="30" fillId="4" borderId="0" pivotButton="0" quotePrefix="0" xfId="0"/>
    <xf numFmtId="182" fontId="22" fillId="5" borderId="0" pivotButton="0" quotePrefix="0" xfId="0"/>
    <xf numFmtId="182" fontId="22" fillId="4" borderId="0" pivotButton="0" quotePrefix="0" xfId="0"/>
    <xf numFmtId="166" fontId="35" fillId="5" borderId="0" pivotButton="0" quotePrefix="0" xfId="0"/>
    <xf numFmtId="166" fontId="35" fillId="4" borderId="0" pivotButton="0" quotePrefix="0" xfId="0"/>
    <xf numFmtId="166" fontId="0" fillId="5" borderId="0" pivotButton="0" quotePrefix="0" xfId="0"/>
    <xf numFmtId="166" fontId="0" fillId="4" borderId="0" pivotButton="0" quotePrefix="0" xfId="0"/>
    <xf numFmtId="176" fontId="31" fillId="5" borderId="0" pivotButton="0" quotePrefix="0" xfId="0"/>
    <xf numFmtId="176" fontId="31" fillId="4" borderId="0" pivotButton="0" quotePrefix="0" xfId="0"/>
    <xf numFmtId="166" fontId="31" fillId="5" borderId="0" pivotButton="0" quotePrefix="0" xfId="0"/>
    <xf numFmtId="166" fontId="31" fillId="4" borderId="0" pivotButton="0" quotePrefix="0" xfId="0"/>
    <xf numFmtId="174" fontId="31" fillId="5" borderId="0" applyAlignment="1" pivotButton="0" quotePrefix="0" xfId="0">
      <alignment horizontal="right"/>
    </xf>
    <xf numFmtId="174" fontId="31" fillId="4" borderId="0" applyAlignment="1" pivotButton="0" quotePrefix="0" xfId="0">
      <alignment horizontal="right"/>
    </xf>
    <xf numFmtId="174" fontId="31" fillId="4" borderId="0" pivotButton="0" quotePrefix="0" xfId="0"/>
    <xf numFmtId="174" fontId="7" fillId="5" borderId="0" applyAlignment="1" pivotButton="0" quotePrefix="0" xfId="0">
      <alignment horizontal="right"/>
    </xf>
    <xf numFmtId="180" fontId="31" fillId="5" borderId="0" pivotButton="0" quotePrefix="0" xfId="0"/>
    <xf numFmtId="180" fontId="31" fillId="4" borderId="0" pivotButton="0" quotePrefix="0" xfId="0"/>
    <xf numFmtId="174" fontId="35" fillId="5" borderId="0" applyAlignment="1" pivotButton="0" quotePrefix="0" xfId="0">
      <alignment horizontal="right"/>
    </xf>
    <xf numFmtId="174" fontId="35" fillId="4" borderId="0" applyAlignment="1" pivotButton="0" quotePrefix="0" xfId="0">
      <alignment horizontal="right"/>
    </xf>
    <xf numFmtId="174" fontId="35" fillId="4" borderId="0" pivotButton="0" quotePrefix="0" xfId="0"/>
    <xf numFmtId="170" fontId="35" fillId="5" borderId="0" applyAlignment="1" pivotButton="0" quotePrefix="0" xfId="0">
      <alignment horizontal="right"/>
    </xf>
    <xf numFmtId="170" fontId="35" fillId="4" borderId="0" applyAlignment="1" pivotButton="0" quotePrefix="0" xfId="0">
      <alignment horizontal="right"/>
    </xf>
    <xf numFmtId="175" fontId="35" fillId="5" borderId="0" applyAlignment="1" pivotButton="0" quotePrefix="0" xfId="0">
      <alignment horizontal="right"/>
    </xf>
    <xf numFmtId="175" fontId="35" fillId="4" borderId="0" applyAlignment="1" pivotButton="0" quotePrefix="0" xfId="0">
      <alignment horizontal="right"/>
    </xf>
    <xf numFmtId="171" fontId="35" fillId="5" borderId="0" applyAlignment="1" pivotButton="0" quotePrefix="0" xfId="0">
      <alignment horizontal="right"/>
    </xf>
    <xf numFmtId="171" fontId="35" fillId="4" borderId="0" applyAlignment="1" pivotButton="0" quotePrefix="0" xfId="0">
      <alignment horizontal="right"/>
    </xf>
    <xf numFmtId="164" fontId="40" fillId="5" borderId="0" applyAlignment="1" pivotButton="0" quotePrefix="0" xfId="0">
      <alignment horizontal="right"/>
    </xf>
    <xf numFmtId="164" fontId="40" fillId="4" borderId="0" applyAlignment="1" pivotButton="0" quotePrefix="0" xfId="0">
      <alignment horizontal="right"/>
    </xf>
    <xf numFmtId="165" fontId="27" fillId="4" borderId="0" pivotButton="0" quotePrefix="0" xfId="21"/>
    <xf numFmtId="188" fontId="32" fillId="4" borderId="0" applyAlignment="1" pivotButton="0" quotePrefix="0" xfId="21">
      <alignment horizontal="right"/>
    </xf>
    <xf numFmtId="188" fontId="31" fillId="4" borderId="0" applyAlignment="1" pivotButton="0" quotePrefix="0" xfId="0">
      <alignment horizontal="right"/>
    </xf>
    <xf numFmtId="0" fontId="32" fillId="4" borderId="0" applyAlignment="1" pivotButton="0" quotePrefix="0" xfId="21">
      <alignment horizontal="right"/>
    </xf>
    <xf numFmtId="0" fontId="31" fillId="4" borderId="0" applyAlignment="1" pivotButton="0" quotePrefix="0" xfId="0">
      <alignment horizontal="right"/>
    </xf>
    <xf numFmtId="17" fontId="2" fillId="4" borderId="0" pivotButton="0" quotePrefix="0" xfId="21"/>
    <xf numFmtId="17" fontId="0" fillId="4" borderId="0" pivotButton="0" quotePrefix="0" xfId="0"/>
    <xf numFmtId="170" fontId="2" fillId="4" borderId="0" pivotButton="0" quotePrefix="0" xfId="21"/>
    <xf numFmtId="170" fontId="0" fillId="4" borderId="0" pivotButton="0" quotePrefix="0" xfId="0"/>
    <xf numFmtId="170" fontId="27" fillId="4" borderId="0" pivotButton="0" quotePrefix="0" xfId="21"/>
    <xf numFmtId="170" fontId="35" fillId="4" borderId="0" pivotButton="0" quotePrefix="0" xfId="0"/>
    <xf numFmtId="171" fontId="2" fillId="4" borderId="0" pivotButton="0" quotePrefix="0" xfId="21"/>
    <xf numFmtId="171" fontId="0" fillId="4" borderId="0" pivotButton="0" quotePrefix="0" xfId="0"/>
    <xf numFmtId="175" fontId="27" fillId="4" borderId="0" pivotButton="0" quotePrefix="0" xfId="21"/>
    <xf numFmtId="175" fontId="35" fillId="4" borderId="0" pivotButton="0" quotePrefix="0" xfId="0"/>
    <xf numFmtId="0" fontId="33" fillId="6" borderId="0" pivotButton="0" quotePrefix="0" xfId="0"/>
    <xf numFmtId="0" fontId="0" fillId="4" borderId="0" pivotButton="0" quotePrefix="0" xfId="0"/>
    <xf numFmtId="17" fontId="40" fillId="5" borderId="0" applyAlignment="1" pivotButton="0" quotePrefix="0" xfId="27">
      <alignment horizontal="center"/>
    </xf>
    <xf numFmtId="17" fontId="38" fillId="5" borderId="0" applyAlignment="1" pivotButton="0" quotePrefix="0" xfId="27">
      <alignment horizontal="center"/>
    </xf>
    <xf numFmtId="17" fontId="38" fillId="4" borderId="0" applyAlignment="1" pivotButton="0" quotePrefix="0" xfId="27">
      <alignment horizontal="center"/>
    </xf>
    <xf numFmtId="169" fontId="31" fillId="5" borderId="0" applyAlignment="1" pivotButton="0" quotePrefix="0" xfId="27">
      <alignment horizontal="center"/>
    </xf>
    <xf numFmtId="169" fontId="32" fillId="5" borderId="0" applyAlignment="1" pivotButton="0" quotePrefix="0" xfId="27">
      <alignment horizontal="center"/>
    </xf>
    <xf numFmtId="169" fontId="32" fillId="4" borderId="0" applyAlignment="1" pivotButton="0" quotePrefix="0" xfId="27">
      <alignment horizontal="center"/>
    </xf>
    <xf numFmtId="169" fontId="37" fillId="6" borderId="0" pivotButton="0" quotePrefix="0" xfId="27"/>
    <xf numFmtId="180" fontId="31" fillId="5" borderId="0" applyAlignment="1" pivotButton="0" quotePrefix="0" xfId="27">
      <alignment horizontal="right"/>
    </xf>
    <xf numFmtId="180" fontId="31" fillId="4" borderId="0" applyAlignment="1" pivotButton="0" quotePrefix="0" xfId="27">
      <alignment horizontal="right"/>
    </xf>
    <xf numFmtId="180" fontId="31" fillId="5" borderId="0" pivotButton="0" quotePrefix="0" xfId="27"/>
    <xf numFmtId="164" fontId="30" fillId="5" borderId="0" applyAlignment="1" pivotButton="0" quotePrefix="0" xfId="27">
      <alignment horizontal="right"/>
    </xf>
    <xf numFmtId="164" fontId="30" fillId="4" borderId="0" applyAlignment="1" pivotButton="0" quotePrefix="0" xfId="27">
      <alignment horizontal="right"/>
    </xf>
    <xf numFmtId="165" fontId="35" fillId="5" borderId="0" applyAlignment="1" pivotButton="0" quotePrefix="0" xfId="27">
      <alignment horizontal="right"/>
    </xf>
    <xf numFmtId="165" fontId="35" fillId="4" borderId="0" applyAlignment="1" pivotButton="0" quotePrefix="0" xfId="27">
      <alignment horizontal="right"/>
    </xf>
    <xf numFmtId="164" fontId="35" fillId="5" borderId="0" applyAlignment="1" pivotButton="0" quotePrefix="0" xfId="27">
      <alignment horizontal="right"/>
    </xf>
    <xf numFmtId="164" fontId="35" fillId="4" borderId="0" applyAlignment="1" pivotButton="0" quotePrefix="0" xfId="27">
      <alignment horizontal="right"/>
    </xf>
    <xf numFmtId="168" fontId="31" fillId="5" borderId="0" pivotButton="0" quotePrefix="0" xfId="27"/>
    <xf numFmtId="168" fontId="31" fillId="4" borderId="0" pivotButton="0" quotePrefix="0" xfId="27"/>
    <xf numFmtId="164" fontId="33" fillId="6" borderId="0" pivotButton="0" quotePrefix="0" xfId="27"/>
    <xf numFmtId="164" fontId="42" fillId="6" borderId="0" applyAlignment="1" pivotButton="0" quotePrefix="0" xfId="27">
      <alignment horizontal="center"/>
    </xf>
    <xf numFmtId="164" fontId="31" fillId="5" borderId="0" applyAlignment="1" pivotButton="0" quotePrefix="0" xfId="27">
      <alignment horizontal="center"/>
    </xf>
    <xf numFmtId="164" fontId="31" fillId="4" borderId="0" applyAlignment="1" pivotButton="0" quotePrefix="0" xfId="27">
      <alignment horizontal="center"/>
    </xf>
    <xf numFmtId="164" fontId="35" fillId="4" borderId="0" applyAlignment="1" pivotButton="0" quotePrefix="0" xfId="27">
      <alignment horizontal="center"/>
    </xf>
    <xf numFmtId="164" fontId="35" fillId="5" borderId="0" pivotButton="0" quotePrefix="0" xfId="27"/>
    <xf numFmtId="164" fontId="31" fillId="5" borderId="0" applyAlignment="1" pivotButton="0" quotePrefix="0" xfId="27">
      <alignment horizontal="right"/>
    </xf>
    <xf numFmtId="164" fontId="31" fillId="4" borderId="0" applyAlignment="1" pivotButton="0" quotePrefix="0" xfId="27">
      <alignment horizontal="right"/>
    </xf>
    <xf numFmtId="196" fontId="31" fillId="5" borderId="0" applyAlignment="1" pivotButton="0" quotePrefix="0" xfId="27">
      <alignment horizontal="right"/>
    </xf>
    <xf numFmtId="196" fontId="31" fillId="4" borderId="0" applyAlignment="1" pivotButton="0" quotePrefix="0" xfId="27">
      <alignment horizontal="right"/>
    </xf>
    <xf numFmtId="174" fontId="31" fillId="5" borderId="0" applyAlignment="1" pivotButton="0" quotePrefix="0" xfId="27">
      <alignment horizontal="right"/>
    </xf>
    <xf numFmtId="174" fontId="31" fillId="4" borderId="0" applyAlignment="1" pivotButton="0" quotePrefix="0" xfId="27">
      <alignment horizontal="right"/>
    </xf>
    <xf numFmtId="197" fontId="31" fillId="5" borderId="0" applyAlignment="1" pivotButton="0" quotePrefix="0" xfId="27">
      <alignment horizontal="right"/>
    </xf>
    <xf numFmtId="197" fontId="31" fillId="4" borderId="0" applyAlignment="1" pivotButton="0" quotePrefix="0" xfId="27">
      <alignment horizontal="right"/>
    </xf>
    <xf numFmtId="174" fontId="35" fillId="5" borderId="0" applyAlignment="1" pivotButton="0" quotePrefix="0" xfId="27">
      <alignment horizontal="right"/>
    </xf>
    <xf numFmtId="174" fontId="35" fillId="4" borderId="0" pivotButton="0" quotePrefix="0" xfId="27"/>
    <xf numFmtId="164" fontId="35" fillId="4" borderId="0" pivotButton="0" quotePrefix="0" xfId="27"/>
    <xf numFmtId="164" fontId="30" fillId="4" borderId="13" applyAlignment="1" pivotButton="0" quotePrefix="0" xfId="0">
      <alignment horizontal="right"/>
    </xf>
    <xf numFmtId="165" fontId="35" fillId="4" borderId="13" applyAlignment="1" pivotButton="0" quotePrefix="0" xfId="0">
      <alignment horizontal="right"/>
    </xf>
    <xf numFmtId="176" fontId="30" fillId="4" borderId="13" applyAlignment="1" pivotButton="0" quotePrefix="0" xfId="0">
      <alignment horizontal="right"/>
    </xf>
    <xf numFmtId="164" fontId="35" fillId="4" borderId="13" applyAlignment="1" pivotButton="0" quotePrefix="0" xfId="0">
      <alignment horizontal="right"/>
    </xf>
    <xf numFmtId="164" fontId="30" fillId="4" borderId="13" pivotButton="0" quotePrefix="0" xfId="0"/>
    <xf numFmtId="164" fontId="35" fillId="4" borderId="13" pivotButton="0" quotePrefix="0" xfId="0"/>
    <xf numFmtId="183" fontId="35" fillId="4" borderId="13" pivotButton="0" quotePrefix="0" xfId="0"/>
    <xf numFmtId="183" fontId="35" fillId="4" borderId="13" applyAlignment="1" pivotButton="0" quotePrefix="0" xfId="0">
      <alignment horizontal="right"/>
    </xf>
    <xf numFmtId="165" fontId="31" fillId="4" borderId="19" applyAlignment="1" pivotButton="0" quotePrefix="0" xfId="0">
      <alignment horizontal="right"/>
    </xf>
    <xf numFmtId="43" fontId="31" fillId="4" borderId="13" applyAlignment="1" pivotButton="0" quotePrefix="0" xfId="0">
      <alignment horizontal="right"/>
    </xf>
    <xf numFmtId="164" fontId="31" fillId="4" borderId="13" applyAlignment="1" pivotButton="0" quotePrefix="0" xfId="0">
      <alignment horizontal="right"/>
    </xf>
    <xf numFmtId="164" fontId="30" fillId="4" borderId="20" pivotButton="0" quotePrefix="0" xfId="0"/>
    <xf numFmtId="171" fontId="35" fillId="4" borderId="13" pivotButton="0" quotePrefix="0" xfId="0"/>
    <xf numFmtId="166" fontId="35" fillId="4" borderId="13" pivotButton="0" quotePrefix="0" xfId="0"/>
    <xf numFmtId="176" fontId="31" fillId="4" borderId="13" pivotButton="0" quotePrefix="0" xfId="0"/>
    <xf numFmtId="166" fontId="31" fillId="4" borderId="13" pivotButton="0" quotePrefix="0" xfId="0"/>
    <xf numFmtId="164" fontId="40" fillId="4" borderId="13" applyAlignment="1" pivotButton="0" quotePrefix="0" xfId="0">
      <alignment horizontal="right"/>
    </xf>
    <xf numFmtId="17" fontId="38" fillId="4" borderId="13" applyAlignment="1" pivotButton="0" quotePrefix="0" xfId="27">
      <alignment horizontal="center"/>
    </xf>
    <xf numFmtId="169" fontId="32" fillId="4" borderId="13" applyAlignment="1" pivotButton="0" quotePrefix="0" xfId="27">
      <alignment horizontal="center"/>
    </xf>
    <xf numFmtId="164" fontId="30" fillId="4" borderId="13" applyAlignment="1" pivotButton="0" quotePrefix="0" xfId="27">
      <alignment horizontal="right"/>
    </xf>
    <xf numFmtId="165" fontId="35" fillId="4" borderId="13" applyAlignment="1" pivotButton="0" quotePrefix="0" xfId="27">
      <alignment horizontal="right"/>
    </xf>
    <xf numFmtId="164" fontId="35" fillId="4" borderId="13" applyAlignment="1" pivotButton="0" quotePrefix="0" xfId="27">
      <alignment horizontal="right"/>
    </xf>
    <xf numFmtId="168" fontId="31" fillId="4" borderId="13" pivotButton="0" quotePrefix="0" xfId="27"/>
    <xf numFmtId="164" fontId="31" fillId="4" borderId="13" applyAlignment="1" pivotButton="0" quotePrefix="0" xfId="27">
      <alignment horizontal="center"/>
    </xf>
    <xf numFmtId="164" fontId="35" fillId="4" borderId="20" applyAlignment="1" pivotButton="0" quotePrefix="0" xfId="27">
      <alignment horizontal="right"/>
    </xf>
    <xf numFmtId="164" fontId="31" fillId="4" borderId="13" applyAlignment="1" pivotButton="0" quotePrefix="0" xfId="27">
      <alignment horizontal="right"/>
    </xf>
    <xf numFmtId="196" fontId="31" fillId="4" borderId="13" applyAlignment="1" pivotButton="0" quotePrefix="0" xfId="27">
      <alignment horizontal="right"/>
    </xf>
    <xf numFmtId="174" fontId="35" fillId="4" borderId="13" pivotButton="0" quotePrefix="0" xfId="27"/>
    <xf numFmtId="164" fontId="35" fillId="4" borderId="13" pivotButton="0" quotePrefix="0" xfId="27"/>
    <xf numFmtId="0" fontId="4" fillId="4" borderId="27" applyAlignment="1" pivotButton="0" quotePrefix="0" xfId="20">
      <alignment horizontal="left"/>
    </xf>
    <xf numFmtId="165" fontId="35" fillId="4" borderId="4" applyAlignment="1" pivotButton="0" quotePrefix="0" xfId="0">
      <alignment horizontal="left" indent="1"/>
    </xf>
    <xf numFmtId="169" fontId="32" fillId="4" borderId="1" pivotButton="0" quotePrefix="0" xfId="16"/>
    <xf numFmtId="0" fontId="55" fillId="4" borderId="0" pivotButton="0" quotePrefix="0" xfId="0"/>
    <xf numFmtId="0" fontId="31" fillId="4" borderId="0" pivotButton="0" quotePrefix="0" xfId="0"/>
    <xf numFmtId="0" fontId="30" fillId="4" borderId="0" pivotButton="0" quotePrefix="0" xfId="0"/>
    <xf numFmtId="0" fontId="35" fillId="4" borderId="0" applyAlignment="1" pivotButton="0" quotePrefix="0" xfId="0">
      <alignment horizontal="left"/>
    </xf>
    <xf numFmtId="0" fontId="35" fillId="4" borderId="0" applyAlignment="1" pivotButton="0" quotePrefix="0" xfId="0">
      <alignment horizontal="center"/>
    </xf>
    <xf numFmtId="0" fontId="34" fillId="6" borderId="0" applyAlignment="1" pivotButton="0" quotePrefix="0" xfId="0">
      <alignment horizontal="left"/>
    </xf>
    <xf numFmtId="0" fontId="34" fillId="6" borderId="0" applyAlignment="1" pivotButton="0" quotePrefix="0" xfId="0">
      <alignment horizontal="centerContinuous"/>
    </xf>
    <xf numFmtId="0" fontId="34" fillId="6" borderId="0" applyAlignment="1" pivotButton="0" quotePrefix="0" xfId="0">
      <alignment horizontal="center"/>
    </xf>
    <xf numFmtId="164" fontId="34" fillId="6" borderId="0" applyAlignment="1" pivotButton="0" quotePrefix="0" xfId="0">
      <alignment horizontal="center"/>
    </xf>
    <xf numFmtId="0" fontId="35" fillId="12" borderId="0" pivotButton="0" quotePrefix="0" xfId="0"/>
    <xf numFmtId="0" fontId="30" fillId="12" borderId="0" pivotButton="0" quotePrefix="0" xfId="0"/>
    <xf numFmtId="165" fontId="35" fillId="12" borderId="0" pivotButton="0" quotePrefix="0" xfId="0"/>
    <xf numFmtId="14" fontId="35" fillId="12" borderId="0" applyAlignment="1" pivotButton="0" quotePrefix="0" xfId="0">
      <alignment horizontal="left"/>
    </xf>
    <xf numFmtId="0" fontId="34" fillId="4" borderId="0" applyAlignment="1" pivotButton="0" quotePrefix="0" xfId="0">
      <alignment horizontal="left"/>
    </xf>
    <xf numFmtId="0" fontId="34" fillId="4" borderId="0" applyAlignment="1" pivotButton="0" quotePrefix="0" xfId="0">
      <alignment horizontal="center"/>
    </xf>
    <xf numFmtId="0" fontId="31" fillId="12" borderId="0" pivotButton="0" quotePrefix="0" xfId="0"/>
    <xf numFmtId="165" fontId="31" fillId="12" borderId="0" applyAlignment="1" pivotButton="0" quotePrefix="0" xfId="0">
      <alignment horizontal="center"/>
    </xf>
    <xf numFmtId="164" fontId="31" fillId="12" borderId="0" applyAlignment="1" pivotButton="0" quotePrefix="0" xfId="0">
      <alignment horizontal="center"/>
    </xf>
    <xf numFmtId="164" fontId="31" fillId="4" borderId="0" pivotButton="0" quotePrefix="0" xfId="0"/>
    <xf numFmtId="0" fontId="57" fillId="12" borderId="0" pivotButton="0" quotePrefix="0" xfId="20"/>
    <xf numFmtId="0" fontId="56" fillId="4" borderId="0" pivotButton="0" quotePrefix="0" xfId="0"/>
    <xf numFmtId="0" fontId="54" fillId="0" borderId="0" pivotButton="0" quotePrefix="0" xfId="0"/>
    <xf numFmtId="0" fontId="0" fillId="0" borderId="0" pivotButton="0" quotePrefix="0" xfId="0"/>
    <xf numFmtId="0" fontId="7" fillId="0" borderId="0" pivotButton="0" quotePrefix="0" xfId="0"/>
    <xf numFmtId="0" fontId="22" fillId="0" borderId="0" pivotButton="0" quotePrefix="0" xfId="0"/>
    <xf numFmtId="0" fontId="0" fillId="0" borderId="0" applyAlignment="1" pivotButton="0" quotePrefix="0" xfId="0">
      <alignment horizontal="left"/>
    </xf>
    <xf numFmtId="0" fontId="9" fillId="0" borderId="0" pivotButton="0" quotePrefix="0" xfId="0"/>
    <xf numFmtId="0" fontId="53" fillId="0" borderId="0" applyAlignment="1" pivotButton="0" quotePrefix="0" xfId="0">
      <alignment horizontal="left"/>
    </xf>
    <xf numFmtId="0" fontId="53" fillId="0" borderId="0" applyAlignment="1" pivotButton="0" quotePrefix="0" xfId="0">
      <alignment horizontal="center"/>
    </xf>
    <xf numFmtId="180" fontId="31" fillId="4" borderId="13" applyAlignment="1" pivotButton="0" quotePrefix="0" xfId="27">
      <alignment horizontal="right"/>
    </xf>
    <xf numFmtId="174" fontId="31" fillId="4" borderId="13" applyAlignment="1" pivotButton="0" quotePrefix="0" xfId="27">
      <alignment horizontal="right"/>
    </xf>
    <xf numFmtId="197" fontId="31" fillId="4" borderId="13" applyAlignment="1" pivotButton="0" quotePrefix="0" xfId="27">
      <alignment horizontal="right"/>
    </xf>
    <xf numFmtId="1" fontId="7" fillId="4" borderId="13" applyAlignment="1" pivotButton="0" quotePrefix="0" xfId="0">
      <alignment horizontal="center"/>
    </xf>
    <xf numFmtId="164" fontId="22" fillId="4" borderId="13" applyAlignment="1" pivotButton="0" quotePrefix="0" xfId="0">
      <alignment horizontal="right"/>
    </xf>
    <xf numFmtId="164" fontId="0" fillId="4" borderId="13" applyAlignment="1" pivotButton="0" quotePrefix="0" xfId="0">
      <alignment horizontal="right"/>
    </xf>
    <xf numFmtId="164" fontId="0" fillId="4" borderId="13" pivotButton="0" quotePrefix="0" xfId="0"/>
    <xf numFmtId="164" fontId="31" fillId="4" borderId="19" applyAlignment="1" pivotButton="0" quotePrefix="0" xfId="0">
      <alignment horizontal="right"/>
    </xf>
    <xf numFmtId="164" fontId="35" fillId="4" borderId="20" applyAlignment="1" pivotButton="0" quotePrefix="0" xfId="0">
      <alignment horizontal="right"/>
    </xf>
    <xf numFmtId="168" fontId="31" fillId="4" borderId="13" pivotButton="0" quotePrefix="0" xfId="16"/>
    <xf numFmtId="174" fontId="31" fillId="4" borderId="13" applyAlignment="1" pivotButton="0" quotePrefix="0" xfId="0">
      <alignment horizontal="right"/>
    </xf>
    <xf numFmtId="180" fontId="31" fillId="4" borderId="13" pivotButton="0" quotePrefix="0" xfId="0"/>
    <xf numFmtId="170" fontId="35" fillId="4" borderId="13" applyAlignment="1" pivotButton="0" quotePrefix="0" xfId="0">
      <alignment horizontal="right"/>
    </xf>
    <xf numFmtId="175" fontId="35" fillId="4" borderId="13" applyAlignment="1" pivotButton="0" quotePrefix="0" xfId="0">
      <alignment horizontal="right"/>
    </xf>
    <xf numFmtId="171" fontId="35" fillId="4" borderId="13" applyAlignment="1" pivotButton="0" quotePrefix="0" xfId="0">
      <alignment horizontal="right"/>
    </xf>
    <xf numFmtId="188" fontId="31" fillId="4" borderId="1" applyAlignment="1" pivotButton="0" quotePrefix="0" xfId="0">
      <alignment horizontal="right"/>
    </xf>
    <xf numFmtId="17" fontId="0" fillId="4" borderId="13" pivotButton="0" quotePrefix="0" xfId="0"/>
    <xf numFmtId="170" fontId="0" fillId="4" borderId="13" pivotButton="0" quotePrefix="0" xfId="0"/>
    <xf numFmtId="171" fontId="0" fillId="4" borderId="13" pivotButton="0" quotePrefix="0" xfId="0"/>
    <xf numFmtId="17" fontId="14" fillId="4" borderId="13" applyAlignment="1" pivotButton="0" quotePrefix="0" xfId="0">
      <alignment horizontal="center"/>
    </xf>
    <xf numFmtId="0" fontId="3" fillId="4" borderId="13" applyAlignment="1" pivotButton="0" quotePrefix="0" xfId="0">
      <alignment horizontal="center"/>
    </xf>
    <xf numFmtId="176" fontId="7" fillId="4" borderId="13" applyAlignment="1" pivotButton="0" quotePrefix="0" xfId="0">
      <alignment horizontal="right"/>
    </xf>
    <xf numFmtId="165" fontId="7" fillId="4" borderId="13" applyAlignment="1" pivotButton="0" quotePrefix="0" xfId="0">
      <alignment horizontal="right"/>
    </xf>
    <xf numFmtId="183" fontId="7" fillId="4" borderId="19" pivotButton="0" quotePrefix="0" xfId="0"/>
    <xf numFmtId="164" fontId="31" fillId="4" borderId="20" pivotButton="0" quotePrefix="0" xfId="0"/>
    <xf numFmtId="164" fontId="31" fillId="4" borderId="13" pivotButton="0" quotePrefix="0" xfId="0"/>
    <xf numFmtId="168" fontId="30" fillId="4" borderId="13" pivotButton="0" quotePrefix="0" xfId="0"/>
    <xf numFmtId="164" fontId="22" fillId="4" borderId="13" pivotButton="0" quotePrefix="0" xfId="0"/>
    <xf numFmtId="174" fontId="35" fillId="4" borderId="13" applyAlignment="1" pivotButton="0" quotePrefix="0" xfId="0">
      <alignment horizontal="right"/>
    </xf>
    <xf numFmtId="169" fontId="31" fillId="4" borderId="0" applyAlignment="1" pivotButton="0" quotePrefix="0" xfId="0">
      <alignment horizontal="left"/>
    </xf>
    <xf numFmtId="165" fontId="0" fillId="4" borderId="0" pivotButton="0" quotePrefix="0" xfId="0"/>
    <xf numFmtId="165" fontId="0" fillId="0" borderId="0" pivotButton="0" quotePrefix="0" xfId="0"/>
    <xf numFmtId="165" fontId="27" fillId="4" borderId="4" pivotButton="0" quotePrefix="0" xfId="16"/>
    <xf numFmtId="165" fontId="35" fillId="5" borderId="4" applyAlignment="1" pivotButton="0" quotePrefix="0" xfId="0">
      <alignment horizontal="right"/>
    </xf>
    <xf numFmtId="165" fontId="35" fillId="4" borderId="4" applyAlignment="1" pivotButton="0" quotePrefix="0" xfId="0">
      <alignment horizontal="right"/>
    </xf>
    <xf numFmtId="165" fontId="31" fillId="4" borderId="0" applyAlignment="1" pivotButton="0" quotePrefix="0" xfId="0">
      <alignment horizontal="left"/>
    </xf>
    <xf numFmtId="165" fontId="31" fillId="4" borderId="13" applyAlignment="1" pivotButton="0" quotePrefix="0" xfId="0">
      <alignment horizontal="right"/>
    </xf>
    <xf numFmtId="182" fontId="22" fillId="4" borderId="13" pivotButton="0" quotePrefix="0" xfId="0"/>
    <xf numFmtId="175" fontId="35" fillId="4" borderId="13" pivotButton="0" quotePrefix="0" xfId="0"/>
    <xf numFmtId="169" fontId="35" fillId="4" borderId="0" applyAlignment="1" pivotButton="0" quotePrefix="0" xfId="0">
      <alignment horizontal="right"/>
    </xf>
    <xf numFmtId="169" fontId="35" fillId="4" borderId="0" pivotButton="0" quotePrefix="0" xfId="0"/>
    <xf numFmtId="169" fontId="35" fillId="4" borderId="13" pivotButton="0" quotePrefix="0" xfId="0"/>
    <xf numFmtId="169" fontId="35" fillId="4" borderId="0" pivotButton="0" quotePrefix="0" xfId="0"/>
    <xf numFmtId="169" fontId="33" fillId="6" borderId="0" pivotButton="0" quotePrefix="0" xfId="0"/>
    <xf numFmtId="169" fontId="31" fillId="4" borderId="0" pivotButton="0" quotePrefix="0" xfId="0"/>
    <xf numFmtId="169" fontId="0" fillId="4" borderId="0" pivotButton="0" quotePrefix="0" xfId="0"/>
    <xf numFmtId="169" fontId="35" fillId="4" borderId="4" pivotButton="0" quotePrefix="0" xfId="0"/>
    <xf numFmtId="169" fontId="35" fillId="4" borderId="20" pivotButton="0" quotePrefix="0" xfId="0"/>
    <xf numFmtId="169" fontId="7" fillId="4" borderId="0" pivotButton="0" quotePrefix="0" xfId="0"/>
    <xf numFmtId="169" fontId="0" fillId="4" borderId="1" pivotButton="0" quotePrefix="0" xfId="0"/>
    <xf numFmtId="169" fontId="37" fillId="6" borderId="0" pivotButton="0" quotePrefix="0" xfId="0"/>
    <xf numFmtId="169" fontId="37" fillId="6" borderId="13" pivotButton="0" quotePrefix="0" xfId="0"/>
    <xf numFmtId="169" fontId="37" fillId="6" borderId="0" pivotButton="0" quotePrefix="0" xfId="0"/>
    <xf numFmtId="169" fontId="32" fillId="4" borderId="2" pivotButton="0" quotePrefix="0" xfId="21"/>
    <xf numFmtId="169" fontId="22" fillId="4" borderId="0" applyAlignment="1" pivotButton="0" quotePrefix="0" xfId="0">
      <alignment horizontal="left" indent="1"/>
    </xf>
    <xf numFmtId="169" fontId="29" fillId="4" borderId="0" pivotButton="0" quotePrefix="0" xfId="16"/>
    <xf numFmtId="169" fontId="30" fillId="4" borderId="0" applyAlignment="1" pivotButton="0" quotePrefix="0" xfId="0">
      <alignment horizontal="left" indent="1"/>
    </xf>
    <xf numFmtId="169" fontId="35" fillId="4" borderId="0" applyAlignment="1" pivotButton="0" quotePrefix="0" xfId="0">
      <alignment horizontal="left" indent="4"/>
    </xf>
    <xf numFmtId="169" fontId="22" fillId="4" borderId="0" applyAlignment="1" pivotButton="0" quotePrefix="0" xfId="0">
      <alignment horizontal="left"/>
    </xf>
    <xf numFmtId="169" fontId="30" fillId="4" borderId="0" applyAlignment="1" pivotButton="0" quotePrefix="0" xfId="0">
      <alignment horizontal="left" indent="4"/>
    </xf>
    <xf numFmtId="169" fontId="29" fillId="4" borderId="0" applyAlignment="1" pivotButton="0" quotePrefix="0" xfId="0">
      <alignment horizontal="left" indent="1"/>
    </xf>
    <xf numFmtId="169" fontId="30" fillId="4" borderId="0" applyAlignment="1" pivotButton="0" quotePrefix="0" xfId="0">
      <alignment horizontal="left" indent="3"/>
    </xf>
    <xf numFmtId="169" fontId="35" fillId="4" borderId="0" pivotButton="0" quotePrefix="0" xfId="27"/>
    <xf numFmtId="169" fontId="31" fillId="4" borderId="0" pivotButton="0" quotePrefix="0" xfId="27"/>
    <xf numFmtId="169" fontId="33" fillId="6" borderId="0" pivotButton="0" quotePrefix="0" xfId="27"/>
    <xf numFmtId="165" fontId="35" fillId="4" borderId="20" applyAlignment="1" pivotButton="0" quotePrefix="0" xfId="0">
      <alignment horizontal="right"/>
    </xf>
    <xf numFmtId="168" fontId="7" fillId="4" borderId="13" pivotButton="0" quotePrefix="0" xfId="0"/>
    <xf numFmtId="181" fontId="35" fillId="4" borderId="13" pivotButton="0" quotePrefix="0" xfId="0"/>
    <xf numFmtId="166" fontId="0" fillId="4" borderId="13" pivotButton="0" quotePrefix="0" xfId="0"/>
    <xf numFmtId="169" fontId="31" fillId="5" borderId="0" applyAlignment="1" pivotButton="0" quotePrefix="0" xfId="0">
      <alignment horizontal="right"/>
    </xf>
    <xf numFmtId="169" fontId="31" fillId="4" borderId="0" applyAlignment="1" pivotButton="0" quotePrefix="0" xfId="0">
      <alignment horizontal="right"/>
    </xf>
    <xf numFmtId="169" fontId="7" fillId="5" borderId="0" applyAlignment="1" pivotButton="0" quotePrefix="0" xfId="0">
      <alignment horizontal="right"/>
    </xf>
    <xf numFmtId="169" fontId="7" fillId="4" borderId="0" applyAlignment="1" pivotButton="0" quotePrefix="0" xfId="0">
      <alignment horizontal="right"/>
    </xf>
    <xf numFmtId="169" fontId="7" fillId="4" borderId="13" applyAlignment="1" pivotButton="0" quotePrefix="0" xfId="0">
      <alignment horizontal="right"/>
    </xf>
    <xf numFmtId="169" fontId="7" fillId="4" borderId="0" applyAlignment="1" pivotButton="0" quotePrefix="0" xfId="0">
      <alignment horizontal="right"/>
    </xf>
    <xf numFmtId="169" fontId="7" fillId="5" borderId="0" applyAlignment="1" pivotButton="0" quotePrefix="0" xfId="0">
      <alignment horizontal="right"/>
    </xf>
    <xf numFmtId="169" fontId="30" fillId="5" borderId="0" applyAlignment="1" pivotButton="0" quotePrefix="0" xfId="0">
      <alignment horizontal="right"/>
    </xf>
    <xf numFmtId="169" fontId="30" fillId="4" borderId="0" applyAlignment="1" pivotButton="0" quotePrefix="0" xfId="0">
      <alignment horizontal="right"/>
    </xf>
    <xf numFmtId="169" fontId="30" fillId="4" borderId="13" applyAlignment="1" pivotButton="0" quotePrefix="0" xfId="0">
      <alignment horizontal="right"/>
    </xf>
    <xf numFmtId="169" fontId="22" fillId="4" borderId="0" applyAlignment="1" pivotButton="0" quotePrefix="0" xfId="0">
      <alignment horizontal="right"/>
    </xf>
    <xf numFmtId="169" fontId="22" fillId="5" borderId="0" applyAlignment="1" pivotButton="0" quotePrefix="0" xfId="0">
      <alignment horizontal="right"/>
    </xf>
    <xf numFmtId="169" fontId="35" fillId="5" borderId="0" applyAlignment="1" pivotButton="0" quotePrefix="0" xfId="0">
      <alignment horizontal="right"/>
    </xf>
    <xf numFmtId="169" fontId="35" fillId="4" borderId="0" applyAlignment="1" pivotButton="0" quotePrefix="0" xfId="0">
      <alignment horizontal="right"/>
    </xf>
    <xf numFmtId="169" fontId="35" fillId="4" borderId="13" applyAlignment="1" pivotButton="0" quotePrefix="0" xfId="0">
      <alignment horizontal="right"/>
    </xf>
    <xf numFmtId="169" fontId="35" fillId="4" borderId="0" applyAlignment="1" pivotButton="0" quotePrefix="0" xfId="0">
      <alignment horizontal="right"/>
    </xf>
    <xf numFmtId="169" fontId="35" fillId="5" borderId="0" applyAlignment="1" pivotButton="0" quotePrefix="0" xfId="0">
      <alignment horizontal="right"/>
    </xf>
    <xf numFmtId="169" fontId="31" fillId="4" borderId="13" applyAlignment="1" pivotButton="0" quotePrefix="0" xfId="0">
      <alignment horizontal="right"/>
    </xf>
    <xf numFmtId="169" fontId="31" fillId="4" borderId="0" applyAlignment="1" pivotButton="0" quotePrefix="0" xfId="0">
      <alignment horizontal="right"/>
    </xf>
    <xf numFmtId="169" fontId="31" fillId="5" borderId="0" applyAlignment="1" pivotButton="0" quotePrefix="0" xfId="0">
      <alignment horizontal="right"/>
    </xf>
    <xf numFmtId="169" fontId="35" fillId="5" borderId="0" pivotButton="0" quotePrefix="0" xfId="0"/>
    <xf numFmtId="169" fontId="35" fillId="4" borderId="0" pivotButton="0" quotePrefix="0" xfId="0"/>
    <xf numFmtId="169" fontId="35" fillId="4" borderId="13" pivotButton="0" quotePrefix="0" xfId="0"/>
    <xf numFmtId="169" fontId="35" fillId="4" borderId="0" pivotButton="0" quotePrefix="0" xfId="0"/>
    <xf numFmtId="169" fontId="35" fillId="5" borderId="0" pivotButton="0" quotePrefix="0" xfId="0"/>
    <xf numFmtId="169" fontId="33" fillId="6" borderId="0" pivotButton="0" quotePrefix="0" xfId="0"/>
    <xf numFmtId="169" fontId="42" fillId="6" borderId="0" applyAlignment="1" pivotButton="0" quotePrefix="0" xfId="0">
      <alignment horizontal="center"/>
    </xf>
    <xf numFmtId="169" fontId="33" fillId="6" borderId="13" pivotButton="0" quotePrefix="0" xfId="0"/>
    <xf numFmtId="169" fontId="33" fillId="6" borderId="0" pivotButton="0" quotePrefix="0" xfId="0"/>
    <xf numFmtId="169" fontId="31" fillId="5" borderId="0" pivotButton="0" quotePrefix="0" xfId="0"/>
    <xf numFmtId="169" fontId="31" fillId="4" borderId="0" pivotButton="0" quotePrefix="0" xfId="0"/>
    <xf numFmtId="169" fontId="7" fillId="5" borderId="0" pivotButton="0" quotePrefix="0" xfId="0"/>
    <xf numFmtId="169" fontId="7" fillId="4" borderId="0" pivotButton="0" quotePrefix="0" xfId="0"/>
    <xf numFmtId="169" fontId="7" fillId="4" borderId="13" pivotButton="0" quotePrefix="0" xfId="0"/>
    <xf numFmtId="169" fontId="31" fillId="4" borderId="0" pivotButton="0" quotePrefix="0" xfId="0"/>
    <xf numFmtId="169" fontId="31" fillId="5" borderId="0" pivotButton="0" quotePrefix="0" xfId="0"/>
    <xf numFmtId="169" fontId="0" fillId="5" borderId="0" pivotButton="0" quotePrefix="0" xfId="0"/>
    <xf numFmtId="169" fontId="0" fillId="4" borderId="0" pivotButton="0" quotePrefix="0" xfId="0"/>
    <xf numFmtId="169" fontId="0" fillId="4" borderId="13" pivotButton="0" quotePrefix="0" xfId="0"/>
    <xf numFmtId="169" fontId="0" fillId="4" borderId="0" pivotButton="0" quotePrefix="0" xfId="0"/>
    <xf numFmtId="169" fontId="0" fillId="5" borderId="0" pivotButton="0" quotePrefix="0" xfId="0"/>
    <xf numFmtId="169" fontId="31" fillId="5" borderId="1" pivotButton="0" quotePrefix="0" xfId="0"/>
    <xf numFmtId="169" fontId="31" fillId="4" borderId="1" pivotButton="0" quotePrefix="0" xfId="0"/>
    <xf numFmtId="169" fontId="7" fillId="5" borderId="1" pivotButton="0" quotePrefix="0" xfId="0"/>
    <xf numFmtId="169" fontId="7" fillId="4" borderId="1" pivotButton="0" quotePrefix="0" xfId="0"/>
    <xf numFmtId="169" fontId="7" fillId="4" borderId="19" pivotButton="0" quotePrefix="0" xfId="0"/>
    <xf numFmtId="169" fontId="35" fillId="5" borderId="1" pivotButton="0" quotePrefix="0" xfId="0"/>
    <xf numFmtId="169" fontId="35" fillId="4" borderId="1" pivotButton="0" quotePrefix="0" xfId="0"/>
    <xf numFmtId="169" fontId="35" fillId="4" borderId="19" pivotButton="0" quotePrefix="0" xfId="0"/>
    <xf numFmtId="169" fontId="35" fillId="5" borderId="4" pivotButton="0" quotePrefix="0" xfId="0"/>
    <xf numFmtId="169" fontId="35" fillId="4" borderId="4" pivotButton="0" quotePrefix="0" xfId="0"/>
    <xf numFmtId="169" fontId="35" fillId="4" borderId="20" pivotButton="0" quotePrefix="0" xfId="0"/>
    <xf numFmtId="169" fontId="9" fillId="4" borderId="4" pivotButton="0" quotePrefix="0" xfId="0"/>
    <xf numFmtId="169" fontId="9" fillId="5" borderId="4" pivotButton="0" quotePrefix="0" xfId="0"/>
    <xf numFmtId="169" fontId="30" fillId="5" borderId="0" pivotButton="0" quotePrefix="0" xfId="0"/>
    <xf numFmtId="169" fontId="30" fillId="4" borderId="0" pivotButton="0" quotePrefix="0" xfId="0"/>
    <xf numFmtId="169" fontId="30" fillId="4" borderId="13" pivotButton="0" quotePrefix="0" xfId="0"/>
    <xf numFmtId="169" fontId="0" fillId="4" borderId="0" pivotButton="0" quotePrefix="0" xfId="0"/>
    <xf numFmtId="169" fontId="0" fillId="4" borderId="13" pivotButton="0" quotePrefix="0" xfId="0"/>
    <xf numFmtId="169" fontId="31" fillId="4" borderId="19" pivotButton="0" quotePrefix="0" xfId="0"/>
    <xf numFmtId="169" fontId="0" fillId="5" borderId="0" applyAlignment="1" pivotButton="0" quotePrefix="0" xfId="0">
      <alignment horizontal="right"/>
    </xf>
    <xf numFmtId="169" fontId="30" fillId="4" borderId="0" applyAlignment="1" pivotButton="0" quotePrefix="0" xfId="0">
      <alignment horizontal="right"/>
    </xf>
    <xf numFmtId="169" fontId="30" fillId="5" borderId="0" applyAlignment="1" pivotButton="0" quotePrefix="0" xfId="0">
      <alignment horizontal="right"/>
    </xf>
    <xf numFmtId="169" fontId="42" fillId="6" borderId="13" applyAlignment="1" pivotButton="0" quotePrefix="0" xfId="0">
      <alignment horizontal="center"/>
    </xf>
    <xf numFmtId="169" fontId="31" fillId="5" borderId="1" applyAlignment="1" pivotButton="0" quotePrefix="0" xfId="0">
      <alignment horizontal="right"/>
    </xf>
    <xf numFmtId="169" fontId="31" fillId="4" borderId="1" applyAlignment="1" pivotButton="0" quotePrefix="0" xfId="0">
      <alignment horizontal="right"/>
    </xf>
    <xf numFmtId="169" fontId="31" fillId="4" borderId="19" applyAlignment="1" pivotButton="0" quotePrefix="0" xfId="0">
      <alignment horizontal="right"/>
    </xf>
    <xf numFmtId="169" fontId="31" fillId="4" borderId="13" pivotButton="0" quotePrefix="0" xfId="0"/>
    <xf numFmtId="169" fontId="0" fillId="5" borderId="4" pivotButton="0" quotePrefix="0" xfId="0"/>
    <xf numFmtId="169" fontId="0" fillId="4" borderId="4" pivotButton="0" quotePrefix="0" xfId="0"/>
    <xf numFmtId="169" fontId="9" fillId="4" borderId="0" pivotButton="0" quotePrefix="0" xfId="0"/>
    <xf numFmtId="169" fontId="31" fillId="5" borderId="18" pivotButton="0" quotePrefix="0" xfId="0"/>
    <xf numFmtId="169" fontId="31" fillId="4" borderId="18" pivotButton="0" quotePrefix="0" xfId="0"/>
    <xf numFmtId="169" fontId="7" fillId="5" borderId="18" pivotButton="0" quotePrefix="0" xfId="0"/>
    <xf numFmtId="169" fontId="7" fillId="4" borderId="18" pivotButton="0" quotePrefix="0" xfId="0"/>
    <xf numFmtId="169" fontId="7" fillId="4" borderId="28" pivotButton="0" quotePrefix="0" xfId="0"/>
    <xf numFmtId="169" fontId="7" fillId="4" borderId="0" pivotButton="0" quotePrefix="0" xfId="0"/>
    <xf numFmtId="169" fontId="7" fillId="5" borderId="0" pivotButton="0" quotePrefix="0" xfId="0"/>
    <xf numFmtId="169" fontId="29" fillId="4" borderId="0" pivotButton="0" quotePrefix="0" xfId="0"/>
    <xf numFmtId="169" fontId="27" fillId="4" borderId="0" pivotButton="0" quotePrefix="0" xfId="0"/>
    <xf numFmtId="169" fontId="27" fillId="4" borderId="4" pivotButton="0" quotePrefix="0" xfId="0"/>
    <xf numFmtId="169" fontId="35" fillId="4" borderId="4" applyAlignment="1" pivotButton="0" quotePrefix="0" xfId="0">
      <alignment horizontal="right"/>
    </xf>
    <xf numFmtId="169" fontId="35" fillId="5" borderId="4" applyAlignment="1" pivotButton="0" quotePrefix="0" xfId="0">
      <alignment horizontal="right"/>
    </xf>
    <xf numFmtId="169" fontId="32" fillId="4" borderId="0" pivotButton="0" quotePrefix="0" xfId="0"/>
    <xf numFmtId="169" fontId="9" fillId="4" borderId="4" applyAlignment="1" pivotButton="0" quotePrefix="0" xfId="0">
      <alignment horizontal="right"/>
    </xf>
    <xf numFmtId="169" fontId="9" fillId="5" borderId="4" applyAlignment="1" pivotButton="0" quotePrefix="0" xfId="0">
      <alignment horizontal="right"/>
    </xf>
    <xf numFmtId="169" fontId="27" fillId="4" borderId="0" applyAlignment="1" pivotButton="0" quotePrefix="0" xfId="0">
      <alignment horizontal="right"/>
    </xf>
    <xf numFmtId="169" fontId="27" fillId="4" borderId="4" applyAlignment="1" pivotButton="0" quotePrefix="0" xfId="0">
      <alignment horizontal="right"/>
    </xf>
    <xf numFmtId="169" fontId="35" fillId="4" borderId="20" applyAlignment="1" pivotButton="0" quotePrefix="0" xfId="0">
      <alignment horizontal="right"/>
    </xf>
    <xf numFmtId="169" fontId="32" fillId="4" borderId="1" pivotButton="0" quotePrefix="0" xfId="0"/>
    <xf numFmtId="169" fontId="31" fillId="5" borderId="4" pivotButton="0" quotePrefix="0" xfId="0"/>
    <xf numFmtId="169" fontId="31" fillId="4" borderId="4" pivotButton="0" quotePrefix="0" xfId="0"/>
    <xf numFmtId="169" fontId="32" fillId="4" borderId="4" pivotButton="0" quotePrefix="0" xfId="0"/>
    <xf numFmtId="169" fontId="31" fillId="4" borderId="20" pivotButton="0" quotePrefix="0" xfId="0"/>
    <xf numFmtId="169" fontId="31" fillId="4" borderId="4" applyAlignment="1" pivotButton="0" quotePrefix="0" xfId="0">
      <alignment horizontal="right"/>
    </xf>
    <xf numFmtId="169" fontId="31" fillId="5" borderId="4" applyAlignment="1" pivotButton="0" quotePrefix="0" xfId="0">
      <alignment horizontal="right"/>
    </xf>
    <xf numFmtId="169" fontId="9" fillId="5" borderId="0" pivotButton="0" quotePrefix="0" xfId="0"/>
    <xf numFmtId="169" fontId="0" fillId="5" borderId="0" pivotButton="0" quotePrefix="0" xfId="0"/>
    <xf numFmtId="169" fontId="15" fillId="4" borderId="0" pivotButton="0" quotePrefix="0" xfId="0"/>
    <xf numFmtId="169" fontId="15" fillId="5" borderId="0" pivotButton="0" quotePrefix="0" xfId="0"/>
    <xf numFmtId="169" fontId="9" fillId="4" borderId="0" pivotButton="0" quotePrefix="0" xfId="0"/>
    <xf numFmtId="169" fontId="9" fillId="5" borderId="0" pivotButton="0" quotePrefix="0" xfId="0"/>
    <xf numFmtId="169" fontId="0" fillId="4" borderId="1" pivotButton="0" quotePrefix="0" xfId="0"/>
    <xf numFmtId="169" fontId="0" fillId="5" borderId="1" pivotButton="0" quotePrefix="0" xfId="0"/>
    <xf numFmtId="169" fontId="0" fillId="4" borderId="19" pivotButton="0" quotePrefix="0" xfId="0"/>
    <xf numFmtId="169" fontId="34" fillId="6" borderId="0" applyAlignment="1" pivotButton="0" quotePrefix="0" xfId="0">
      <alignment horizontal="right"/>
    </xf>
    <xf numFmtId="169" fontId="43" fillId="6" borderId="0" applyAlignment="1" pivotButton="0" quotePrefix="0" xfId="0">
      <alignment horizontal="center"/>
    </xf>
    <xf numFmtId="169" fontId="43" fillId="6" borderId="13" applyAlignment="1" pivotButton="0" quotePrefix="0" xfId="0">
      <alignment horizontal="center"/>
    </xf>
    <xf numFmtId="169" fontId="34" fillId="6" borderId="0" applyAlignment="1" pivotButton="0" quotePrefix="0" xfId="0">
      <alignment horizontal="right"/>
    </xf>
    <xf numFmtId="169" fontId="0" fillId="4" borderId="0" applyAlignment="1" pivotButton="0" quotePrefix="0" xfId="0">
      <alignment horizontal="right"/>
    </xf>
    <xf numFmtId="169" fontId="0" fillId="4" borderId="13" applyAlignment="1" pivotButton="0" quotePrefix="0" xfId="0">
      <alignment horizontal="right"/>
    </xf>
    <xf numFmtId="169" fontId="31" fillId="5" borderId="9" applyAlignment="1" pivotButton="0" quotePrefix="0" xfId="0">
      <alignment horizontal="right"/>
    </xf>
    <xf numFmtId="169" fontId="31" fillId="4" borderId="9" applyAlignment="1" pivotButton="0" quotePrefix="0" xfId="0">
      <alignment horizontal="right"/>
    </xf>
    <xf numFmtId="169" fontId="7" fillId="5" borderId="9" applyAlignment="1" pivotButton="0" quotePrefix="0" xfId="0">
      <alignment horizontal="right"/>
    </xf>
    <xf numFmtId="169" fontId="7" fillId="4" borderId="9" applyAlignment="1" pivotButton="0" quotePrefix="0" xfId="0">
      <alignment horizontal="right"/>
    </xf>
    <xf numFmtId="169" fontId="7" fillId="4" borderId="21" applyAlignment="1" pivotButton="0" quotePrefix="0" xfId="0">
      <alignment horizontal="right"/>
    </xf>
    <xf numFmtId="169" fontId="34" fillId="6" borderId="13" applyAlignment="1" pivotButton="0" quotePrefix="0" xfId="0">
      <alignment horizontal="right"/>
    </xf>
    <xf numFmtId="169" fontId="37" fillId="6" borderId="0" pivotButton="0" quotePrefix="0" xfId="0"/>
    <xf numFmtId="169" fontId="37" fillId="6" borderId="13" pivotButton="0" quotePrefix="0" xfId="0"/>
    <xf numFmtId="169" fontId="37" fillId="6" borderId="0" pivotButton="0" quotePrefix="0" xfId="0"/>
    <xf numFmtId="169" fontId="27" fillId="2" borderId="0" applyAlignment="1" pivotButton="0" quotePrefix="0" xfId="25">
      <alignment horizontal="right"/>
    </xf>
    <xf numFmtId="169" fontId="27" fillId="2" borderId="13" applyAlignment="1" pivotButton="0" quotePrefix="0" xfId="25">
      <alignment horizontal="right"/>
    </xf>
    <xf numFmtId="169" fontId="32" fillId="4" borderId="2" pivotButton="0" quotePrefix="0" xfId="21"/>
    <xf numFmtId="169" fontId="31" fillId="4" borderId="8" pivotButton="0" quotePrefix="0" xfId="0"/>
    <xf numFmtId="169" fontId="32" fillId="4" borderId="7" pivotButton="0" quotePrefix="0" xfId="21"/>
    <xf numFmtId="169" fontId="31" fillId="4" borderId="6" pivotButton="0" quotePrefix="0" xfId="0"/>
    <xf numFmtId="169" fontId="22" fillId="4" borderId="0" applyAlignment="1" pivotButton="0" quotePrefix="0" xfId="0">
      <alignment horizontal="left" indent="1"/>
    </xf>
    <xf numFmtId="169" fontId="29" fillId="4" borderId="0" pivotButton="0" quotePrefix="0" xfId="16"/>
    <xf numFmtId="169" fontId="30" fillId="4" borderId="0" applyAlignment="1" pivotButton="0" quotePrefix="0" xfId="0">
      <alignment horizontal="left" indent="1"/>
    </xf>
    <xf numFmtId="169" fontId="35" fillId="4" borderId="0" applyAlignment="1" pivotButton="0" quotePrefix="0" xfId="0">
      <alignment horizontal="left" indent="4"/>
    </xf>
    <xf numFmtId="169" fontId="22" fillId="4" borderId="0" applyAlignment="1" pivotButton="0" quotePrefix="0" xfId="0">
      <alignment horizontal="left"/>
    </xf>
    <xf numFmtId="169" fontId="30" fillId="4" borderId="0" applyAlignment="1" pivotButton="0" quotePrefix="0" xfId="0">
      <alignment horizontal="left" indent="4"/>
    </xf>
    <xf numFmtId="169" fontId="29" fillId="4" borderId="0" applyAlignment="1" pivotButton="0" quotePrefix="0" xfId="0">
      <alignment horizontal="left" indent="1"/>
    </xf>
    <xf numFmtId="169" fontId="30" fillId="4" borderId="0" applyAlignment="1" pivotButton="0" quotePrefix="0" xfId="0">
      <alignment horizontal="left" indent="3"/>
    </xf>
    <xf numFmtId="169" fontId="35" fillId="5" borderId="4" applyAlignment="1" pivotButton="0" quotePrefix="0" xfId="27">
      <alignment horizontal="right"/>
    </xf>
    <xf numFmtId="169" fontId="35" fillId="4" borderId="4" applyAlignment="1" pivotButton="0" quotePrefix="0" xfId="27">
      <alignment horizontal="right"/>
    </xf>
    <xf numFmtId="169" fontId="35" fillId="5" borderId="4" pivotButton="0" quotePrefix="0" xfId="27"/>
    <xf numFmtId="169" fontId="35" fillId="4" borderId="20" applyAlignment="1" pivotButton="0" quotePrefix="0" xfId="27">
      <alignment horizontal="right"/>
    </xf>
    <xf numFmtId="169" fontId="31" fillId="5" borderId="1" pivotButton="0" quotePrefix="0" xfId="27"/>
    <xf numFmtId="169" fontId="31" fillId="4" borderId="1" pivotButton="0" quotePrefix="0" xfId="27"/>
    <xf numFmtId="169" fontId="31" fillId="4" borderId="19" pivotButton="0" quotePrefix="0" xfId="27"/>
    <xf numFmtId="169" fontId="35" fillId="5" borderId="0" pivotButton="0" quotePrefix="0" xfId="27"/>
    <xf numFmtId="169" fontId="35" fillId="4" borderId="0" pivotButton="0" quotePrefix="0" xfId="27"/>
    <xf numFmtId="169" fontId="35" fillId="4" borderId="13" pivotButton="0" quotePrefix="0" xfId="27"/>
    <xf numFmtId="169" fontId="35" fillId="4" borderId="0" pivotButton="0" quotePrefix="0" xfId="27"/>
    <xf numFmtId="169" fontId="35" fillId="5" borderId="0" pivotButton="0" quotePrefix="0" xfId="27"/>
    <xf numFmtId="169" fontId="31" fillId="5" borderId="0" pivotButton="0" quotePrefix="0" xfId="27"/>
    <xf numFmtId="169" fontId="31" fillId="4" borderId="0" pivotButton="0" quotePrefix="0" xfId="27"/>
    <xf numFmtId="169" fontId="31" fillId="4" borderId="13" pivotButton="0" quotePrefix="0" xfId="27"/>
    <xf numFmtId="169" fontId="31" fillId="4" borderId="0" pivotButton="0" quotePrefix="0" xfId="27"/>
    <xf numFmtId="169" fontId="31" fillId="5" borderId="0" pivotButton="0" quotePrefix="0" xfId="27"/>
    <xf numFmtId="169" fontId="33" fillId="6" borderId="0" pivotButton="0" quotePrefix="0" xfId="27"/>
    <xf numFmtId="169" fontId="33" fillId="6" borderId="13" pivotButton="0" quotePrefix="0" xfId="27"/>
    <xf numFmtId="169" fontId="33" fillId="6" borderId="0" pivotButton="0" quotePrefix="0" xfId="27"/>
    <xf numFmtId="169" fontId="35" fillId="5" borderId="0" applyAlignment="1" pivotButton="0" quotePrefix="0" xfId="27">
      <alignment horizontal="right"/>
    </xf>
    <xf numFmtId="169" fontId="35" fillId="4" borderId="0" applyAlignment="1" pivotButton="0" quotePrefix="0" xfId="27">
      <alignment horizontal="right"/>
    </xf>
    <xf numFmtId="169" fontId="35" fillId="4" borderId="13" applyAlignment="1" pivotButton="0" quotePrefix="0" xfId="27">
      <alignment horizontal="right"/>
    </xf>
    <xf numFmtId="169" fontId="35" fillId="4" borderId="0" applyAlignment="1" pivotButton="0" quotePrefix="0" xfId="27">
      <alignment horizontal="right"/>
    </xf>
    <xf numFmtId="169" fontId="35" fillId="5" borderId="0" applyAlignment="1" pivotButton="0" quotePrefix="0" xfId="27">
      <alignment horizontal="right"/>
    </xf>
    <xf numFmtId="169" fontId="42" fillId="6" borderId="0" applyAlignment="1" pivotButton="0" quotePrefix="0" xfId="27">
      <alignment horizontal="center"/>
    </xf>
    <xf numFmtId="169" fontId="35" fillId="4" borderId="4" pivotButton="0" quotePrefix="0" xfId="27"/>
    <xf numFmtId="169" fontId="35" fillId="4" borderId="20" pivotButton="0" quotePrefix="0" xfId="27"/>
    <xf numFmtId="169" fontId="42" fillId="6" borderId="13" applyAlignment="1" pivotButton="0" quotePrefix="0" xfId="27">
      <alignment horizontal="center"/>
    </xf>
    <xf numFmtId="0" fontId="0" fillId="3" borderId="8" applyAlignment="1" pivotButton="0" quotePrefix="0" xfId="0">
      <alignment horizontal="left" vertical="top" wrapText="1"/>
    </xf>
    <xf numFmtId="0" fontId="0" fillId="3" borderId="7" applyAlignment="1" pivotButton="0" quotePrefix="0" xfId="0">
      <alignment horizontal="left" vertical="top" wrapText="1"/>
    </xf>
    <xf numFmtId="0" fontId="0" fillId="3" borderId="0" applyAlignment="1" pivotButton="0" quotePrefix="0" xfId="0">
      <alignment horizontal="left" vertical="top" wrapText="1"/>
    </xf>
    <xf numFmtId="0" fontId="0" fillId="3" borderId="6" applyAlignment="1" pivotButton="0" quotePrefix="0" xfId="0">
      <alignment horizontal="left" vertical="top" wrapText="1"/>
    </xf>
    <xf numFmtId="0" fontId="0" fillId="3" borderId="5" applyAlignment="1" pivotButton="0" quotePrefix="0" xfId="0">
      <alignment horizontal="left" vertical="top" wrapText="1"/>
    </xf>
    <xf numFmtId="0" fontId="0" fillId="3" borderId="4" applyAlignment="1" pivotButton="0" quotePrefix="0" xfId="0">
      <alignment horizontal="left" vertical="top" wrapText="1"/>
    </xf>
    <xf numFmtId="0" fontId="0" fillId="3" borderId="3" applyAlignment="1" pivotButton="0" quotePrefix="0" xfId="0">
      <alignment horizontal="left" vertical="top" wrapText="1"/>
    </xf>
    <xf numFmtId="17" fontId="58" fillId="5" borderId="0" applyAlignment="1" pivotButton="0" quotePrefix="0" xfId="0">
      <alignment horizontal="center"/>
    </xf>
    <xf numFmtId="17" fontId="38" fillId="4" borderId="0" applyAlignment="1" pivotButton="0" quotePrefix="0" xfId="0">
      <alignment horizontal="center"/>
    </xf>
    <xf numFmtId="17" fontId="38" fillId="4" borderId="13" applyAlignment="1" pivotButton="0" quotePrefix="0" xfId="0">
      <alignment horizontal="center"/>
    </xf>
    <xf numFmtId="0" fontId="59" fillId="5" borderId="0" applyAlignment="1" pivotButton="0" quotePrefix="0" xfId="0">
      <alignment horizontal="center"/>
    </xf>
    <xf numFmtId="0" fontId="32" fillId="5" borderId="0" applyAlignment="1" pivotButton="0" quotePrefix="0" xfId="0">
      <alignment horizontal="center"/>
    </xf>
    <xf numFmtId="0" fontId="32" fillId="4" borderId="0" applyAlignment="1" pivotButton="0" quotePrefix="0" xfId="0">
      <alignment horizontal="center"/>
    </xf>
    <xf numFmtId="0" fontId="32" fillId="4" borderId="13" applyAlignment="1" pivotButton="0" quotePrefix="0" xfId="0">
      <alignment horizontal="center"/>
    </xf>
    <xf numFmtId="164" fontId="61" fillId="4" borderId="0" applyAlignment="1" pivotButton="0" quotePrefix="0" xfId="0">
      <alignment horizontal="right"/>
    </xf>
    <xf numFmtId="164" fontId="61" fillId="5" borderId="0" applyAlignment="1" pivotButton="0" quotePrefix="0" xfId="0">
      <alignment horizontal="right"/>
    </xf>
    <xf numFmtId="165" fontId="59" fillId="5" borderId="0" applyAlignment="1" pivotButton="0" quotePrefix="0" xfId="0">
      <alignment horizontal="right"/>
    </xf>
    <xf numFmtId="165" fontId="59" fillId="4" borderId="0" applyAlignment="1" pivotButton="0" quotePrefix="0" xfId="0">
      <alignment horizontal="right"/>
    </xf>
    <xf numFmtId="165" fontId="59" fillId="4" borderId="13" applyAlignment="1" pivotButton="0" quotePrefix="0" xfId="0">
      <alignment horizontal="right"/>
    </xf>
    <xf numFmtId="164" fontId="60" fillId="5" borderId="0" applyAlignment="1" pivotButton="0" quotePrefix="0" xfId="0">
      <alignment horizontal="right"/>
    </xf>
    <xf numFmtId="164" fontId="60" fillId="4" borderId="0" applyAlignment="1" pivotButton="0" quotePrefix="0" xfId="0">
      <alignment horizontal="right"/>
    </xf>
    <xf numFmtId="164" fontId="60" fillId="4" borderId="13" applyAlignment="1" pivotButton="0" quotePrefix="0" xfId="0">
      <alignment horizontal="right"/>
    </xf>
    <xf numFmtId="164" fontId="60" fillId="4" borderId="0" pivotButton="0" quotePrefix="0" xfId="0"/>
    <xf numFmtId="164" fontId="60" fillId="5" borderId="0" pivotButton="0" quotePrefix="0" xfId="0"/>
    <xf numFmtId="165" fontId="60" fillId="4" borderId="0" pivotButton="0" quotePrefix="0" xfId="0"/>
    <xf numFmtId="165" fontId="60" fillId="5" borderId="0" pivotButton="0" quotePrefix="0" xfId="0"/>
    <xf numFmtId="169" fontId="60" fillId="4" borderId="4" pivotButton="0" quotePrefix="0" xfId="0"/>
    <xf numFmtId="169" fontId="60" fillId="5" borderId="4" pivotButton="0" quotePrefix="0" xfId="0"/>
    <xf numFmtId="169" fontId="60" fillId="5" borderId="0" pivotButton="0" quotePrefix="0" xfId="0"/>
    <xf numFmtId="169" fontId="60" fillId="4" borderId="0" pivotButton="0" quotePrefix="0" xfId="0"/>
    <xf numFmtId="169" fontId="60" fillId="4" borderId="13" pivotButton="0" quotePrefix="0" xfId="0"/>
    <xf numFmtId="183" fontId="60" fillId="4" borderId="0" pivotButton="0" quotePrefix="0" xfId="0"/>
    <xf numFmtId="183" fontId="60" fillId="5" borderId="0" pivotButton="0" quotePrefix="0" xfId="0"/>
    <xf numFmtId="183" fontId="60" fillId="4" borderId="13" pivotButton="0" quotePrefix="0" xfId="0"/>
    <xf numFmtId="183" fontId="60" fillId="5" borderId="0" applyAlignment="1" pivotButton="0" quotePrefix="0" xfId="0">
      <alignment horizontal="right"/>
    </xf>
    <xf numFmtId="183" fontId="60" fillId="4" borderId="0" applyAlignment="1" pivotButton="0" quotePrefix="0" xfId="0">
      <alignment horizontal="right"/>
    </xf>
    <xf numFmtId="183" fontId="60" fillId="4" borderId="13" applyAlignment="1" pivotButton="0" quotePrefix="0" xfId="0">
      <alignment horizontal="right"/>
    </xf>
    <xf numFmtId="165" fontId="60" fillId="5" borderId="0" applyAlignment="1" pivotButton="0" quotePrefix="0" xfId="0">
      <alignment horizontal="right"/>
    </xf>
    <xf numFmtId="169" fontId="60" fillId="5" borderId="0" applyAlignment="1" pivotButton="0" quotePrefix="0" xfId="0">
      <alignment horizontal="right"/>
    </xf>
    <xf numFmtId="169" fontId="60" fillId="4" borderId="0" applyAlignment="1" pivotButton="0" quotePrefix="0" xfId="0">
      <alignment horizontal="right"/>
    </xf>
    <xf numFmtId="169" fontId="60" fillId="4" borderId="13" applyAlignment="1" pivotButton="0" quotePrefix="0" xfId="0">
      <alignment horizontal="right"/>
    </xf>
    <xf numFmtId="165" fontId="60" fillId="4" borderId="0" applyAlignment="1" pivotButton="0" quotePrefix="0" xfId="0">
      <alignment horizontal="right"/>
    </xf>
    <xf numFmtId="165" fontId="60" fillId="4" borderId="13" applyAlignment="1" pivotButton="0" quotePrefix="0" xfId="0">
      <alignment horizontal="right"/>
    </xf>
    <xf numFmtId="165" fontId="60" fillId="5" borderId="0" applyAlignment="1" pivotButton="0" quotePrefix="0" xfId="0">
      <alignment horizontal="right"/>
    </xf>
    <xf numFmtId="165" fontId="59" fillId="5" borderId="1" applyAlignment="1" pivotButton="0" quotePrefix="0" xfId="0">
      <alignment horizontal="right"/>
    </xf>
    <xf numFmtId="165" fontId="60" fillId="4" borderId="4" applyAlignment="1" pivotButton="0" quotePrefix="0" xfId="0">
      <alignment horizontal="right"/>
    </xf>
    <xf numFmtId="165" fontId="60" fillId="4" borderId="20" applyAlignment="1" pivotButton="0" quotePrefix="0" xfId="0">
      <alignment horizontal="right"/>
    </xf>
    <xf numFmtId="169" fontId="59" fillId="4" borderId="13" pivotButton="0" quotePrefix="0" xfId="0"/>
    <xf numFmtId="169" fontId="59" fillId="5" borderId="0" pivotButton="0" quotePrefix="0" xfId="0"/>
    <xf numFmtId="169" fontId="59" fillId="4" borderId="0" pivotButton="0" quotePrefix="0" xfId="0"/>
    <xf numFmtId="169" fontId="60" fillId="4" borderId="4" applyAlignment="1" pivotButton="0" quotePrefix="0" xfId="0">
      <alignment horizontal="right"/>
    </xf>
    <xf numFmtId="169" fontId="60" fillId="5" borderId="4" applyAlignment="1" pivotButton="0" quotePrefix="0" xfId="0">
      <alignment horizontal="right"/>
    </xf>
    <xf numFmtId="164" fontId="59" fillId="4" borderId="0" applyAlignment="1" pivotButton="0" quotePrefix="0" xfId="0">
      <alignment horizontal="right"/>
    </xf>
    <xf numFmtId="164" fontId="59" fillId="5" borderId="0" applyAlignment="1" pivotButton="0" quotePrefix="0" xfId="0">
      <alignment horizontal="right"/>
    </xf>
    <xf numFmtId="169" fontId="60" fillId="4" borderId="20" pivotButton="0" quotePrefix="0" xfId="0"/>
    <xf numFmtId="164" fontId="61" fillId="4" borderId="0" pivotButton="0" quotePrefix="0" xfId="0"/>
    <xf numFmtId="164" fontId="61" fillId="5" borderId="0" pivotButton="0" quotePrefix="0" xfId="0"/>
    <xf numFmtId="181" fontId="60" fillId="4" borderId="0" pivotButton="0" quotePrefix="0" xfId="0"/>
    <xf numFmtId="181" fontId="60" fillId="4" borderId="13" pivotButton="0" quotePrefix="0" xfId="0"/>
    <xf numFmtId="182" fontId="61" fillId="4" borderId="0" pivotButton="0" quotePrefix="0" xfId="0"/>
    <xf numFmtId="182" fontId="61" fillId="5" borderId="0" pivotButton="0" quotePrefix="0" xfId="0"/>
    <xf numFmtId="169" fontId="59" fillId="4" borderId="0" pivotButton="0" quotePrefix="0" xfId="0"/>
    <xf numFmtId="169" fontId="59" fillId="5" borderId="0" pivotButton="0" quotePrefix="0" xfId="0"/>
    <xf numFmtId="169" fontId="60" fillId="4" borderId="0" pivotButton="0" quotePrefix="0" xfId="0"/>
    <xf numFmtId="169" fontId="60" fillId="5" borderId="0" pivotButton="0" quotePrefix="0" xfId="0"/>
    <xf numFmtId="166" fontId="60" fillId="4" borderId="0" pivotButton="0" quotePrefix="0" xfId="0"/>
    <xf numFmtId="166" fontId="60" fillId="4" borderId="13" pivotButton="0" quotePrefix="0" xfId="0"/>
    <xf numFmtId="166" fontId="60" fillId="4" borderId="0" pivotButton="0" quotePrefix="0" xfId="0"/>
    <xf numFmtId="166" fontId="60" fillId="5" borderId="0" pivotButton="0" quotePrefix="0" xfId="0"/>
    <xf numFmtId="176" fontId="59" fillId="4" borderId="0" pivotButton="0" quotePrefix="0" xfId="0"/>
    <xf numFmtId="176" fontId="59" fillId="5" borderId="0" pivotButton="0" quotePrefix="0" xfId="0"/>
    <xf numFmtId="170" fontId="59" fillId="4" borderId="0" pivotButton="0" quotePrefix="0" xfId="0"/>
    <xf numFmtId="169" fontId="60" fillId="4" borderId="1" pivotButton="0" quotePrefix="0" xfId="0"/>
    <xf numFmtId="169" fontId="60" fillId="4" borderId="19" pivotButton="0" quotePrefix="0" xfId="0"/>
    <xf numFmtId="164" fontId="58" fillId="4" borderId="0" applyAlignment="1" pivotButton="0" quotePrefix="0" xfId="0">
      <alignment horizontal="right"/>
    </xf>
    <xf numFmtId="164" fontId="58" fillId="5" borderId="0" applyAlignment="1" pivotButton="0" quotePrefix="0" xfId="0">
      <alignment horizontal="right"/>
    </xf>
    <xf numFmtId="165" fontId="62" fillId="4" borderId="6" pivotButton="0" quotePrefix="0" xfId="21"/>
    <xf numFmtId="165" fontId="62" fillId="4" borderId="3" pivotButton="0" quotePrefix="0" xfId="21"/>
    <xf numFmtId="188" fontId="59" fillId="4" borderId="0" applyAlignment="1" pivotButton="0" quotePrefix="0" xfId="0">
      <alignment horizontal="right"/>
    </xf>
    <xf numFmtId="188" fontId="59" fillId="4" borderId="13" applyAlignment="1" pivotButton="0" quotePrefix="0" xfId="0">
      <alignment horizontal="right"/>
    </xf>
    <xf numFmtId="17" fontId="27" fillId="4" borderId="0" pivotButton="0" quotePrefix="0" xfId="21"/>
    <xf numFmtId="170" fontId="62" fillId="4" borderId="0" pivotButton="0" quotePrefix="0" xfId="21"/>
    <xf numFmtId="170" fontId="60" fillId="4" borderId="0" pivotButton="0" quotePrefix="0" xfId="0"/>
    <xf numFmtId="170" fontId="60" fillId="4" borderId="13" pivotButton="0" quotePrefix="0" xfId="0"/>
    <xf numFmtId="171" fontId="27" fillId="4" borderId="0" pivotButton="0" quotePrefix="0" xfId="21"/>
    <xf numFmtId="171" fontId="62" fillId="4" borderId="0" pivotButton="0" quotePrefix="0" xfId="21"/>
    <xf numFmtId="171" fontId="60" fillId="4" borderId="0" pivotButton="0" quotePrefix="0" xfId="0"/>
    <xf numFmtId="171" fontId="60" fillId="4" borderId="13" pivotButton="0" quotePrefix="0" xfId="0"/>
    <xf numFmtId="175" fontId="62" fillId="4" borderId="0" pivotButton="0" quotePrefix="0" xfId="21"/>
    <xf numFmtId="175" fontId="60" fillId="4" borderId="0" pivotButton="0" quotePrefix="0" xfId="0"/>
    <xf numFmtId="175" fontId="60" fillId="4" borderId="13" pivotButton="0" quotePrefix="0" xfId="0"/>
    <xf numFmtId="170" fontId="60" fillId="4" borderId="0" pivotButton="0" quotePrefix="0" xfId="0"/>
    <xf numFmtId="171" fontId="60" fillId="4" borderId="0" pivotButton="0" quotePrefix="0" xfId="0"/>
    <xf numFmtId="1" fontId="7" fillId="12" borderId="0" applyAlignment="1" pivotButton="0" quotePrefix="0" xfId="0">
      <alignment horizontal="center"/>
    </xf>
    <xf numFmtId="1" fontId="31" fillId="12" borderId="0" applyAlignment="1" pivotButton="0" quotePrefix="0" xfId="0">
      <alignment horizontal="center"/>
    </xf>
    <xf numFmtId="17" fontId="58" fillId="12" borderId="0" applyAlignment="1" pivotButton="0" quotePrefix="0" xfId="0">
      <alignment horizontal="center"/>
    </xf>
    <xf numFmtId="17" fontId="10" fillId="12" borderId="0" applyAlignment="1" pivotButton="0" quotePrefix="0" xfId="0">
      <alignment horizontal="center"/>
    </xf>
    <xf numFmtId="17" fontId="40" fillId="12" borderId="0" applyAlignment="1" pivotButton="0" quotePrefix="0" xfId="0">
      <alignment horizontal="center"/>
    </xf>
    <xf numFmtId="0" fontId="59" fillId="12" borderId="0" applyAlignment="1" pivotButton="0" quotePrefix="0" xfId="0">
      <alignment horizontal="center"/>
    </xf>
    <xf numFmtId="0" fontId="32" fillId="12" borderId="0" applyAlignment="1" pivotButton="0" quotePrefix="0" xfId="0">
      <alignment horizontal="center"/>
    </xf>
    <xf numFmtId="0" fontId="32" fillId="12" borderId="0" applyAlignment="1" pivotButton="0" quotePrefix="0" xfId="0">
      <alignment horizontal="center"/>
    </xf>
    <xf numFmtId="169" fontId="31" fillId="12" borderId="0" applyAlignment="1" pivotButton="0" quotePrefix="0" xfId="0">
      <alignment horizontal="right"/>
    </xf>
    <xf numFmtId="169" fontId="7" fillId="12" borderId="0" applyAlignment="1" pivotButton="0" quotePrefix="0" xfId="0">
      <alignment horizontal="right"/>
    </xf>
    <xf numFmtId="169" fontId="7" fillId="12" borderId="0" applyAlignment="1" pivotButton="0" quotePrefix="0" xfId="0">
      <alignment horizontal="right"/>
    </xf>
    <xf numFmtId="169" fontId="30" fillId="12" borderId="0" applyAlignment="1" pivotButton="0" quotePrefix="0" xfId="0">
      <alignment horizontal="right"/>
    </xf>
    <xf numFmtId="169" fontId="22" fillId="12" borderId="0" applyAlignment="1" pivotButton="0" quotePrefix="0" xfId="0">
      <alignment horizontal="right"/>
    </xf>
    <xf numFmtId="164" fontId="30" fillId="12" borderId="0" applyAlignment="1" pivotButton="0" quotePrefix="0" xfId="0">
      <alignment horizontal="right"/>
    </xf>
    <xf numFmtId="164" fontId="30" fillId="12" borderId="0" applyAlignment="1" pivotButton="0" quotePrefix="0" xfId="0">
      <alignment horizontal="right"/>
    </xf>
    <xf numFmtId="164" fontId="61" fillId="12" borderId="0" applyAlignment="1" pivotButton="0" quotePrefix="0" xfId="0">
      <alignment horizontal="right"/>
    </xf>
    <xf numFmtId="169" fontId="35" fillId="12" borderId="0" applyAlignment="1" pivotButton="0" quotePrefix="0" xfId="0">
      <alignment horizontal="right"/>
    </xf>
    <xf numFmtId="169" fontId="35" fillId="12" borderId="0" applyAlignment="1" pivotButton="0" quotePrefix="0" xfId="0">
      <alignment horizontal="right"/>
    </xf>
    <xf numFmtId="164" fontId="22" fillId="12" borderId="0" applyAlignment="1" pivotButton="0" quotePrefix="0" xfId="0">
      <alignment horizontal="right"/>
    </xf>
    <xf numFmtId="164" fontId="22" fillId="12" borderId="0" applyAlignment="1" pivotButton="0" quotePrefix="0" xfId="0">
      <alignment horizontal="right"/>
    </xf>
    <xf numFmtId="164" fontId="35" fillId="12" borderId="0" applyAlignment="1" pivotButton="0" quotePrefix="0" xfId="0">
      <alignment horizontal="right"/>
    </xf>
    <xf numFmtId="164" fontId="0" fillId="12" borderId="0" applyAlignment="1" pivotButton="0" quotePrefix="0" xfId="0">
      <alignment horizontal="right"/>
    </xf>
    <xf numFmtId="164" fontId="0" fillId="12" borderId="0" applyAlignment="1" pivotButton="0" quotePrefix="0" xfId="0">
      <alignment horizontal="right"/>
    </xf>
    <xf numFmtId="165" fontId="35" fillId="12" borderId="0" applyAlignment="1" pivotButton="0" quotePrefix="0" xfId="0">
      <alignment horizontal="right"/>
    </xf>
    <xf numFmtId="165" fontId="0" fillId="12" borderId="0" applyAlignment="1" pivotButton="0" quotePrefix="0" xfId="0">
      <alignment horizontal="right"/>
    </xf>
    <xf numFmtId="165" fontId="0" fillId="12" borderId="0" applyAlignment="1" pivotButton="0" quotePrefix="0" xfId="0">
      <alignment horizontal="right"/>
    </xf>
    <xf numFmtId="176" fontId="31" fillId="12" borderId="0" applyAlignment="1" pivotButton="0" quotePrefix="0" xfId="0">
      <alignment horizontal="right"/>
    </xf>
    <xf numFmtId="176" fontId="7" fillId="12" borderId="0" applyAlignment="1" pivotButton="0" quotePrefix="0" xfId="0">
      <alignment horizontal="right"/>
    </xf>
    <xf numFmtId="176" fontId="7" fillId="12" borderId="0" applyAlignment="1" pivotButton="0" quotePrefix="0" xfId="0">
      <alignment horizontal="right"/>
    </xf>
    <xf numFmtId="176" fontId="30" fillId="12" borderId="0" applyAlignment="1" pivotButton="0" quotePrefix="0" xfId="0">
      <alignment horizontal="right"/>
    </xf>
    <xf numFmtId="176" fontId="22" fillId="12" borderId="0" applyAlignment="1" pivotButton="0" quotePrefix="0" xfId="0">
      <alignment horizontal="right"/>
    </xf>
    <xf numFmtId="169" fontId="31" fillId="12" borderId="0" applyAlignment="1" pivotButton="0" quotePrefix="0" xfId="0">
      <alignment horizontal="right"/>
    </xf>
    <xf numFmtId="165" fontId="31" fillId="12" borderId="0" applyAlignment="1" pivotButton="0" quotePrefix="0" xfId="0">
      <alignment horizontal="right"/>
    </xf>
    <xf numFmtId="165" fontId="59" fillId="12" borderId="0" applyAlignment="1" pivotButton="0" quotePrefix="0" xfId="0">
      <alignment horizontal="right"/>
    </xf>
    <xf numFmtId="165" fontId="31" fillId="12" borderId="0" applyAlignment="1" pivotButton="0" quotePrefix="0" xfId="0">
      <alignment horizontal="right"/>
    </xf>
    <xf numFmtId="164" fontId="60" fillId="12" borderId="0" applyAlignment="1" pivotButton="0" quotePrefix="0" xfId="0">
      <alignment horizontal="right"/>
    </xf>
    <xf numFmtId="164" fontId="35" fillId="12" borderId="0" applyAlignment="1" pivotButton="0" quotePrefix="0" xfId="0">
      <alignment horizontal="right"/>
    </xf>
    <xf numFmtId="169" fontId="35" fillId="12" borderId="0" pivotButton="0" quotePrefix="0" xfId="0"/>
    <xf numFmtId="169" fontId="35" fillId="12" borderId="0" pivotButton="0" quotePrefix="0" xfId="0"/>
    <xf numFmtId="169" fontId="31" fillId="12" borderId="0" pivotButton="0" quotePrefix="0" xfId="0"/>
    <xf numFmtId="169" fontId="7" fillId="12" borderId="0" pivotButton="0" quotePrefix="0" xfId="0"/>
    <xf numFmtId="169" fontId="31" fillId="12" borderId="0" pivotButton="0" quotePrefix="0" xfId="0"/>
    <xf numFmtId="169" fontId="0" fillId="12" borderId="0" pivotButton="0" quotePrefix="0" xfId="0"/>
    <xf numFmtId="169" fontId="0" fillId="12" borderId="0" pivotButton="0" quotePrefix="0" xfId="0"/>
    <xf numFmtId="169" fontId="31" fillId="12" borderId="1" pivotButton="0" quotePrefix="0" xfId="0"/>
    <xf numFmtId="169" fontId="7" fillId="12" borderId="1" pivotButton="0" quotePrefix="0" xfId="0"/>
    <xf numFmtId="164" fontId="30" fillId="12" borderId="0" pivotButton="0" quotePrefix="0" xfId="0"/>
    <xf numFmtId="164" fontId="22" fillId="12" borderId="0" pivotButton="0" quotePrefix="0" xfId="0"/>
    <xf numFmtId="164" fontId="22" fillId="12" borderId="0" pivotButton="0" quotePrefix="0" xfId="0"/>
    <xf numFmtId="164" fontId="35" fillId="12" borderId="0" pivotButton="0" quotePrefix="0" xfId="0"/>
    <xf numFmtId="164" fontId="0" fillId="12" borderId="0" pivotButton="0" quotePrefix="0" xfId="0"/>
    <xf numFmtId="164" fontId="0" fillId="12" borderId="0" pivotButton="0" quotePrefix="0" xfId="0"/>
    <xf numFmtId="165" fontId="35" fillId="12" borderId="0" pivotButton="0" quotePrefix="0" xfId="0"/>
    <xf numFmtId="164" fontId="35" fillId="12" borderId="0" pivotButton="0" quotePrefix="0" xfId="0"/>
    <xf numFmtId="164" fontId="60" fillId="12" borderId="0" pivotButton="0" quotePrefix="0" xfId="0"/>
    <xf numFmtId="164" fontId="30" fillId="12" borderId="0" pivotButton="0" quotePrefix="0" xfId="0"/>
    <xf numFmtId="165" fontId="60" fillId="12" borderId="0" pivotButton="0" quotePrefix="0" xfId="0"/>
    <xf numFmtId="169" fontId="35" fillId="12" borderId="1" pivotButton="0" quotePrefix="0" xfId="0"/>
    <xf numFmtId="169" fontId="35" fillId="12" borderId="4" pivotButton="0" quotePrefix="0" xfId="0"/>
    <xf numFmtId="169" fontId="60" fillId="12" borderId="4" pivotButton="0" quotePrefix="0" xfId="0"/>
    <xf numFmtId="165" fontId="0" fillId="12" borderId="0" pivotButton="0" quotePrefix="0" xfId="0"/>
    <xf numFmtId="165" fontId="0" fillId="12" borderId="0" pivotButton="0" quotePrefix="0" xfId="0"/>
    <xf numFmtId="169" fontId="30" fillId="12" borderId="0" pivotButton="0" quotePrefix="0" xfId="0"/>
    <xf numFmtId="169" fontId="60" fillId="12" borderId="0" pivotButton="0" quotePrefix="0" xfId="0"/>
    <xf numFmtId="183" fontId="35" fillId="12" borderId="0" pivotButton="0" quotePrefix="0" xfId="0"/>
    <xf numFmtId="183" fontId="60" fillId="12" borderId="0" pivotButton="0" quotePrefix="0" xfId="0"/>
    <xf numFmtId="183" fontId="35" fillId="12" borderId="0" pivotButton="0" quotePrefix="0" xfId="0"/>
    <xf numFmtId="183" fontId="31" fillId="12" borderId="1" pivotButton="0" quotePrefix="0" xfId="0"/>
    <xf numFmtId="183" fontId="7" fillId="12" borderId="1" pivotButton="0" quotePrefix="0" xfId="0"/>
    <xf numFmtId="183" fontId="35" fillId="12" borderId="0" applyAlignment="1" pivotButton="0" quotePrefix="0" xfId="0">
      <alignment horizontal="right"/>
    </xf>
    <xf numFmtId="183" fontId="60" fillId="12" borderId="0" applyAlignment="1" pivotButton="0" quotePrefix="0" xfId="0">
      <alignment horizontal="right"/>
    </xf>
    <xf numFmtId="183" fontId="35" fillId="12" borderId="0" applyAlignment="1" pivotButton="0" quotePrefix="0" xfId="0">
      <alignment horizontal="right"/>
    </xf>
    <xf numFmtId="165" fontId="60" fillId="12" borderId="0" applyAlignment="1" pivotButton="0" quotePrefix="0" xfId="0">
      <alignment horizontal="right"/>
    </xf>
    <xf numFmtId="165" fontId="35" fillId="12" borderId="0" applyAlignment="1" pivotButton="0" quotePrefix="0" xfId="0">
      <alignment horizontal="right"/>
    </xf>
    <xf numFmtId="169" fontId="60" fillId="12" borderId="0" applyAlignment="1" pivotButton="0" quotePrefix="0" xfId="0">
      <alignment horizontal="right"/>
    </xf>
    <xf numFmtId="165" fontId="60" fillId="12" borderId="0" applyAlignment="1" pivotButton="0" quotePrefix="0" xfId="0">
      <alignment horizontal="right"/>
    </xf>
    <xf numFmtId="165" fontId="31" fillId="12" borderId="1" applyAlignment="1" pivotButton="0" quotePrefix="0" xfId="0">
      <alignment horizontal="right"/>
    </xf>
    <xf numFmtId="165" fontId="59" fillId="12" borderId="1" applyAlignment="1" pivotButton="0" quotePrefix="0" xfId="0">
      <alignment horizontal="right"/>
    </xf>
    <xf numFmtId="165" fontId="7" fillId="12" borderId="1" applyAlignment="1" pivotButton="0" quotePrefix="0" xfId="0">
      <alignment horizontal="right"/>
    </xf>
    <xf numFmtId="164" fontId="31" fillId="12" borderId="1" applyAlignment="1" pivotButton="0" quotePrefix="0" xfId="0">
      <alignment horizontal="right"/>
    </xf>
    <xf numFmtId="164" fontId="7" fillId="12" borderId="1" applyAlignment="1" pivotButton="0" quotePrefix="0" xfId="0">
      <alignment horizontal="right"/>
    </xf>
    <xf numFmtId="169" fontId="30" fillId="12" borderId="0" applyAlignment="1" pivotButton="0" quotePrefix="0" xfId="0">
      <alignment horizontal="right"/>
    </xf>
    <xf numFmtId="164" fontId="35" fillId="12" borderId="4" applyAlignment="1" pivotButton="0" quotePrefix="0" xfId="0">
      <alignment horizontal="right"/>
    </xf>
    <xf numFmtId="43" fontId="31" fillId="12" borderId="0" applyAlignment="1" pivotButton="0" quotePrefix="0" xfId="0">
      <alignment horizontal="right"/>
    </xf>
    <xf numFmtId="43" fontId="31" fillId="12" borderId="0" applyAlignment="1" pivotButton="0" quotePrefix="0" xfId="0">
      <alignment horizontal="right"/>
    </xf>
    <xf numFmtId="164" fontId="31" fillId="12" borderId="0" applyAlignment="1" pivotButton="0" quotePrefix="0" xfId="0">
      <alignment horizontal="right"/>
    </xf>
    <xf numFmtId="164" fontId="31" fillId="12" borderId="0" applyAlignment="1" pivotButton="0" quotePrefix="0" xfId="0">
      <alignment horizontal="right"/>
    </xf>
    <xf numFmtId="169" fontId="31" fillId="12" borderId="1" applyAlignment="1" pivotButton="0" quotePrefix="0" xfId="0">
      <alignment horizontal="right"/>
    </xf>
    <xf numFmtId="165" fontId="35" fillId="12" borderId="4" applyAlignment="1" pivotButton="0" quotePrefix="0" xfId="0">
      <alignment horizontal="right"/>
    </xf>
    <xf numFmtId="183" fontId="0" fillId="12" borderId="0" applyAlignment="1" pivotButton="0" quotePrefix="0" xfId="0">
      <alignment horizontal="right"/>
    </xf>
    <xf numFmtId="164" fontId="31" fillId="12" borderId="4" pivotButton="0" quotePrefix="0" xfId="0"/>
    <xf numFmtId="164" fontId="31" fillId="12" borderId="4" applyAlignment="1" pivotButton="0" quotePrefix="0" xfId="0">
      <alignment horizontal="right"/>
    </xf>
    <xf numFmtId="164" fontId="31" fillId="12" borderId="0" pivotButton="0" quotePrefix="0" xfId="0"/>
    <xf numFmtId="169" fontId="59" fillId="12" borderId="0" pivotButton="0" quotePrefix="0" xfId="0"/>
    <xf numFmtId="169" fontId="31" fillId="12" borderId="18" pivotButton="0" quotePrefix="0" xfId="0"/>
    <xf numFmtId="169" fontId="7" fillId="12" borderId="18" pivotButton="0" quotePrefix="0" xfId="0"/>
    <xf numFmtId="169" fontId="7" fillId="12" borderId="0" pivotButton="0" quotePrefix="0" xfId="0"/>
    <xf numFmtId="169" fontId="35" fillId="12" borderId="4" applyAlignment="1" pivotButton="0" quotePrefix="0" xfId="0">
      <alignment horizontal="right"/>
    </xf>
    <xf numFmtId="169" fontId="60" fillId="12" borderId="4" applyAlignment="1" pivotButton="0" quotePrefix="0" xfId="0">
      <alignment horizontal="right"/>
    </xf>
    <xf numFmtId="169" fontId="31" fillId="12" borderId="4" pivotButton="0" quotePrefix="0" xfId="0"/>
    <xf numFmtId="169" fontId="31" fillId="12" borderId="4" applyAlignment="1" pivotButton="0" quotePrefix="0" xfId="0">
      <alignment horizontal="right"/>
    </xf>
    <xf numFmtId="164" fontId="59" fillId="12" borderId="0" applyAlignment="1" pivotButton="0" quotePrefix="0" xfId="0">
      <alignment horizontal="right"/>
    </xf>
    <xf numFmtId="168" fontId="31" fillId="12" borderId="0" pivotButton="0" quotePrefix="0" xfId="0"/>
    <xf numFmtId="168" fontId="7" fillId="12" borderId="0" pivotButton="0" quotePrefix="0" xfId="0"/>
    <xf numFmtId="168" fontId="31" fillId="12" borderId="0" pivotButton="0" quotePrefix="0" xfId="0"/>
    <xf numFmtId="168" fontId="30" fillId="12" borderId="0" pivotButton="0" quotePrefix="0" xfId="0"/>
    <xf numFmtId="168" fontId="30" fillId="12" borderId="0" applyAlignment="1" pivotButton="0" quotePrefix="0" xfId="0">
      <alignment horizontal="right"/>
    </xf>
    <xf numFmtId="164" fontId="61" fillId="12" borderId="0" pivotButton="0" quotePrefix="0" xfId="0"/>
    <xf numFmtId="164" fontId="30" fillId="12" borderId="4" pivotButton="0" quotePrefix="0" xfId="0"/>
    <xf numFmtId="181" fontId="35" fillId="12" borderId="0" pivotButton="0" quotePrefix="0" xfId="0"/>
    <xf numFmtId="181" fontId="35" fillId="12" borderId="0" pivotButton="0" quotePrefix="0" xfId="0"/>
    <xf numFmtId="171" fontId="35" fillId="12" borderId="0" pivotButton="0" quotePrefix="0" xfId="0"/>
    <xf numFmtId="171" fontId="35" fillId="12" borderId="0" pivotButton="0" quotePrefix="0" xfId="0"/>
    <xf numFmtId="169" fontId="0" fillId="12" borderId="0" pivotButton="0" quotePrefix="0" xfId="0"/>
    <xf numFmtId="182" fontId="30" fillId="12" borderId="0" pivotButton="0" quotePrefix="0" xfId="0"/>
    <xf numFmtId="182" fontId="22" fillId="12" borderId="0" pivotButton="0" quotePrefix="0" xfId="0"/>
    <xf numFmtId="182" fontId="30" fillId="12" borderId="0" pivotButton="0" quotePrefix="0" xfId="0"/>
    <xf numFmtId="182" fontId="61" fillId="12" borderId="0" pivotButton="0" quotePrefix="0" xfId="0"/>
    <xf numFmtId="168" fontId="31" fillId="12" borderId="0" applyAlignment="1" pivotButton="0" quotePrefix="0" xfId="16">
      <alignment horizontal="right" indent="1"/>
    </xf>
    <xf numFmtId="168" fontId="31" fillId="12" borderId="0" pivotButton="0" quotePrefix="0" xfId="16"/>
    <xf numFmtId="169" fontId="59" fillId="12" borderId="0" pivotButton="0" quotePrefix="0" xfId="0"/>
    <xf numFmtId="169" fontId="60" fillId="12" borderId="0" pivotButton="0" quotePrefix="0" xfId="0"/>
    <xf numFmtId="166" fontId="35" fillId="12" borderId="0" pivotButton="0" quotePrefix="0" xfId="0"/>
    <xf numFmtId="166" fontId="0" fillId="12" borderId="0" pivotButton="0" quotePrefix="0" xfId="0"/>
    <xf numFmtId="166" fontId="35" fillId="12" borderId="0" pivotButton="0" quotePrefix="0" xfId="0"/>
    <xf numFmtId="166" fontId="60" fillId="12" borderId="0" pivotButton="0" quotePrefix="0" xfId="0"/>
    <xf numFmtId="176" fontId="31" fillId="12" borderId="0" pivotButton="0" quotePrefix="0" xfId="0"/>
    <xf numFmtId="176" fontId="31" fillId="12" borderId="0" pivotButton="0" quotePrefix="0" xfId="0"/>
    <xf numFmtId="176" fontId="59" fillId="12" borderId="0" pivotButton="0" quotePrefix="0" xfId="0"/>
    <xf numFmtId="166" fontId="31" fillId="12" borderId="0" pivotButton="0" quotePrefix="0" xfId="0"/>
    <xf numFmtId="166" fontId="31" fillId="12" borderId="0" pivotButton="0" quotePrefix="0" xfId="0"/>
    <xf numFmtId="169" fontId="0" fillId="12" borderId="1" pivotButton="0" quotePrefix="0" xfId="0"/>
    <xf numFmtId="174" fontId="31" fillId="12" borderId="0" applyAlignment="1" pivotButton="0" quotePrefix="0" xfId="0">
      <alignment horizontal="right"/>
    </xf>
    <xf numFmtId="174" fontId="31" fillId="12" borderId="0" applyAlignment="1" pivotButton="0" quotePrefix="0" xfId="0">
      <alignment horizontal="right"/>
    </xf>
    <xf numFmtId="174" fontId="7" fillId="12" borderId="0" applyAlignment="1" pivotButton="0" quotePrefix="0" xfId="0">
      <alignment horizontal="right"/>
    </xf>
    <xf numFmtId="180" fontId="31" fillId="12" borderId="0" pivotButton="0" quotePrefix="0" xfId="0"/>
    <xf numFmtId="180" fontId="31" fillId="12" borderId="0" pivotButton="0" quotePrefix="0" xfId="0"/>
    <xf numFmtId="174" fontId="35" fillId="12" borderId="0" applyAlignment="1" pivotButton="0" quotePrefix="0" xfId="0">
      <alignment horizontal="right"/>
    </xf>
    <xf numFmtId="174" fontId="35" fillId="12" borderId="0" applyAlignment="1" pivotButton="0" quotePrefix="0" xfId="0">
      <alignment horizontal="right"/>
    </xf>
    <xf numFmtId="170" fontId="35" fillId="12" borderId="0" applyAlignment="1" pivotButton="0" quotePrefix="0" xfId="0">
      <alignment horizontal="right"/>
    </xf>
    <xf numFmtId="170" fontId="35" fillId="12" borderId="0" pivotButton="0" quotePrefix="0" xfId="0"/>
    <xf numFmtId="175" fontId="35" fillId="12" borderId="0" applyAlignment="1" pivotButton="0" quotePrefix="0" xfId="0">
      <alignment horizontal="right"/>
    </xf>
    <xf numFmtId="175" fontId="35" fillId="12" borderId="0" pivotButton="0" quotePrefix="0" xfId="0"/>
    <xf numFmtId="171" fontId="35" fillId="12" borderId="0" applyAlignment="1" pivotButton="0" quotePrefix="0" xfId="0">
      <alignment horizontal="right"/>
    </xf>
    <xf numFmtId="169" fontId="0" fillId="12" borderId="4" pivotButton="0" quotePrefix="0" xfId="0"/>
    <xf numFmtId="169" fontId="0" fillId="12" borderId="0" applyAlignment="1" pivotButton="0" quotePrefix="0" xfId="0">
      <alignment horizontal="right"/>
    </xf>
    <xf numFmtId="169" fontId="31" fillId="12" borderId="9" applyAlignment="1" pivotButton="0" quotePrefix="0" xfId="0">
      <alignment horizontal="right"/>
    </xf>
    <xf numFmtId="169" fontId="7" fillId="12" borderId="9" applyAlignment="1" pivotButton="0" quotePrefix="0" xfId="0">
      <alignment horizontal="right"/>
    </xf>
    <xf numFmtId="165" fontId="7" fillId="12" borderId="0" applyAlignment="1" pivotButton="0" quotePrefix="0" xfId="0">
      <alignment horizontal="right"/>
    </xf>
    <xf numFmtId="164" fontId="40" fillId="12" borderId="0" applyAlignment="1" pivotButton="0" quotePrefix="0" xfId="0">
      <alignment horizontal="right"/>
    </xf>
    <xf numFmtId="164" fontId="40" fillId="12" borderId="0" applyAlignment="1" pivotButton="0" quotePrefix="0" xfId="0">
      <alignment horizontal="right"/>
    </xf>
    <xf numFmtId="164" fontId="58" fillId="12" borderId="0" applyAlignment="1" pivotButton="0" quotePrefix="0" xfId="0">
      <alignment horizontal="right"/>
    </xf>
    <xf numFmtId="17" fontId="40" fillId="12" borderId="0" applyAlignment="1" pivotButton="0" quotePrefix="0" xfId="27">
      <alignment horizontal="center"/>
    </xf>
    <xf numFmtId="17" fontId="38" fillId="12" borderId="0" applyAlignment="1" pivotButton="0" quotePrefix="0" xfId="27">
      <alignment horizontal="center"/>
    </xf>
    <xf numFmtId="17" fontId="38" fillId="12" borderId="0" applyAlignment="1" pivotButton="0" quotePrefix="0" xfId="27">
      <alignment horizontal="center"/>
    </xf>
    <xf numFmtId="169" fontId="31" fillId="12" borderId="0" applyAlignment="1" pivotButton="0" quotePrefix="0" xfId="27">
      <alignment horizontal="center"/>
    </xf>
    <xf numFmtId="169" fontId="32" fillId="12" borderId="0" applyAlignment="1" pivotButton="0" quotePrefix="0" xfId="27">
      <alignment horizontal="center"/>
    </xf>
    <xf numFmtId="169" fontId="32" fillId="12" borderId="0" applyAlignment="1" pivotButton="0" quotePrefix="0" xfId="27">
      <alignment horizontal="center"/>
    </xf>
    <xf numFmtId="180" fontId="31" fillId="12" borderId="0" applyAlignment="1" pivotButton="0" quotePrefix="0" xfId="27">
      <alignment horizontal="right"/>
    </xf>
    <xf numFmtId="180" fontId="31" fillId="12" borderId="0" pivotButton="0" quotePrefix="0" xfId="27"/>
    <xf numFmtId="180" fontId="31" fillId="12" borderId="0" pivotButton="0" quotePrefix="0" xfId="27"/>
    <xf numFmtId="169" fontId="35" fillId="12" borderId="4" applyAlignment="1" pivotButton="0" quotePrefix="0" xfId="27">
      <alignment horizontal="right"/>
    </xf>
    <xf numFmtId="169" fontId="35" fillId="12" borderId="4" pivotButton="0" quotePrefix="0" xfId="27"/>
    <xf numFmtId="169" fontId="31" fillId="12" borderId="1" pivotButton="0" quotePrefix="0" xfId="27"/>
    <xf numFmtId="169" fontId="35" fillId="12" borderId="0" pivotButton="0" quotePrefix="0" xfId="27"/>
    <xf numFmtId="169" fontId="35" fillId="12" borderId="0" pivotButton="0" quotePrefix="0" xfId="27"/>
    <xf numFmtId="169" fontId="31" fillId="12" borderId="0" pivotButton="0" quotePrefix="0" xfId="27"/>
    <xf numFmtId="169" fontId="31" fillId="12" borderId="0" pivotButton="0" quotePrefix="0" xfId="27"/>
    <xf numFmtId="164" fontId="30" fillId="12" borderId="0" applyAlignment="1" pivotButton="0" quotePrefix="0" xfId="27">
      <alignment horizontal="right"/>
    </xf>
    <xf numFmtId="164" fontId="30" fillId="12" borderId="0" applyAlignment="1" pivotButton="0" quotePrefix="0" xfId="27">
      <alignment horizontal="right"/>
    </xf>
    <xf numFmtId="169" fontId="35" fillId="12" borderId="0" applyAlignment="1" pivotButton="0" quotePrefix="0" xfId="27">
      <alignment horizontal="right"/>
    </xf>
    <xf numFmtId="169" fontId="35" fillId="12" borderId="0" applyAlignment="1" pivotButton="0" quotePrefix="0" xfId="27">
      <alignment horizontal="right"/>
    </xf>
    <xf numFmtId="165" fontId="35" fillId="12" borderId="0" applyAlignment="1" pivotButton="0" quotePrefix="0" xfId="27">
      <alignment horizontal="right"/>
    </xf>
    <xf numFmtId="165" fontId="35" fillId="12" borderId="0" applyAlignment="1" pivotButton="0" quotePrefix="0" xfId="27">
      <alignment horizontal="right"/>
    </xf>
    <xf numFmtId="164" fontId="35" fillId="12" borderId="0" applyAlignment="1" pivotButton="0" quotePrefix="0" xfId="27">
      <alignment horizontal="right"/>
    </xf>
    <xf numFmtId="164" fontId="35" fillId="12" borderId="0" applyAlignment="1" pivotButton="0" quotePrefix="0" xfId="27">
      <alignment horizontal="right"/>
    </xf>
    <xf numFmtId="168" fontId="31" fillId="12" borderId="0" pivotButton="0" quotePrefix="0" xfId="27"/>
    <xf numFmtId="168" fontId="31" fillId="12" borderId="0" pivotButton="0" quotePrefix="0" xfId="27"/>
    <xf numFmtId="164" fontId="31" fillId="12" borderId="0" applyAlignment="1" pivotButton="0" quotePrefix="0" xfId="27">
      <alignment horizontal="center"/>
    </xf>
    <xf numFmtId="164" fontId="35" fillId="12" borderId="0" pivotButton="0" quotePrefix="0" xfId="27"/>
    <xf numFmtId="164" fontId="35" fillId="12" borderId="0" pivotButton="0" quotePrefix="0" xfId="27"/>
    <xf numFmtId="164" fontId="35" fillId="12" borderId="4" applyAlignment="1" pivotButton="0" quotePrefix="0" xfId="27">
      <alignment horizontal="right"/>
    </xf>
    <xf numFmtId="164" fontId="35" fillId="12" borderId="4" pivotButton="0" quotePrefix="0" xfId="27"/>
    <xf numFmtId="164" fontId="31" fillId="12" borderId="0" applyAlignment="1" pivotButton="0" quotePrefix="0" xfId="27">
      <alignment horizontal="right"/>
    </xf>
    <xf numFmtId="164" fontId="31" fillId="12" borderId="0" pivotButton="0" quotePrefix="0" xfId="27"/>
    <xf numFmtId="196" fontId="31" fillId="12" borderId="0" applyAlignment="1" pivotButton="0" quotePrefix="0" xfId="27">
      <alignment horizontal="right"/>
    </xf>
    <xf numFmtId="196" fontId="31" fillId="12" borderId="0" applyAlignment="1" pivotButton="0" quotePrefix="0" xfId="27">
      <alignment horizontal="right"/>
    </xf>
    <xf numFmtId="174" fontId="31" fillId="12" borderId="0" applyAlignment="1" pivotButton="0" quotePrefix="0" xfId="27">
      <alignment horizontal="right"/>
    </xf>
    <xf numFmtId="174" fontId="31" fillId="12" borderId="0" applyAlignment="1" pivotButton="0" quotePrefix="0" xfId="27">
      <alignment horizontal="right"/>
    </xf>
    <xf numFmtId="197" fontId="31" fillId="12" borderId="0" applyAlignment="1" pivotButton="0" quotePrefix="0" xfId="27">
      <alignment horizontal="right"/>
    </xf>
    <xf numFmtId="197" fontId="31" fillId="12" borderId="0" applyAlignment="1" pivotButton="0" quotePrefix="0" xfId="27">
      <alignment horizontal="right"/>
    </xf>
    <xf numFmtId="164" fontId="31" fillId="12" borderId="0" applyAlignment="1" pivotButton="0" quotePrefix="0" xfId="27">
      <alignment horizontal="right"/>
    </xf>
    <xf numFmtId="174" fontId="35" fillId="12" borderId="0" applyAlignment="1" pivotButton="0" quotePrefix="0" xfId="27">
      <alignment horizontal="right"/>
    </xf>
    <xf numFmtId="174" fontId="35" fillId="12" borderId="0" applyAlignment="1" pivotButton="0" quotePrefix="0" xfId="27">
      <alignment horizontal="right"/>
    </xf>
    <xf numFmtId="173" fontId="17" fillId="4" borderId="0" pivotButton="0" quotePrefix="0" xfId="26"/>
    <xf numFmtId="180" fontId="39" fillId="8" borderId="0" applyAlignment="1" pivotButton="0" quotePrefix="0" xfId="16">
      <alignment horizontal="center" vertical="center"/>
    </xf>
    <xf numFmtId="0" fontId="47" fillId="4" borderId="15" applyAlignment="1" pivotButton="0" quotePrefix="0" xfId="26">
      <alignment vertical="top" wrapText="1"/>
    </xf>
    <xf numFmtId="0" fontId="0" fillId="0" borderId="29" pivotButton="0" quotePrefix="0" xfId="0"/>
    <xf numFmtId="0" fontId="0" fillId="0" borderId="31" pivotButton="0" quotePrefix="0" xfId="0"/>
    <xf numFmtId="0" fontId="0" fillId="0" borderId="30"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0" fontId="63" fillId="0" borderId="0" pivotButton="0" quotePrefix="0" xfId="0"/>
    <xf numFmtId="0" fontId="64" fillId="0" borderId="0" pivotButton="0" quotePrefix="0" xfId="0"/>
    <xf numFmtId="0" fontId="65" fillId="0" borderId="0" pivotButton="0" quotePrefix="0" xfId="0"/>
    <xf numFmtId="0" fontId="66" fillId="0" borderId="0" pivotButton="0" quotePrefix="0" xfId="0"/>
    <xf numFmtId="204" fontId="0" fillId="0" borderId="0" pivotButton="0" quotePrefix="0" xfId="0"/>
    <xf numFmtId="169" fontId="0" fillId="0" borderId="0" pivotButton="0" quotePrefix="0" xfId="0"/>
    <xf numFmtId="184" fontId="25" fillId="4" borderId="0" applyAlignment="1" pivotButton="0" quotePrefix="0" xfId="20">
      <alignment horizontal="left"/>
    </xf>
    <xf numFmtId="169" fontId="35" fillId="4" borderId="0" pivotButton="0" quotePrefix="0" xfId="0"/>
    <xf numFmtId="169" fontId="35" fillId="4" borderId="13" pivotButton="0" quotePrefix="0" xfId="0"/>
    <xf numFmtId="169" fontId="0" fillId="4" borderId="0" pivotButton="0" quotePrefix="0" xfId="0"/>
    <xf numFmtId="190" fontId="2" fillId="4" borderId="0" applyAlignment="1" pivotButton="0" quotePrefix="0" xfId="0">
      <alignment horizontal="left"/>
    </xf>
    <xf numFmtId="184" fontId="27" fillId="4" borderId="0" applyAlignment="1" pivotButton="0" quotePrefix="0" xfId="0">
      <alignment horizontal="center"/>
    </xf>
    <xf numFmtId="203" fontId="0" fillId="4" borderId="0" pivotButton="0" quotePrefix="0" xfId="0"/>
    <xf numFmtId="169" fontId="7" fillId="0" borderId="0" applyAlignment="1" pivotButton="0" quotePrefix="0" xfId="0">
      <alignment horizontal="center"/>
    </xf>
    <xf numFmtId="185" fontId="3" fillId="4" borderId="0" applyAlignment="1" pivotButton="0" quotePrefix="0" xfId="0">
      <alignment horizontal="left"/>
    </xf>
    <xf numFmtId="180" fontId="6" fillId="4" borderId="0" applyAlignment="1" pivotButton="0" quotePrefix="0" xfId="16">
      <alignment horizontal="center"/>
    </xf>
    <xf numFmtId="169" fontId="7" fillId="4" borderId="0" applyAlignment="1" pivotButton="0" quotePrefix="0" xfId="0">
      <alignment horizontal="center"/>
    </xf>
    <xf numFmtId="186" fontId="3" fillId="4" borderId="0" pivotButton="0" quotePrefix="0" xfId="0"/>
    <xf numFmtId="167" fontId="3" fillId="4" borderId="0" pivotButton="0" quotePrefix="0" xfId="0"/>
    <xf numFmtId="164" fontId="0" fillId="0" borderId="0" pivotButton="0" quotePrefix="0" xfId="0"/>
    <xf numFmtId="164" fontId="34" fillId="6" borderId="0" pivotButton="0" quotePrefix="0" xfId="0"/>
    <xf numFmtId="164" fontId="33" fillId="6" borderId="0" pivotButton="0" quotePrefix="0" xfId="0"/>
    <xf numFmtId="164" fontId="42" fillId="6" borderId="0" applyAlignment="1" pivotButton="0" quotePrefix="0" xfId="0">
      <alignment horizontal="center"/>
    </xf>
    <xf numFmtId="164" fontId="33" fillId="6" borderId="13" pivotButton="0" quotePrefix="0" xfId="0"/>
    <xf numFmtId="164" fontId="0" fillId="4" borderId="0" pivotButton="0" quotePrefix="0" xfId="0"/>
    <xf numFmtId="169" fontId="7" fillId="0" borderId="0" pivotButton="0" quotePrefix="0" xfId="0"/>
    <xf numFmtId="169" fontId="7" fillId="4" borderId="0" applyAlignment="1" pivotButton="0" quotePrefix="0" xfId="0">
      <alignment horizontal="left"/>
    </xf>
    <xf numFmtId="169" fontId="32" fillId="4" borderId="0" pivotButton="0" quotePrefix="0" xfId="16"/>
    <xf numFmtId="169" fontId="31" fillId="12" borderId="0" applyAlignment="1" pivotButton="0" quotePrefix="0" xfId="0">
      <alignment horizontal="right"/>
    </xf>
    <xf numFmtId="169" fontId="31" fillId="4" borderId="0" applyAlignment="1" pivotButton="0" quotePrefix="0" xfId="0">
      <alignment horizontal="right"/>
    </xf>
    <xf numFmtId="169" fontId="7" fillId="12" borderId="0" applyAlignment="1" pivotButton="0" quotePrefix="0" xfId="0">
      <alignment horizontal="right"/>
    </xf>
    <xf numFmtId="169" fontId="7" fillId="4" borderId="0" applyAlignment="1" pivotButton="0" quotePrefix="0" xfId="0">
      <alignment horizontal="right"/>
    </xf>
    <xf numFmtId="169" fontId="7" fillId="4" borderId="13" applyAlignment="1" pivotButton="0" quotePrefix="0" xfId="0">
      <alignment horizontal="right"/>
    </xf>
    <xf numFmtId="169" fontId="7" fillId="4" borderId="0" pivotButton="0" quotePrefix="0" xfId="0"/>
    <xf numFmtId="169" fontId="22" fillId="0" borderId="0" pivotButton="0" quotePrefix="0" xfId="0"/>
    <xf numFmtId="169" fontId="22" fillId="4" borderId="0" applyAlignment="1" pivotButton="0" quotePrefix="0" xfId="0">
      <alignment horizontal="left" indent="1"/>
    </xf>
    <xf numFmtId="169" fontId="29" fillId="4" borderId="0" pivotButton="0" quotePrefix="0" xfId="16"/>
    <xf numFmtId="169" fontId="30" fillId="12" borderId="0" applyAlignment="1" pivotButton="0" quotePrefix="0" xfId="0">
      <alignment horizontal="right"/>
    </xf>
    <xf numFmtId="169" fontId="30" fillId="4" borderId="0" applyAlignment="1" pivotButton="0" quotePrefix="0" xfId="0">
      <alignment horizontal="right"/>
    </xf>
    <xf numFmtId="169" fontId="30" fillId="4" borderId="13" applyAlignment="1" pivotButton="0" quotePrefix="0" xfId="0">
      <alignment horizontal="right"/>
    </xf>
    <xf numFmtId="169" fontId="22" fillId="4" borderId="0" applyAlignment="1" pivotButton="0" quotePrefix="0" xfId="0">
      <alignment horizontal="right"/>
    </xf>
    <xf numFmtId="169" fontId="22" fillId="12" borderId="0" applyAlignment="1" pivotButton="0" quotePrefix="0" xfId="0">
      <alignment horizontal="right"/>
    </xf>
    <xf numFmtId="169" fontId="22" fillId="4" borderId="0" pivotButton="0" quotePrefix="0" xfId="0"/>
    <xf numFmtId="164" fontId="22" fillId="0" borderId="0" pivotButton="0" quotePrefix="0" xfId="0"/>
    <xf numFmtId="164" fontId="22" fillId="4" borderId="0" applyAlignment="1" pivotButton="0" quotePrefix="0" xfId="0">
      <alignment horizontal="left" indent="1"/>
    </xf>
    <xf numFmtId="164" fontId="29" fillId="4" borderId="0" pivotButton="0" quotePrefix="0" xfId="16"/>
    <xf numFmtId="164" fontId="30" fillId="12" borderId="0" applyAlignment="1" pivotButton="0" quotePrefix="0" xfId="0">
      <alignment horizontal="right"/>
    </xf>
    <xf numFmtId="164" fontId="30" fillId="4" borderId="0" applyAlignment="1" pivotButton="0" quotePrefix="0" xfId="0">
      <alignment horizontal="right"/>
    </xf>
    <xf numFmtId="164" fontId="22" fillId="4" borderId="0" applyAlignment="1" pivotButton="0" quotePrefix="0" xfId="0">
      <alignment horizontal="right"/>
    </xf>
    <xf numFmtId="164" fontId="22" fillId="4" borderId="13" applyAlignment="1" pivotButton="0" quotePrefix="0" xfId="0">
      <alignment horizontal="right"/>
    </xf>
    <xf numFmtId="164" fontId="22" fillId="4" borderId="0" pivotButton="0" quotePrefix="0" xfId="0"/>
    <xf numFmtId="164" fontId="30" fillId="4" borderId="13" applyAlignment="1" pivotButton="0" quotePrefix="0" xfId="0">
      <alignment horizontal="right"/>
    </xf>
    <xf numFmtId="164" fontId="61" fillId="4" borderId="0" applyAlignment="1" pivotButton="0" quotePrefix="0" xfId="0">
      <alignment horizontal="right"/>
    </xf>
    <xf numFmtId="164" fontId="61" fillId="12" borderId="0" applyAlignment="1" pivotButton="0" quotePrefix="0" xfId="0">
      <alignment horizontal="right"/>
    </xf>
    <xf numFmtId="169" fontId="35" fillId="4" borderId="0" applyAlignment="1" pivotButton="0" quotePrefix="0" xfId="0">
      <alignment horizontal="left" indent="1"/>
    </xf>
    <xf numFmtId="169" fontId="27" fillId="4" borderId="0" pivotButton="0" quotePrefix="0" xfId="16"/>
    <xf numFmtId="169" fontId="35" fillId="12" borderId="0" applyAlignment="1" pivotButton="0" quotePrefix="0" xfId="0">
      <alignment horizontal="right"/>
    </xf>
    <xf numFmtId="169" fontId="35" fillId="4" borderId="0" applyAlignment="1" pivotButton="0" quotePrefix="0" xfId="0">
      <alignment horizontal="right"/>
    </xf>
    <xf numFmtId="169" fontId="35" fillId="4" borderId="13" applyAlignment="1" pivotButton="0" quotePrefix="0" xfId="0">
      <alignment horizontal="right"/>
    </xf>
    <xf numFmtId="164" fontId="22" fillId="12" borderId="0" applyAlignment="1" pivotButton="0" quotePrefix="0" xfId="0">
      <alignment horizontal="right"/>
    </xf>
    <xf numFmtId="164" fontId="0" fillId="4" borderId="0" applyAlignment="1" pivotButton="0" quotePrefix="0" xfId="0">
      <alignment horizontal="left"/>
    </xf>
    <xf numFmtId="164" fontId="27" fillId="4" borderId="0" pivotButton="0" quotePrefix="0" xfId="16"/>
    <xf numFmtId="164" fontId="35" fillId="12" borderId="0" applyAlignment="1" pivotButton="0" quotePrefix="0" xfId="0">
      <alignment horizontal="right"/>
    </xf>
    <xf numFmtId="164" fontId="35" fillId="4" borderId="0" applyAlignment="1" pivotButton="0" quotePrefix="0" xfId="0">
      <alignment horizontal="right"/>
    </xf>
    <xf numFmtId="164" fontId="0" fillId="12" borderId="0" applyAlignment="1" pivotButton="0" quotePrefix="0" xfId="0">
      <alignment horizontal="right"/>
    </xf>
    <xf numFmtId="164" fontId="0" fillId="4" borderId="0" applyAlignment="1" pivotButton="0" quotePrefix="0" xfId="0">
      <alignment horizontal="right"/>
    </xf>
    <xf numFmtId="164" fontId="0" fillId="4" borderId="13" applyAlignment="1" pivotButton="0" quotePrefix="0" xfId="0">
      <alignment horizontal="right"/>
    </xf>
    <xf numFmtId="165" fontId="0" fillId="0" borderId="0" pivotButton="0" quotePrefix="0" xfId="0"/>
    <xf numFmtId="165" fontId="0" fillId="4" borderId="0" applyAlignment="1" pivotButton="0" quotePrefix="0" xfId="0">
      <alignment horizontal="left" indent="1"/>
    </xf>
    <xf numFmtId="165" fontId="27" fillId="4" borderId="0" pivotButton="0" quotePrefix="0" xfId="16"/>
    <xf numFmtId="165" fontId="35" fillId="12" borderId="0" applyAlignment="1" pivotButton="0" quotePrefix="0" xfId="0">
      <alignment horizontal="right"/>
    </xf>
    <xf numFmtId="165" fontId="35" fillId="4" borderId="0" applyAlignment="1" pivotButton="0" quotePrefix="0" xfId="0">
      <alignment horizontal="right"/>
    </xf>
    <xf numFmtId="165" fontId="0" fillId="12" borderId="0" applyAlignment="1" pivotButton="0" quotePrefix="0" xfId="0">
      <alignment horizontal="right"/>
    </xf>
    <xf numFmtId="165" fontId="0" fillId="4" borderId="0" applyAlignment="1" pivotButton="0" quotePrefix="0" xfId="0">
      <alignment horizontal="right"/>
    </xf>
    <xf numFmtId="165" fontId="35" fillId="4" borderId="13" applyAlignment="1" pivotButton="0" quotePrefix="0" xfId="0">
      <alignment horizontal="right"/>
    </xf>
    <xf numFmtId="165" fontId="0" fillId="4" borderId="0" pivotButton="0" quotePrefix="0" xfId="0"/>
    <xf numFmtId="169" fontId="35" fillId="4" borderId="0" applyAlignment="1" pivotButton="0" quotePrefix="0" xfId="0">
      <alignment horizontal="left"/>
    </xf>
    <xf numFmtId="169" fontId="0" fillId="4" borderId="0" applyAlignment="1" pivotButton="0" quotePrefix="0" xfId="0">
      <alignment horizontal="left"/>
    </xf>
    <xf numFmtId="169" fontId="10" fillId="0" borderId="0" pivotButton="0" quotePrefix="0" xfId="0"/>
    <xf numFmtId="169" fontId="10" fillId="4" borderId="0" pivotButton="0" quotePrefix="0" xfId="0"/>
    <xf numFmtId="165" fontId="7" fillId="0" borderId="0" pivotButton="0" quotePrefix="0" xfId="0"/>
    <xf numFmtId="165" fontId="7" fillId="4" borderId="0" pivotButton="0" quotePrefix="0" xfId="0"/>
    <xf numFmtId="176" fontId="7" fillId="0" borderId="0" pivotButton="0" quotePrefix="0" xfId="0"/>
    <xf numFmtId="176" fontId="7" fillId="4" borderId="0" applyAlignment="1" pivotButton="0" quotePrefix="0" xfId="0">
      <alignment horizontal="left"/>
    </xf>
    <xf numFmtId="176" fontId="32" fillId="4" borderId="0" pivotButton="0" quotePrefix="0" xfId="16"/>
    <xf numFmtId="176" fontId="31" fillId="12" borderId="0" applyAlignment="1" pivotButton="0" quotePrefix="0" xfId="0">
      <alignment horizontal="right"/>
    </xf>
    <xf numFmtId="176" fontId="31" fillId="4" borderId="0" applyAlignment="1" pivotButton="0" quotePrefix="0" xfId="0">
      <alignment horizontal="right"/>
    </xf>
    <xf numFmtId="176" fontId="7" fillId="12" borderId="0" applyAlignment="1" pivotButton="0" quotePrefix="0" xfId="0">
      <alignment horizontal="right"/>
    </xf>
    <xf numFmtId="176" fontId="7" fillId="4" borderId="0" applyAlignment="1" pivotButton="0" quotePrefix="0" xfId="0">
      <alignment horizontal="right"/>
    </xf>
    <xf numFmtId="176" fontId="7" fillId="4" borderId="13" applyAlignment="1" pivotButton="0" quotePrefix="0" xfId="0">
      <alignment horizontal="right"/>
    </xf>
    <xf numFmtId="176" fontId="7" fillId="4" borderId="0" pivotButton="0" quotePrefix="0" xfId="0"/>
    <xf numFmtId="176" fontId="22" fillId="0" borderId="0" pivotButton="0" quotePrefix="0" xfId="0"/>
    <xf numFmtId="176" fontId="22" fillId="4" borderId="0" applyAlignment="1" pivotButton="0" quotePrefix="0" xfId="0">
      <alignment horizontal="left" indent="1"/>
    </xf>
    <xf numFmtId="176" fontId="29" fillId="4" borderId="0" pivotButton="0" quotePrefix="0" xfId="16"/>
    <xf numFmtId="176" fontId="30" fillId="12" borderId="0" applyAlignment="1" pivotButton="0" quotePrefix="0" xfId="0">
      <alignment horizontal="right"/>
    </xf>
    <xf numFmtId="176" fontId="30" fillId="4" borderId="0" applyAlignment="1" pivotButton="0" quotePrefix="0" xfId="0">
      <alignment horizontal="right"/>
    </xf>
    <xf numFmtId="176" fontId="30" fillId="4" borderId="13" applyAlignment="1" pivotButton="0" quotePrefix="0" xfId="0">
      <alignment horizontal="right"/>
    </xf>
    <xf numFmtId="176" fontId="22" fillId="4" borderId="0" applyAlignment="1" pivotButton="0" quotePrefix="0" xfId="0">
      <alignment horizontal="right"/>
    </xf>
    <xf numFmtId="176" fontId="22" fillId="12" borderId="0" applyAlignment="1" pivotButton="0" quotePrefix="0" xfId="0">
      <alignment horizontal="right"/>
    </xf>
    <xf numFmtId="176" fontId="22" fillId="4" borderId="0" pivotButton="0" quotePrefix="0" xfId="0"/>
    <xf numFmtId="169" fontId="31" fillId="4" borderId="0" applyAlignment="1" pivotButton="0" quotePrefix="0" xfId="0">
      <alignment horizontal="left"/>
    </xf>
    <xf numFmtId="169" fontId="31" fillId="4" borderId="13" applyAlignment="1" pivotButton="0" quotePrefix="0" xfId="0">
      <alignment horizontal="right"/>
    </xf>
    <xf numFmtId="165" fontId="7" fillId="4" borderId="0" applyAlignment="1" pivotButton="0" quotePrefix="0" xfId="0">
      <alignment horizontal="left"/>
    </xf>
    <xf numFmtId="165" fontId="32" fillId="4" borderId="0" pivotButton="0" quotePrefix="0" xfId="16"/>
    <xf numFmtId="165" fontId="31" fillId="12" borderId="0" applyAlignment="1" pivotButton="0" quotePrefix="0" xfId="0">
      <alignment horizontal="right"/>
    </xf>
    <xf numFmtId="165" fontId="31" fillId="4" borderId="0" applyAlignment="1" pivotButton="0" quotePrefix="0" xfId="0">
      <alignment horizontal="right"/>
    </xf>
    <xf numFmtId="165" fontId="59" fillId="12" borderId="0" applyAlignment="1" pivotButton="0" quotePrefix="0" xfId="0">
      <alignment horizontal="right"/>
    </xf>
    <xf numFmtId="165" fontId="59" fillId="4" borderId="0" applyAlignment="1" pivotButton="0" quotePrefix="0" xfId="0">
      <alignment horizontal="right"/>
    </xf>
    <xf numFmtId="165" fontId="7" fillId="4" borderId="0" applyAlignment="1" pivotButton="0" quotePrefix="0" xfId="0">
      <alignment horizontal="right"/>
    </xf>
    <xf numFmtId="165" fontId="59" fillId="4" borderId="13" applyAlignment="1" pivotButton="0" quotePrefix="0" xfId="0">
      <alignment horizontal="right"/>
    </xf>
    <xf numFmtId="164" fontId="0" fillId="4" borderId="0" applyAlignment="1" pivotButton="0" quotePrefix="0" xfId="0">
      <alignment horizontal="left" indent="1"/>
    </xf>
    <xf numFmtId="164" fontId="60" fillId="12" borderId="0" applyAlignment="1" pivotButton="0" quotePrefix="0" xfId="0">
      <alignment horizontal="right"/>
    </xf>
    <xf numFmtId="164" fontId="60" fillId="4" borderId="0" applyAlignment="1" pivotButton="0" quotePrefix="0" xfId="0">
      <alignment horizontal="right"/>
    </xf>
    <xf numFmtId="164" fontId="60" fillId="4" borderId="13" applyAlignment="1" pivotButton="0" quotePrefix="0" xfId="0">
      <alignment horizontal="right"/>
    </xf>
    <xf numFmtId="164" fontId="35" fillId="4" borderId="13" applyAlignment="1" pivotButton="0" quotePrefix="0" xfId="0">
      <alignment horizontal="right"/>
    </xf>
    <xf numFmtId="169" fontId="35" fillId="4" borderId="0" applyAlignment="1" pivotButton="0" quotePrefix="0" xfId="0">
      <alignment horizontal="left" indent="4"/>
    </xf>
    <xf numFmtId="169" fontId="35" fillId="12" borderId="0" pivotButton="0" quotePrefix="0" xfId="0"/>
    <xf numFmtId="169" fontId="34" fillId="6" borderId="0" pivotButton="0" quotePrefix="0" xfId="0"/>
    <xf numFmtId="169" fontId="33" fillId="6" borderId="0" pivotButton="0" quotePrefix="0" xfId="0"/>
    <xf numFmtId="169" fontId="42" fillId="6" borderId="0" applyAlignment="1" pivotButton="0" quotePrefix="0" xfId="0">
      <alignment horizontal="center"/>
    </xf>
    <xf numFmtId="169" fontId="33" fillId="6" borderId="13" pivotButton="0" quotePrefix="0" xfId="0"/>
    <xf numFmtId="169" fontId="31" fillId="4" borderId="0" applyAlignment="1" pivotButton="0" quotePrefix="0" xfId="0">
      <alignment horizontal="left" indent="4"/>
    </xf>
    <xf numFmtId="169" fontId="31" fillId="12" borderId="0" pivotButton="0" quotePrefix="0" xfId="0"/>
    <xf numFmtId="169" fontId="31" fillId="4" borderId="0" pivotButton="0" quotePrefix="0" xfId="0"/>
    <xf numFmtId="169" fontId="7" fillId="12" borderId="0" pivotButton="0" quotePrefix="0" xfId="0"/>
    <xf numFmtId="169" fontId="7" fillId="4" borderId="13" pivotButton="0" quotePrefix="0" xfId="0"/>
    <xf numFmtId="169" fontId="0" fillId="4" borderId="0" applyAlignment="1" pivotButton="0" quotePrefix="0" xfId="0">
      <alignment horizontal="left" indent="1"/>
    </xf>
    <xf numFmtId="169" fontId="0" fillId="12" borderId="0" pivotButton="0" quotePrefix="0" xfId="0"/>
    <xf numFmtId="169" fontId="0" fillId="4" borderId="13" pivotButton="0" quotePrefix="0" xfId="0"/>
    <xf numFmtId="169" fontId="7" fillId="4" borderId="1" applyAlignment="1" pivotButton="0" quotePrefix="0" xfId="0">
      <alignment horizontal="left"/>
    </xf>
    <xf numFmtId="169" fontId="31" fillId="4" borderId="1" applyAlignment="1" pivotButton="0" quotePrefix="0" xfId="0">
      <alignment horizontal="left" indent="4"/>
    </xf>
    <xf numFmtId="169" fontId="31" fillId="12" borderId="1" pivotButton="0" quotePrefix="0" xfId="0"/>
    <xf numFmtId="169" fontId="31" fillId="4" borderId="1" pivotButton="0" quotePrefix="0" xfId="0"/>
    <xf numFmtId="169" fontId="7" fillId="12" borderId="1" pivotButton="0" quotePrefix="0" xfId="0"/>
    <xf numFmtId="169" fontId="7" fillId="4" borderId="1" pivotButton="0" quotePrefix="0" xfId="0"/>
    <xf numFmtId="169" fontId="7" fillId="4" borderId="19" pivotButton="0" quotePrefix="0" xfId="0"/>
    <xf numFmtId="164" fontId="30" fillId="4" borderId="0" applyAlignment="1" pivotButton="0" quotePrefix="0" xfId="0">
      <alignment horizontal="left" indent="4"/>
    </xf>
    <xf numFmtId="164" fontId="30" fillId="12" borderId="0" pivotButton="0" quotePrefix="0" xfId="0"/>
    <xf numFmtId="164" fontId="30" fillId="4" borderId="0" pivotButton="0" quotePrefix="0" xfId="0"/>
    <xf numFmtId="164" fontId="22" fillId="12" borderId="0" pivotButton="0" quotePrefix="0" xfId="0"/>
    <xf numFmtId="164" fontId="30" fillId="4" borderId="13" pivotButton="0" quotePrefix="0" xfId="0"/>
    <xf numFmtId="164" fontId="35" fillId="4" borderId="0" applyAlignment="1" pivotButton="0" quotePrefix="0" xfId="0">
      <alignment horizontal="left" indent="4"/>
    </xf>
    <xf numFmtId="164" fontId="35" fillId="12" borderId="0" pivotButton="0" quotePrefix="0" xfId="0"/>
    <xf numFmtId="164" fontId="35" fillId="4" borderId="0" pivotButton="0" quotePrefix="0" xfId="0"/>
    <xf numFmtId="164" fontId="0" fillId="12" borderId="0" pivotButton="0" quotePrefix="0" xfId="0"/>
    <xf numFmtId="164" fontId="0" fillId="4" borderId="13" pivotButton="0" quotePrefix="0" xfId="0"/>
    <xf numFmtId="165" fontId="35" fillId="4" borderId="0" applyAlignment="1" pivotButton="0" quotePrefix="0" xfId="0">
      <alignment horizontal="left" indent="1"/>
    </xf>
    <xf numFmtId="165" fontId="35" fillId="4" borderId="0" applyAlignment="1" pivotButton="0" quotePrefix="0" xfId="0">
      <alignment horizontal="left" indent="4"/>
    </xf>
    <xf numFmtId="165" fontId="35" fillId="12" borderId="0" pivotButton="0" quotePrefix="0" xfId="0"/>
    <xf numFmtId="165" fontId="35" fillId="4" borderId="0" pivotButton="0" quotePrefix="0" xfId="0"/>
    <xf numFmtId="165" fontId="35" fillId="4" borderId="13" pivotButton="0" quotePrefix="0" xfId="0"/>
    <xf numFmtId="164" fontId="35" fillId="4" borderId="0" applyAlignment="1" pivotButton="0" quotePrefix="0" xfId="0">
      <alignment horizontal="left" indent="2"/>
    </xf>
    <xf numFmtId="164" fontId="35" fillId="4" borderId="13" pivotButton="0" quotePrefix="0" xfId="0"/>
    <xf numFmtId="164" fontId="60" fillId="4" borderId="0" pivotButton="0" quotePrefix="0" xfId="0"/>
    <xf numFmtId="164" fontId="60" fillId="12" borderId="0" pivotButton="0" quotePrefix="0" xfId="0"/>
    <xf numFmtId="169" fontId="31" fillId="4" borderId="1" applyAlignment="1" pivotButton="0" quotePrefix="0" xfId="0">
      <alignment horizontal="left"/>
    </xf>
    <xf numFmtId="169" fontId="30" fillId="4" borderId="0" applyAlignment="1" pivotButton="0" quotePrefix="0" xfId="0">
      <alignment horizontal="left" indent="1"/>
    </xf>
    <xf numFmtId="169" fontId="30" fillId="4" borderId="0" applyAlignment="1" pivotButton="0" quotePrefix="0" xfId="0">
      <alignment horizontal="left" indent="4"/>
    </xf>
    <xf numFmtId="164" fontId="35" fillId="4" borderId="0" applyAlignment="1" pivotButton="0" quotePrefix="0" xfId="0">
      <alignment horizontal="left"/>
    </xf>
    <xf numFmtId="164" fontId="30" fillId="4" borderId="0" applyAlignment="1" pivotButton="0" quotePrefix="0" xfId="0">
      <alignment horizontal="left" indent="1"/>
    </xf>
    <xf numFmtId="165" fontId="60" fillId="4" borderId="0" pivotButton="0" quotePrefix="0" xfId="0"/>
    <xf numFmtId="165" fontId="60" fillId="12" borderId="0" pivotButton="0" quotePrefix="0" xfId="0"/>
    <xf numFmtId="169" fontId="35" fillId="4" borderId="1" applyAlignment="1" pivotButton="0" quotePrefix="0" xfId="0">
      <alignment horizontal="left"/>
    </xf>
    <xf numFmtId="169" fontId="35" fillId="4" borderId="1" applyAlignment="1" pivotButton="0" quotePrefix="0" xfId="0">
      <alignment horizontal="left" indent="4"/>
    </xf>
    <xf numFmtId="169" fontId="35" fillId="12" borderId="1" pivotButton="0" quotePrefix="0" xfId="0"/>
    <xf numFmtId="169" fontId="35" fillId="4" borderId="1" pivotButton="0" quotePrefix="0" xfId="0"/>
    <xf numFmtId="169" fontId="35" fillId="4" borderId="19" pivotButton="0" quotePrefix="0" xfId="0"/>
    <xf numFmtId="169" fontId="35" fillId="4" borderId="4" applyAlignment="1" pivotButton="0" quotePrefix="0" xfId="0">
      <alignment horizontal="left" indent="1"/>
    </xf>
    <xf numFmtId="169" fontId="35" fillId="4" borderId="4" applyAlignment="1" pivotButton="0" quotePrefix="0" xfId="0">
      <alignment horizontal="left" indent="4"/>
    </xf>
    <xf numFmtId="169" fontId="35" fillId="12" borderId="4" pivotButton="0" quotePrefix="0" xfId="0"/>
    <xf numFmtId="169" fontId="35" fillId="4" borderId="4" pivotButton="0" quotePrefix="0" xfId="0"/>
    <xf numFmtId="169" fontId="35" fillId="4" borderId="20" pivotButton="0" quotePrefix="0" xfId="0"/>
    <xf numFmtId="169" fontId="60" fillId="4" borderId="4" pivotButton="0" quotePrefix="0" xfId="0"/>
    <xf numFmtId="169" fontId="60" fillId="12" borderId="4" pivotButton="0" quotePrefix="0" xfId="0"/>
    <xf numFmtId="165" fontId="0" fillId="12" borderId="0" pivotButton="0" quotePrefix="0" xfId="0"/>
    <xf numFmtId="164" fontId="29" fillId="4" borderId="0" applyAlignment="1" pivotButton="0" quotePrefix="0" xfId="0">
      <alignment horizontal="left" indent="1"/>
    </xf>
    <xf numFmtId="169" fontId="22" fillId="4" borderId="0" applyAlignment="1" pivotButton="0" quotePrefix="0" xfId="0">
      <alignment horizontal="left"/>
    </xf>
    <xf numFmtId="169" fontId="30" fillId="12" borderId="0" pivotButton="0" quotePrefix="0" xfId="0"/>
    <xf numFmtId="169" fontId="30" fillId="4" borderId="0" pivotButton="0" quotePrefix="0" xfId="0"/>
    <xf numFmtId="169" fontId="30" fillId="4" borderId="13" pivotButton="0" quotePrefix="0" xfId="0"/>
    <xf numFmtId="169" fontId="60" fillId="12" borderId="0" pivotButton="0" quotePrefix="0" xfId="0"/>
    <xf numFmtId="169" fontId="60" fillId="4" borderId="0" pivotButton="0" quotePrefix="0" xfId="0"/>
    <xf numFmtId="169" fontId="60" fillId="4" borderId="13" pivotButton="0" quotePrefix="0" xfId="0"/>
    <xf numFmtId="169" fontId="31" fillId="4" borderId="19" pivotButton="0" quotePrefix="0" xfId="0"/>
    <xf numFmtId="183" fontId="0" fillId="0" borderId="0" pivotButton="0" quotePrefix="0" xfId="0"/>
    <xf numFmtId="183" fontId="2" fillId="4" borderId="0" applyAlignment="1" pivotButton="0" quotePrefix="0" xfId="16">
      <alignment horizontal="left" indent="1"/>
    </xf>
    <xf numFmtId="183" fontId="35" fillId="4" borderId="0" applyAlignment="1" pivotButton="0" quotePrefix="0" xfId="0">
      <alignment horizontal="left" indent="3"/>
    </xf>
    <xf numFmtId="183" fontId="35" fillId="12" borderId="0" pivotButton="0" quotePrefix="0" xfId="0"/>
    <xf numFmtId="183" fontId="35" fillId="4" borderId="0" pivotButton="0" quotePrefix="0" xfId="0"/>
    <xf numFmtId="183" fontId="60" fillId="4" borderId="0" pivotButton="0" quotePrefix="0" xfId="0"/>
    <xf numFmtId="183" fontId="60" fillId="12" borderId="0" pivotButton="0" quotePrefix="0" xfId="0"/>
    <xf numFmtId="183" fontId="60" fillId="4" borderId="13" pivotButton="0" quotePrefix="0" xfId="0"/>
    <xf numFmtId="183" fontId="0" fillId="4" borderId="0" pivotButton="0" quotePrefix="0" xfId="0"/>
    <xf numFmtId="183" fontId="35" fillId="4" borderId="13" pivotButton="0" quotePrefix="0" xfId="0"/>
    <xf numFmtId="183" fontId="7" fillId="0" borderId="0" pivotButton="0" quotePrefix="0" xfId="0"/>
    <xf numFmtId="183" fontId="3" fillId="4" borderId="1" pivotButton="0" quotePrefix="0" xfId="16"/>
    <xf numFmtId="183" fontId="31" fillId="4" borderId="1" applyAlignment="1" pivotButton="0" quotePrefix="0" xfId="0">
      <alignment horizontal="left" indent="3"/>
    </xf>
    <xf numFmtId="183" fontId="31" fillId="12" borderId="1" pivotButton="0" quotePrefix="0" xfId="0"/>
    <xf numFmtId="183" fontId="31" fillId="4" borderId="1" pivotButton="0" quotePrefix="0" xfId="0"/>
    <xf numFmtId="183" fontId="7" fillId="12" borderId="1" pivotButton="0" quotePrefix="0" xfId="0"/>
    <xf numFmtId="183" fontId="7" fillId="4" borderId="1" pivotButton="0" quotePrefix="0" xfId="0"/>
    <xf numFmtId="183" fontId="7" fillId="4" borderId="19" pivotButton="0" quotePrefix="0" xfId="0"/>
    <xf numFmtId="183" fontId="7" fillId="4" borderId="0" pivotButton="0" quotePrefix="0" xfId="0"/>
    <xf numFmtId="164" fontId="35" fillId="4" borderId="0" applyAlignment="1" pivotButton="0" quotePrefix="0" xfId="0">
      <alignment horizontal="left" indent="1"/>
    </xf>
    <xf numFmtId="183" fontId="0" fillId="4" borderId="0" applyAlignment="1" pivotButton="0" quotePrefix="0" xfId="0">
      <alignment horizontal="left"/>
    </xf>
    <xf numFmtId="183" fontId="27" fillId="4" borderId="0" pivotButton="0" quotePrefix="0" xfId="16"/>
    <xf numFmtId="183" fontId="35" fillId="12" borderId="0" applyAlignment="1" pivotButton="0" quotePrefix="0" xfId="0">
      <alignment horizontal="right"/>
    </xf>
    <xf numFmtId="183" fontId="35" fillId="4" borderId="0" applyAlignment="1" pivotButton="0" quotePrefix="0" xfId="0">
      <alignment horizontal="right"/>
    </xf>
    <xf numFmtId="183" fontId="60" fillId="12" borderId="0" applyAlignment="1" pivotButton="0" quotePrefix="0" xfId="0">
      <alignment horizontal="right"/>
    </xf>
    <xf numFmtId="183" fontId="60" fillId="4" borderId="0" applyAlignment="1" pivotButton="0" quotePrefix="0" xfId="0">
      <alignment horizontal="right"/>
    </xf>
    <xf numFmtId="183" fontId="60" fillId="4" borderId="13" applyAlignment="1" pivotButton="0" quotePrefix="0" xfId="0">
      <alignment horizontal="right"/>
    </xf>
    <xf numFmtId="165" fontId="0" fillId="4" borderId="0" applyAlignment="1" pivotButton="0" quotePrefix="0" xfId="0">
      <alignment horizontal="left"/>
    </xf>
    <xf numFmtId="165" fontId="60" fillId="12" borderId="0" applyAlignment="1" pivotButton="0" quotePrefix="0" xfId="0">
      <alignment horizontal="right"/>
    </xf>
    <xf numFmtId="183" fontId="35" fillId="4" borderId="0" applyAlignment="1" pivotButton="0" quotePrefix="0" xfId="0">
      <alignment horizontal="left"/>
    </xf>
    <xf numFmtId="183" fontId="35" fillId="4" borderId="13" applyAlignment="1" pivotButton="0" quotePrefix="0" xfId="0">
      <alignment horizontal="right"/>
    </xf>
    <xf numFmtId="169" fontId="60" fillId="12" borderId="0" applyAlignment="1" pivotButton="0" quotePrefix="0" xfId="0">
      <alignment horizontal="right"/>
    </xf>
    <xf numFmtId="169" fontId="60" fillId="4" borderId="0" applyAlignment="1" pivotButton="0" quotePrefix="0" xfId="0">
      <alignment horizontal="right"/>
    </xf>
    <xf numFmtId="169" fontId="60" fillId="4" borderId="13" applyAlignment="1" pivotButton="0" quotePrefix="0" xfId="0">
      <alignment horizontal="right"/>
    </xf>
    <xf numFmtId="165" fontId="60" fillId="4" borderId="0" applyAlignment="1" pivotButton="0" quotePrefix="0" xfId="0">
      <alignment horizontal="right"/>
    </xf>
    <xf numFmtId="165" fontId="60" fillId="4" borderId="13" applyAlignment="1" pivotButton="0" quotePrefix="0" xfId="0">
      <alignment horizontal="right"/>
    </xf>
    <xf numFmtId="165" fontId="35" fillId="4" borderId="0" applyAlignment="1" pivotButton="0" quotePrefix="0" xfId="0">
      <alignment horizontal="left"/>
    </xf>
    <xf numFmtId="165" fontId="7" fillId="4" borderId="1" applyAlignment="1" pivotButton="0" quotePrefix="0" xfId="0">
      <alignment horizontal="left"/>
    </xf>
    <xf numFmtId="165" fontId="32" fillId="4" borderId="1" pivotButton="0" quotePrefix="0" xfId="16"/>
    <xf numFmtId="165" fontId="31" fillId="12" borderId="1" applyAlignment="1" pivotButton="0" quotePrefix="0" xfId="0">
      <alignment horizontal="right"/>
    </xf>
    <xf numFmtId="165" fontId="31" fillId="4" borderId="1" applyAlignment="1" pivotButton="0" quotePrefix="0" xfId="0">
      <alignment horizontal="right"/>
    </xf>
    <xf numFmtId="165" fontId="59" fillId="12" borderId="1" applyAlignment="1" pivotButton="0" quotePrefix="0" xfId="0">
      <alignment horizontal="right"/>
    </xf>
    <xf numFmtId="165" fontId="31" fillId="4" borderId="19" applyAlignment="1" pivotButton="0" quotePrefix="0" xfId="0">
      <alignment horizontal="right"/>
    </xf>
    <xf numFmtId="165" fontId="7" fillId="12" borderId="1" applyAlignment="1" pivotButton="0" quotePrefix="0" xfId="0">
      <alignment horizontal="right"/>
    </xf>
    <xf numFmtId="164" fontId="7" fillId="0" borderId="0" pivotButton="0" quotePrefix="0" xfId="0"/>
    <xf numFmtId="164" fontId="7" fillId="4" borderId="1" applyAlignment="1" pivotButton="0" quotePrefix="0" xfId="0">
      <alignment horizontal="left"/>
    </xf>
    <xf numFmtId="164" fontId="32" fillId="4" borderId="1" pivotButton="0" quotePrefix="0" xfId="16"/>
    <xf numFmtId="164" fontId="31" fillId="12" borderId="1" applyAlignment="1" pivotButton="0" quotePrefix="0" xfId="0">
      <alignment horizontal="right"/>
    </xf>
    <xf numFmtId="164" fontId="31" fillId="4" borderId="1" applyAlignment="1" pivotButton="0" quotePrefix="0" xfId="0">
      <alignment horizontal="right"/>
    </xf>
    <xf numFmtId="164" fontId="7" fillId="12" borderId="1" applyAlignment="1" pivotButton="0" quotePrefix="0" xfId="0">
      <alignment horizontal="right"/>
    </xf>
    <xf numFmtId="164" fontId="31" fillId="4" borderId="19" applyAlignment="1" pivotButton="0" quotePrefix="0" xfId="0">
      <alignment horizontal="right"/>
    </xf>
    <xf numFmtId="164" fontId="7" fillId="4" borderId="0" pivotButton="0" quotePrefix="0" xfId="0"/>
    <xf numFmtId="164" fontId="35" fillId="4" borderId="4" applyAlignment="1" pivotButton="0" quotePrefix="0" xfId="0">
      <alignment horizontal="left" indent="1"/>
    </xf>
    <xf numFmtId="164" fontId="27" fillId="4" borderId="4" pivotButton="0" quotePrefix="0" xfId="16"/>
    <xf numFmtId="164" fontId="35" fillId="12" borderId="4" applyAlignment="1" pivotButton="0" quotePrefix="0" xfId="0">
      <alignment horizontal="right"/>
    </xf>
    <xf numFmtId="164" fontId="35" fillId="4" borderId="4" applyAlignment="1" pivotButton="0" quotePrefix="0" xfId="0">
      <alignment horizontal="right"/>
    </xf>
    <xf numFmtId="164" fontId="35" fillId="4" borderId="20" applyAlignment="1" pivotButton="0" quotePrefix="0" xfId="0">
      <alignment horizontal="right"/>
    </xf>
    <xf numFmtId="164" fontId="31" fillId="4" borderId="0" applyAlignment="1" pivotButton="0" quotePrefix="0" xfId="0">
      <alignment horizontal="left"/>
    </xf>
    <xf numFmtId="164" fontId="32" fillId="4" borderId="0" pivotButton="0" quotePrefix="0" xfId="16"/>
    <xf numFmtId="164" fontId="31" fillId="12" borderId="0" applyAlignment="1" pivotButton="0" quotePrefix="0" xfId="0">
      <alignment horizontal="right"/>
    </xf>
    <xf numFmtId="164" fontId="31" fillId="4" borderId="0" applyAlignment="1" pivotButton="0" quotePrefix="0" xfId="0">
      <alignment horizontal="right"/>
    </xf>
    <xf numFmtId="164" fontId="31" fillId="4" borderId="13" applyAlignment="1" pivotButton="0" quotePrefix="0" xfId="0">
      <alignment horizontal="right"/>
    </xf>
    <xf numFmtId="169" fontId="42" fillId="6" borderId="13" applyAlignment="1" pivotButton="0" quotePrefix="0" xfId="0">
      <alignment horizontal="center"/>
    </xf>
    <xf numFmtId="169" fontId="32" fillId="4" borderId="1" pivotButton="0" quotePrefix="0" xfId="16"/>
    <xf numFmtId="169" fontId="31" fillId="12" borderId="1" applyAlignment="1" pivotButton="0" quotePrefix="0" xfId="0">
      <alignment horizontal="right"/>
    </xf>
    <xf numFmtId="169" fontId="31" fillId="4" borderId="1" applyAlignment="1" pivotButton="0" quotePrefix="0" xfId="0">
      <alignment horizontal="right"/>
    </xf>
    <xf numFmtId="169" fontId="31" fillId="4" borderId="19" applyAlignment="1" pivotButton="0" quotePrefix="0" xfId="0">
      <alignment horizontal="right"/>
    </xf>
    <xf numFmtId="165" fontId="35" fillId="4" borderId="4" applyAlignment="1" pivotButton="0" quotePrefix="0" xfId="0">
      <alignment horizontal="left" indent="1"/>
    </xf>
    <xf numFmtId="165" fontId="27" fillId="4" borderId="4" pivotButton="0" quotePrefix="0" xfId="16"/>
    <xf numFmtId="165" fontId="35" fillId="12" borderId="4" applyAlignment="1" pivotButton="0" quotePrefix="0" xfId="0">
      <alignment horizontal="right"/>
    </xf>
    <xf numFmtId="165" fontId="35" fillId="4" borderId="4" applyAlignment="1" pivotButton="0" quotePrefix="0" xfId="0">
      <alignment horizontal="right"/>
    </xf>
    <xf numFmtId="165" fontId="60" fillId="4" borderId="4" applyAlignment="1" pivotButton="0" quotePrefix="0" xfId="0">
      <alignment horizontal="right"/>
    </xf>
    <xf numFmtId="165" fontId="60" fillId="4" borderId="20" applyAlignment="1" pivotButton="0" quotePrefix="0" xfId="0">
      <alignment horizontal="right"/>
    </xf>
    <xf numFmtId="165" fontId="31" fillId="4" borderId="0" applyAlignment="1" pivotButton="0" quotePrefix="0" xfId="0">
      <alignment horizontal="left"/>
    </xf>
    <xf numFmtId="165" fontId="31" fillId="4" borderId="13" applyAlignment="1" pivotButton="0" quotePrefix="0" xfId="0">
      <alignment horizontal="right"/>
    </xf>
    <xf numFmtId="183" fontId="0" fillId="12" borderId="0" applyAlignment="1" pivotButton="0" quotePrefix="0" xfId="0">
      <alignment horizontal="right"/>
    </xf>
    <xf numFmtId="183" fontId="0" fillId="4" borderId="0" applyAlignment="1" pivotButton="0" quotePrefix="0" xfId="0">
      <alignment horizontal="right"/>
    </xf>
    <xf numFmtId="169" fontId="31" fillId="4" borderId="13" pivotButton="0" quotePrefix="0" xfId="0"/>
    <xf numFmtId="169" fontId="59" fillId="4" borderId="13" pivotButton="0" quotePrefix="0" xfId="0"/>
    <xf numFmtId="164" fontId="30" fillId="0" borderId="0" pivotButton="0" quotePrefix="0" xfId="0"/>
    <xf numFmtId="164" fontId="32" fillId="4" borderId="4" applyAlignment="1" pivotButton="0" quotePrefix="0" xfId="0">
      <alignment horizontal="left" indent="2"/>
    </xf>
    <xf numFmtId="164" fontId="31" fillId="4" borderId="4" applyAlignment="1" pivotButton="0" quotePrefix="0" xfId="0">
      <alignment horizontal="left" indent="3"/>
    </xf>
    <xf numFmtId="164" fontId="31" fillId="12" borderId="4" pivotButton="0" quotePrefix="0" xfId="0"/>
    <xf numFmtId="164" fontId="31" fillId="4" borderId="4" pivotButton="0" quotePrefix="0" xfId="0"/>
    <xf numFmtId="164" fontId="32" fillId="4" borderId="4" pivotButton="0" quotePrefix="0" xfId="0"/>
    <xf numFmtId="164" fontId="31" fillId="4" borderId="20" pivotButton="0" quotePrefix="0" xfId="0"/>
    <xf numFmtId="164" fontId="31" fillId="4" borderId="4" applyAlignment="1" pivotButton="0" quotePrefix="0" xfId="0">
      <alignment horizontal="right"/>
    </xf>
    <xf numFmtId="164" fontId="31" fillId="12" borderId="4" applyAlignment="1" pivotButton="0" quotePrefix="0" xfId="0">
      <alignment horizontal="right"/>
    </xf>
    <xf numFmtId="164" fontId="32" fillId="4" borderId="0" applyAlignment="1" pivotButton="0" quotePrefix="0" xfId="0">
      <alignment horizontal="left" indent="1"/>
    </xf>
    <xf numFmtId="164" fontId="31" fillId="4" borderId="0" applyAlignment="1" pivotButton="0" quotePrefix="0" xfId="0">
      <alignment horizontal="left" indent="3"/>
    </xf>
    <xf numFmtId="164" fontId="31" fillId="12" borderId="0" pivotButton="0" quotePrefix="0" xfId="0"/>
    <xf numFmtId="164" fontId="31" fillId="4" borderId="0" pivotButton="0" quotePrefix="0" xfId="0"/>
    <xf numFmtId="164" fontId="32" fillId="4" borderId="0" pivotButton="0" quotePrefix="0" xfId="0"/>
    <xf numFmtId="164" fontId="31" fillId="4" borderId="13" pivotButton="0" quotePrefix="0" xfId="0"/>
    <xf numFmtId="164" fontId="32" fillId="4" borderId="4" applyAlignment="1" pivotButton="0" quotePrefix="0" xfId="0">
      <alignment horizontal="left" indent="1"/>
    </xf>
    <xf numFmtId="164" fontId="32" fillId="4" borderId="0" applyAlignment="1" pivotButton="0" quotePrefix="0" xfId="0">
      <alignment horizontal="left"/>
    </xf>
    <xf numFmtId="164" fontId="30" fillId="4" borderId="0" applyAlignment="1" pivotButton="0" quotePrefix="0" xfId="0">
      <alignment horizontal="left" indent="3"/>
    </xf>
    <xf numFmtId="164" fontId="29" fillId="4" borderId="0" pivotButton="0" quotePrefix="0" xfId="0"/>
    <xf numFmtId="169" fontId="31" fillId="4" borderId="0" applyAlignment="1" pivotButton="0" quotePrefix="0" xfId="0">
      <alignment horizontal="left" indent="3"/>
    </xf>
    <xf numFmtId="169" fontId="59" fillId="12" borderId="0" pivotButton="0" quotePrefix="0" xfId="0"/>
    <xf numFmtId="169" fontId="59" fillId="4" borderId="0" pivotButton="0" quotePrefix="0" xfId="0"/>
    <xf numFmtId="169" fontId="35" fillId="4" borderId="0" applyAlignment="1" pivotButton="0" quotePrefix="0" xfId="0">
      <alignment horizontal="left" indent="3"/>
    </xf>
    <xf numFmtId="169" fontId="31" fillId="4" borderId="1" applyAlignment="1" pivotButton="0" quotePrefix="0" xfId="0">
      <alignment horizontal="left" indent="3"/>
    </xf>
    <xf numFmtId="169" fontId="0" fillId="4" borderId="0" applyAlignment="1" pivotButton="0" quotePrefix="0" xfId="0">
      <alignment horizontal="left" indent="2"/>
    </xf>
    <xf numFmtId="169" fontId="0" fillId="4" borderId="4" applyAlignment="1" pivotButton="0" quotePrefix="0" xfId="0">
      <alignment horizontal="left" indent="2"/>
    </xf>
    <xf numFmtId="169" fontId="35" fillId="4" borderId="4" applyAlignment="1" pivotButton="0" quotePrefix="0" xfId="0">
      <alignment horizontal="left" indent="3"/>
    </xf>
    <xf numFmtId="169" fontId="0" fillId="4" borderId="4" applyAlignment="1" pivotButton="0" quotePrefix="0" xfId="0">
      <alignment horizontal="left" indent="1"/>
    </xf>
    <xf numFmtId="169" fontId="0" fillId="4" borderId="4" pivotButton="0" quotePrefix="0" xfId="0"/>
    <xf numFmtId="169" fontId="7" fillId="4" borderId="18" applyAlignment="1" pivotButton="0" quotePrefix="0" xfId="0">
      <alignment horizontal="left"/>
    </xf>
    <xf numFmtId="169" fontId="31" fillId="4" borderId="18" applyAlignment="1" pivotButton="0" quotePrefix="0" xfId="0">
      <alignment horizontal="left" indent="3"/>
    </xf>
    <xf numFmtId="169" fontId="31" fillId="12" borderId="18" pivotButton="0" quotePrefix="0" xfId="0"/>
    <xf numFmtId="169" fontId="31" fillId="4" borderId="18" pivotButton="0" quotePrefix="0" xfId="0"/>
    <xf numFmtId="169" fontId="7" fillId="12" borderId="18" pivotButton="0" quotePrefix="0" xfId="0"/>
    <xf numFmtId="169" fontId="7" fillId="4" borderId="18" pivotButton="0" quotePrefix="0" xfId="0"/>
    <xf numFmtId="169" fontId="7" fillId="4" borderId="28" pivotButton="0" quotePrefix="0" xfId="0"/>
    <xf numFmtId="169" fontId="27" fillId="2" borderId="0" pivotButton="0" quotePrefix="0" xfId="25"/>
    <xf numFmtId="169" fontId="27" fillId="2" borderId="0" applyAlignment="1" pivotButton="0" quotePrefix="0" xfId="25">
      <alignment horizontal="right"/>
    </xf>
    <xf numFmtId="169" fontId="27" fillId="2" borderId="13" applyAlignment="1" pivotButton="0" quotePrefix="0" xfId="25">
      <alignment horizontal="right"/>
    </xf>
    <xf numFmtId="169" fontId="30" fillId="0" borderId="0" pivotButton="0" quotePrefix="0" xfId="0"/>
    <xf numFmtId="169" fontId="29" fillId="4" borderId="0" applyAlignment="1" pivotButton="0" quotePrefix="0" xfId="0">
      <alignment horizontal="left" indent="1"/>
    </xf>
    <xf numFmtId="169" fontId="30" fillId="4" borderId="0" applyAlignment="1" pivotButton="0" quotePrefix="0" xfId="0">
      <alignment horizontal="left" indent="3"/>
    </xf>
    <xf numFmtId="169" fontId="29" fillId="4" borderId="0" pivotButton="0" quotePrefix="0" xfId="0"/>
    <xf numFmtId="169" fontId="27" fillId="4" borderId="0" applyAlignment="1" pivotButton="0" quotePrefix="0" xfId="0">
      <alignment horizontal="left" indent="1"/>
    </xf>
    <xf numFmtId="169" fontId="27" fillId="4" borderId="0" pivotButton="0" quotePrefix="0" xfId="0"/>
    <xf numFmtId="169" fontId="27" fillId="4" borderId="0" applyAlignment="1" pivotButton="0" quotePrefix="0" xfId="0">
      <alignment horizontal="left" indent="2"/>
    </xf>
    <xf numFmtId="169" fontId="27" fillId="4" borderId="4" applyAlignment="1" pivotButton="0" quotePrefix="0" xfId="0">
      <alignment horizontal="left" indent="2"/>
    </xf>
    <xf numFmtId="169" fontId="27" fillId="4" borderId="4" pivotButton="0" quotePrefix="0" xfId="0"/>
    <xf numFmtId="169" fontId="35" fillId="4" borderId="4" applyAlignment="1" pivotButton="0" quotePrefix="0" xfId="0">
      <alignment horizontal="right"/>
    </xf>
    <xf numFmtId="169" fontId="35" fillId="12" borderId="4" applyAlignment="1" pivotButton="0" quotePrefix="0" xfId="0">
      <alignment horizontal="right"/>
    </xf>
    <xf numFmtId="169" fontId="32" fillId="4" borderId="0" applyAlignment="1" pivotButton="0" quotePrefix="0" xfId="0">
      <alignment horizontal="left"/>
    </xf>
    <xf numFmtId="169" fontId="32" fillId="4" borderId="0" pivotButton="0" quotePrefix="0" xfId="0"/>
    <xf numFmtId="169" fontId="27" fillId="4" borderId="4" applyAlignment="1" pivotButton="0" quotePrefix="0" xfId="0">
      <alignment horizontal="left" indent="1"/>
    </xf>
    <xf numFmtId="169" fontId="60" fillId="4" borderId="4" applyAlignment="1" pivotButton="0" quotePrefix="0" xfId="0">
      <alignment horizontal="right"/>
    </xf>
    <xf numFmtId="169" fontId="60" fillId="12" borderId="4" applyAlignment="1" pivotButton="0" quotePrefix="0" xfId="0">
      <alignment horizontal="right"/>
    </xf>
    <xf numFmtId="169" fontId="27" fillId="4" borderId="0" applyAlignment="1" pivotButton="0" quotePrefix="0" xfId="0">
      <alignment horizontal="right"/>
    </xf>
    <xf numFmtId="169" fontId="27" fillId="4" borderId="4" applyAlignment="1" pivotButton="0" quotePrefix="0" xfId="0">
      <alignment horizontal="right"/>
    </xf>
    <xf numFmtId="169" fontId="35" fillId="4" borderId="20" applyAlignment="1" pivotButton="0" quotePrefix="0" xfId="0">
      <alignment horizontal="right"/>
    </xf>
    <xf numFmtId="169" fontId="40" fillId="0" borderId="0" pivotButton="0" quotePrefix="0" xfId="0"/>
    <xf numFmtId="169" fontId="32" fillId="4" borderId="1" applyAlignment="1" pivotButton="0" quotePrefix="0" xfId="0">
      <alignment horizontal="left"/>
    </xf>
    <xf numFmtId="169" fontId="32" fillId="4" borderId="1" pivotButton="0" quotePrefix="0" xfId="0"/>
    <xf numFmtId="169" fontId="40" fillId="4" borderId="0" pivotButton="0" quotePrefix="0" xfId="0"/>
    <xf numFmtId="169" fontId="32" fillId="4" borderId="4" applyAlignment="1" pivotButton="0" quotePrefix="0" xfId="0">
      <alignment horizontal="left"/>
    </xf>
    <xf numFmtId="169" fontId="31" fillId="4" borderId="4" applyAlignment="1" pivotButton="0" quotePrefix="0" xfId="0">
      <alignment horizontal="left" indent="3"/>
    </xf>
    <xf numFmtId="169" fontId="31" fillId="12" borderId="4" pivotButton="0" quotePrefix="0" xfId="0"/>
    <xf numFmtId="169" fontId="31" fillId="4" borderId="4" pivotButton="0" quotePrefix="0" xfId="0"/>
    <xf numFmtId="169" fontId="32" fillId="4" borderId="4" pivotButton="0" quotePrefix="0" xfId="0"/>
    <xf numFmtId="169" fontId="31" fillId="4" borderId="20" pivotButton="0" quotePrefix="0" xfId="0"/>
    <xf numFmtId="169" fontId="31" fillId="4" borderId="4" applyAlignment="1" pivotButton="0" quotePrefix="0" xfId="0">
      <alignment horizontal="right"/>
    </xf>
    <xf numFmtId="169" fontId="31" fillId="12" borderId="4" applyAlignment="1" pivotButton="0" quotePrefix="0" xfId="0">
      <alignment horizontal="right"/>
    </xf>
    <xf numFmtId="164" fontId="59" fillId="4" borderId="0" applyAlignment="1" pivotButton="0" quotePrefix="0" xfId="0">
      <alignment horizontal="right"/>
    </xf>
    <xf numFmtId="164" fontId="59" fillId="12" borderId="0" applyAlignment="1" pivotButton="0" quotePrefix="0" xfId="0">
      <alignment horizontal="right"/>
    </xf>
    <xf numFmtId="164" fontId="32" fillId="4" borderId="0" applyAlignment="1" pivotButton="0" quotePrefix="0" xfId="0">
      <alignment horizontal="right"/>
    </xf>
    <xf numFmtId="168" fontId="7" fillId="0" borderId="0" pivotButton="0" quotePrefix="0" xfId="0"/>
    <xf numFmtId="168" fontId="3" fillId="4" borderId="0" pivotButton="0" quotePrefix="0" xfId="16"/>
    <xf numFmtId="168" fontId="31" fillId="4" borderId="0" applyAlignment="1" pivotButton="0" quotePrefix="0" xfId="0">
      <alignment horizontal="left" indent="3"/>
    </xf>
    <xf numFmtId="168" fontId="31" fillId="12" borderId="0" pivotButton="0" quotePrefix="0" xfId="0"/>
    <xf numFmtId="168" fontId="31" fillId="4" borderId="0" pivotButton="0" quotePrefix="0" xfId="0"/>
    <xf numFmtId="168" fontId="7" fillId="12" borderId="0" pivotButton="0" quotePrefix="0" xfId="0"/>
    <xf numFmtId="168" fontId="7" fillId="4" borderId="0" pivotButton="0" quotePrefix="0" xfId="0"/>
    <xf numFmtId="168" fontId="7" fillId="4" borderId="13" pivotButton="0" quotePrefix="0" xfId="0"/>
    <xf numFmtId="168" fontId="30" fillId="0" borderId="0" pivotButton="0" quotePrefix="0" xfId="0"/>
    <xf numFmtId="168" fontId="29" fillId="4" borderId="0" applyAlignment="1" pivotButton="0" quotePrefix="0" xfId="0">
      <alignment horizontal="left" indent="1"/>
    </xf>
    <xf numFmtId="168" fontId="30" fillId="4" borderId="0" applyAlignment="1" pivotButton="0" quotePrefix="0" xfId="0">
      <alignment horizontal="left" indent="3"/>
    </xf>
    <xf numFmtId="168" fontId="30" fillId="12" borderId="0" pivotButton="0" quotePrefix="0" xfId="0"/>
    <xf numFmtId="168" fontId="30" fillId="4" borderId="0" pivotButton="0" quotePrefix="0" xfId="0"/>
    <xf numFmtId="168" fontId="29" fillId="4" borderId="0" pivotButton="0" quotePrefix="0" xfId="0"/>
    <xf numFmtId="168" fontId="30" fillId="4" borderId="13" pivotButton="0" quotePrefix="0" xfId="0"/>
    <xf numFmtId="168" fontId="30" fillId="4" borderId="0" applyAlignment="1" pivotButton="0" quotePrefix="0" xfId="0">
      <alignment horizontal="right"/>
    </xf>
    <xf numFmtId="168" fontId="30" fillId="12" borderId="0" applyAlignment="1" pivotButton="0" quotePrefix="0" xfId="0">
      <alignment horizontal="right"/>
    </xf>
    <xf numFmtId="165" fontId="35" fillId="4" borderId="0" applyAlignment="1" pivotButton="0" quotePrefix="0" xfId="0">
      <alignment horizontal="left" indent="2"/>
    </xf>
    <xf numFmtId="165" fontId="35" fillId="4" borderId="4" applyAlignment="1" pivotButton="0" quotePrefix="0" xfId="0">
      <alignment horizontal="left" indent="2"/>
    </xf>
    <xf numFmtId="169" fontId="60" fillId="4" borderId="20" pivotButton="0" quotePrefix="0" xfId="0"/>
    <xf numFmtId="165" fontId="30" fillId="4" borderId="0" applyAlignment="1" pivotButton="0" quotePrefix="0" xfId="0">
      <alignment horizontal="left" indent="1"/>
    </xf>
    <xf numFmtId="164" fontId="61" fillId="4" borderId="0" pivotButton="0" quotePrefix="0" xfId="0"/>
    <xf numFmtId="164" fontId="61" fillId="12" borderId="0" pivotButton="0" quotePrefix="0" xfId="0"/>
    <xf numFmtId="165" fontId="30" fillId="4" borderId="4" applyAlignment="1" pivotButton="0" quotePrefix="0" xfId="0">
      <alignment horizontal="left" indent="1"/>
    </xf>
    <xf numFmtId="169" fontId="30" fillId="4" borderId="4" applyAlignment="1" pivotButton="0" quotePrefix="0" xfId="0">
      <alignment horizontal="left" indent="3"/>
    </xf>
    <xf numFmtId="164" fontId="30" fillId="12" borderId="4" pivotButton="0" quotePrefix="0" xfId="0"/>
    <xf numFmtId="164" fontId="30" fillId="4" borderId="4" pivotButton="0" quotePrefix="0" xfId="0"/>
    <xf numFmtId="164" fontId="30" fillId="4" borderId="20" pivotButton="0" quotePrefix="0" xfId="0"/>
    <xf numFmtId="165" fontId="30" fillId="4" borderId="0" applyAlignment="1" pivotButton="0" quotePrefix="0" xfId="0">
      <alignment horizontal="left"/>
    </xf>
    <xf numFmtId="164" fontId="22" fillId="4" borderId="13" pivotButton="0" quotePrefix="0" xfId="0"/>
    <xf numFmtId="181" fontId="0" fillId="0" borderId="0" pivotButton="0" quotePrefix="0" xfId="0"/>
    <xf numFmtId="181" fontId="35" fillId="4" borderId="0" applyAlignment="1" pivotButton="0" quotePrefix="0" xfId="0">
      <alignment horizontal="left" indent="1"/>
    </xf>
    <xf numFmtId="181" fontId="35" fillId="4" borderId="0" applyAlignment="1" pivotButton="0" quotePrefix="0" xfId="0">
      <alignment horizontal="left" indent="3"/>
    </xf>
    <xf numFmtId="181" fontId="35" fillId="12" borderId="0" pivotButton="0" quotePrefix="0" xfId="0"/>
    <xf numFmtId="181" fontId="35" fillId="4" borderId="0" pivotButton="0" quotePrefix="0" xfId="0"/>
    <xf numFmtId="181" fontId="60" fillId="4" borderId="0" pivotButton="0" quotePrefix="0" xfId="0"/>
    <xf numFmtId="181" fontId="60" fillId="4" borderId="13" pivotButton="0" quotePrefix="0" xfId="0"/>
    <xf numFmtId="181" fontId="0" fillId="4" borderId="0" pivotButton="0" quotePrefix="0" xfId="0"/>
    <xf numFmtId="171" fontId="0" fillId="0" borderId="0" pivotButton="0" quotePrefix="0" xfId="0"/>
    <xf numFmtId="171" fontId="35" fillId="4" borderId="0" applyAlignment="1" pivotButton="0" quotePrefix="0" xfId="0">
      <alignment horizontal="left"/>
    </xf>
    <xf numFmtId="171" fontId="35" fillId="4" borderId="0" applyAlignment="1" pivotButton="0" quotePrefix="0" xfId="0">
      <alignment horizontal="left" indent="3"/>
    </xf>
    <xf numFmtId="171" fontId="35" fillId="12" borderId="0" pivotButton="0" quotePrefix="0" xfId="0"/>
    <xf numFmtId="171" fontId="35" fillId="4" borderId="0" pivotButton="0" quotePrefix="0" xfId="0"/>
    <xf numFmtId="171" fontId="35" fillId="4" borderId="13" pivotButton="0" quotePrefix="0" xfId="0"/>
    <xf numFmtId="171" fontId="0" fillId="4" borderId="0" pivotButton="0" quotePrefix="0" xfId="0"/>
    <xf numFmtId="182" fontId="0" fillId="0" borderId="0" pivotButton="0" quotePrefix="0" xfId="0"/>
    <xf numFmtId="182" fontId="30" fillId="4" borderId="0" applyAlignment="1" pivotButton="0" quotePrefix="0" xfId="0">
      <alignment horizontal="left" indent="1"/>
    </xf>
    <xf numFmtId="182" fontId="30" fillId="4" borderId="0" applyAlignment="1" pivotButton="0" quotePrefix="0" xfId="0">
      <alignment horizontal="left" indent="3"/>
    </xf>
    <xf numFmtId="182" fontId="30" fillId="12" borderId="0" pivotButton="0" quotePrefix="0" xfId="0"/>
    <xf numFmtId="182" fontId="30" fillId="4" borderId="0" pivotButton="0" quotePrefix="0" xfId="0"/>
    <xf numFmtId="182" fontId="22" fillId="12" borderId="0" pivotButton="0" quotePrefix="0" xfId="0"/>
    <xf numFmtId="182" fontId="22" fillId="4" borderId="0" pivotButton="0" quotePrefix="0" xfId="0"/>
    <xf numFmtId="182" fontId="22" fillId="4" borderId="13" pivotButton="0" quotePrefix="0" xfId="0"/>
    <xf numFmtId="182" fontId="61" fillId="4" borderId="0" pivotButton="0" quotePrefix="0" xfId="0"/>
    <xf numFmtId="182" fontId="61" fillId="12" borderId="0" pivotButton="0" quotePrefix="0" xfId="0"/>
    <xf numFmtId="182" fontId="0" fillId="4" borderId="0" pivotButton="0" quotePrefix="0" xfId="0"/>
    <xf numFmtId="168" fontId="32" fillId="4" borderId="0" applyAlignment="1" pivotButton="0" quotePrefix="0" xfId="0">
      <alignment horizontal="left"/>
    </xf>
    <xf numFmtId="168" fontId="31" fillId="12" borderId="0" applyAlignment="1" pivotButton="0" quotePrefix="0" xfId="16">
      <alignment horizontal="right" indent="1"/>
    </xf>
    <xf numFmtId="168" fontId="31" fillId="12" borderId="0" pivotButton="0" quotePrefix="0" xfId="16"/>
    <xf numFmtId="168" fontId="31" fillId="4" borderId="0" pivotButton="0" quotePrefix="0" xfId="16"/>
    <xf numFmtId="168" fontId="31" fillId="4" borderId="13" pivotButton="0" quotePrefix="0" xfId="16"/>
    <xf numFmtId="168" fontId="29" fillId="4" borderId="0" pivotButton="0" quotePrefix="0" xfId="16"/>
    <xf numFmtId="169" fontId="3" fillId="4" borderId="0" pivotButton="0" quotePrefix="0" xfId="0"/>
    <xf numFmtId="166" fontId="0" fillId="0" borderId="0" pivotButton="0" quotePrefix="0" xfId="0"/>
    <xf numFmtId="166" fontId="2" fillId="4" borderId="0" pivotButton="0" quotePrefix="0" xfId="16"/>
    <xf numFmtId="166" fontId="35" fillId="4" borderId="0" applyAlignment="1" pivotButton="0" quotePrefix="0" xfId="0">
      <alignment horizontal="left" indent="3"/>
    </xf>
    <xf numFmtId="166" fontId="35" fillId="12" borderId="0" pivotButton="0" quotePrefix="0" xfId="0"/>
    <xf numFmtId="166" fontId="35" fillId="4" borderId="0" pivotButton="0" quotePrefix="0" xfId="0"/>
    <xf numFmtId="166" fontId="0" fillId="12" borderId="0" pivotButton="0" quotePrefix="0" xfId="0"/>
    <xf numFmtId="166" fontId="60" fillId="4" borderId="0" pivotButton="0" quotePrefix="0" xfId="0"/>
    <xf numFmtId="166" fontId="60" fillId="4" borderId="13" pivotButton="0" quotePrefix="0" xfId="0"/>
    <xf numFmtId="166" fontId="60" fillId="12" borderId="0" pivotButton="0" quotePrefix="0" xfId="0"/>
    <xf numFmtId="166" fontId="0" fillId="4" borderId="0" pivotButton="0" quotePrefix="0" xfId="0"/>
    <xf numFmtId="166" fontId="27" fillId="4" borderId="0" pivotButton="0" quotePrefix="0" xfId="16"/>
    <xf numFmtId="166" fontId="35" fillId="4" borderId="13" pivotButton="0" quotePrefix="0" xfId="0"/>
    <xf numFmtId="176" fontId="0" fillId="0" borderId="0" pivotButton="0" quotePrefix="0" xfId="0"/>
    <xf numFmtId="176" fontId="3" fillId="4" borderId="0" pivotButton="0" quotePrefix="0" xfId="16"/>
    <xf numFmtId="176" fontId="35" fillId="4" borderId="0" applyAlignment="1" pivotButton="0" quotePrefix="0" xfId="0">
      <alignment horizontal="left" indent="3"/>
    </xf>
    <xf numFmtId="176" fontId="31" fillId="12" borderId="0" pivotButton="0" quotePrefix="0" xfId="0"/>
    <xf numFmtId="176" fontId="31" fillId="4" borderId="0" pivotButton="0" quotePrefix="0" xfId="0"/>
    <xf numFmtId="176" fontId="31" fillId="4" borderId="13" pivotButton="0" quotePrefix="0" xfId="0"/>
    <xf numFmtId="176" fontId="59" fillId="4" borderId="0" pivotButton="0" quotePrefix="0" xfId="0"/>
    <xf numFmtId="176" fontId="59" fillId="12" borderId="0" pivotButton="0" quotePrefix="0" xfId="0"/>
    <xf numFmtId="176" fontId="0" fillId="4" borderId="0" pivotButton="0" quotePrefix="0" xfId="0"/>
    <xf numFmtId="166" fontId="32" fillId="4" borderId="0" pivotButton="0" quotePrefix="0" xfId="16"/>
    <xf numFmtId="166" fontId="31" fillId="12" borderId="0" pivotButton="0" quotePrefix="0" xfId="0"/>
    <xf numFmtId="166" fontId="31" fillId="4" borderId="0" pivotButton="0" quotePrefix="0" xfId="0"/>
    <xf numFmtId="166" fontId="31" fillId="4" borderId="13" pivotButton="0" quotePrefix="0" xfId="0"/>
    <xf numFmtId="164" fontId="5" fillId="4" borderId="0" applyAlignment="1" pivotButton="0" quotePrefix="0" xfId="16">
      <alignment horizontal="left" indent="1"/>
    </xf>
    <xf numFmtId="169" fontId="0" fillId="4" borderId="1" pivotButton="0" quotePrefix="0" xfId="0"/>
    <xf numFmtId="169" fontId="35" fillId="4" borderId="1" applyAlignment="1" pivotButton="0" quotePrefix="0" xfId="0">
      <alignment horizontal="left" indent="3"/>
    </xf>
    <xf numFmtId="169" fontId="0" fillId="12" borderId="1" pivotButton="0" quotePrefix="0" xfId="0"/>
    <xf numFmtId="169" fontId="0" fillId="4" borderId="19" pivotButton="0" quotePrefix="0" xfId="0"/>
    <xf numFmtId="174" fontId="31" fillId="12" borderId="0" applyAlignment="1" pivotButton="0" quotePrefix="0" xfId="0">
      <alignment horizontal="right"/>
    </xf>
    <xf numFmtId="174" fontId="31" fillId="4" borderId="0" applyAlignment="1" pivotButton="0" quotePrefix="0" xfId="0">
      <alignment horizontal="right"/>
    </xf>
    <xf numFmtId="174" fontId="31" fillId="4" borderId="13" applyAlignment="1" pivotButton="0" quotePrefix="0" xfId="0">
      <alignment horizontal="right"/>
    </xf>
    <xf numFmtId="174" fontId="7" fillId="0" borderId="0" pivotButton="0" quotePrefix="0" xfId="0"/>
    <xf numFmtId="174" fontId="3" fillId="4" borderId="0" pivotButton="0" quotePrefix="0" xfId="0"/>
    <xf numFmtId="174" fontId="31" fillId="4" borderId="0" applyAlignment="1" pivotButton="0" quotePrefix="0" xfId="0">
      <alignment horizontal="left" indent="3"/>
    </xf>
    <xf numFmtId="174" fontId="31" fillId="4" borderId="0" pivotButton="0" quotePrefix="0" xfId="0"/>
    <xf numFmtId="174" fontId="7" fillId="12" borderId="0" applyAlignment="1" pivotButton="0" quotePrefix="0" xfId="0">
      <alignment horizontal="right"/>
    </xf>
    <xf numFmtId="174" fontId="7" fillId="4" borderId="0" pivotButton="0" quotePrefix="0" xfId="0"/>
    <xf numFmtId="170" fontId="7" fillId="0" borderId="0" pivotButton="0" quotePrefix="0" xfId="0"/>
    <xf numFmtId="187" fontId="7" fillId="4" borderId="0" pivotButton="0" quotePrefix="0" xfId="0"/>
    <xf numFmtId="170" fontId="59" fillId="4" borderId="0" pivotButton="0" quotePrefix="0" xfId="0"/>
    <xf numFmtId="180" fontId="31" fillId="12" borderId="0" pivotButton="0" quotePrefix="0" xfId="0"/>
    <xf numFmtId="180" fontId="31" fillId="4" borderId="0" pivotButton="0" quotePrefix="0" xfId="0"/>
    <xf numFmtId="180" fontId="31" fillId="4" borderId="13" pivotButton="0" quotePrefix="0" xfId="0"/>
    <xf numFmtId="180" fontId="7" fillId="4" borderId="0" pivotButton="0" quotePrefix="0" xfId="0"/>
    <xf numFmtId="174" fontId="0" fillId="0" borderId="0" pivotButton="0" quotePrefix="0" xfId="0"/>
    <xf numFmtId="174" fontId="27" fillId="4" borderId="0" pivotButton="0" quotePrefix="0" xfId="0"/>
    <xf numFmtId="174" fontId="35" fillId="4" borderId="0" applyAlignment="1" pivotButton="0" quotePrefix="0" xfId="0">
      <alignment horizontal="left" indent="3"/>
    </xf>
    <xf numFmtId="174" fontId="35" fillId="12" borderId="0" applyAlignment="1" pivotButton="0" quotePrefix="0" xfId="0">
      <alignment horizontal="right"/>
    </xf>
    <xf numFmtId="174" fontId="35" fillId="4" borderId="0" applyAlignment="1" pivotButton="0" quotePrefix="0" xfId="0">
      <alignment horizontal="right"/>
    </xf>
    <xf numFmtId="174" fontId="35" fillId="4" borderId="0" pivotButton="0" quotePrefix="0" xfId="0"/>
    <xf numFmtId="174" fontId="35" fillId="4" borderId="13" applyAlignment="1" pivotButton="0" quotePrefix="0" xfId="0">
      <alignment horizontal="right"/>
    </xf>
    <xf numFmtId="174" fontId="0" fillId="4" borderId="0" pivotButton="0" quotePrefix="0" xfId="0"/>
    <xf numFmtId="174" fontId="2" fillId="4" borderId="0" pivotButton="0" quotePrefix="0" xfId="0"/>
    <xf numFmtId="170" fontId="0" fillId="0" borderId="0" pivotButton="0" quotePrefix="0" xfId="0"/>
    <xf numFmtId="170" fontId="0" fillId="4" borderId="0" applyAlignment="1" pivotButton="0" quotePrefix="0" xfId="0">
      <alignment horizontal="left" indent="1"/>
    </xf>
    <xf numFmtId="170" fontId="27" fillId="4" borderId="0" pivotButton="0" quotePrefix="0" xfId="16"/>
    <xf numFmtId="170" fontId="35" fillId="12" borderId="0" applyAlignment="1" pivotButton="0" quotePrefix="0" xfId="0">
      <alignment horizontal="right"/>
    </xf>
    <xf numFmtId="170" fontId="35" fillId="4" borderId="0" applyAlignment="1" pivotButton="0" quotePrefix="0" xfId="0">
      <alignment horizontal="right"/>
    </xf>
    <xf numFmtId="170" fontId="35" fillId="4" borderId="13" applyAlignment="1" pivotButton="0" quotePrefix="0" xfId="0">
      <alignment horizontal="right"/>
    </xf>
    <xf numFmtId="170" fontId="35" fillId="12" borderId="0" pivotButton="0" quotePrefix="0" xfId="0"/>
    <xf numFmtId="170" fontId="0" fillId="4" borderId="0" pivotButton="0" quotePrefix="0" xfId="0"/>
    <xf numFmtId="175" fontId="35" fillId="12" borderId="0" applyAlignment="1" pivotButton="0" quotePrefix="0" xfId="0">
      <alignment horizontal="right"/>
    </xf>
    <xf numFmtId="175" fontId="35" fillId="4" borderId="0" applyAlignment="1" pivotButton="0" quotePrefix="0" xfId="0">
      <alignment horizontal="right"/>
    </xf>
    <xf numFmtId="175" fontId="35" fillId="4" borderId="13" applyAlignment="1" pivotButton="0" quotePrefix="0" xfId="0">
      <alignment horizontal="right"/>
    </xf>
    <xf numFmtId="175" fontId="35" fillId="12" borderId="0" pivotButton="0" quotePrefix="0" xfId="0"/>
    <xf numFmtId="171" fontId="0" fillId="4" borderId="0" applyAlignment="1" pivotButton="0" quotePrefix="0" xfId="0">
      <alignment horizontal="left" indent="1"/>
    </xf>
    <xf numFmtId="171" fontId="27" fillId="4" borderId="0" pivotButton="0" quotePrefix="0" xfId="16"/>
    <xf numFmtId="171" fontId="35" fillId="12" borderId="0" applyAlignment="1" pivotButton="0" quotePrefix="0" xfId="0">
      <alignment horizontal="right"/>
    </xf>
    <xf numFmtId="171" fontId="35" fillId="4" borderId="0" applyAlignment="1" pivotButton="0" quotePrefix="0" xfId="0">
      <alignment horizontal="right"/>
    </xf>
    <xf numFmtId="171" fontId="35" fillId="4" borderId="13" applyAlignment="1" pivotButton="0" quotePrefix="0" xfId="0">
      <alignment horizontal="right"/>
    </xf>
    <xf numFmtId="169" fontId="7" fillId="4" borderId="0" applyAlignment="1" pivotButton="0" quotePrefix="0" xfId="0">
      <alignment horizontal="left" indent="1"/>
    </xf>
    <xf numFmtId="169" fontId="35" fillId="4" borderId="0" applyAlignment="1" pivotButton="0" quotePrefix="0" xfId="0">
      <alignment horizontal="left" indent="2"/>
    </xf>
    <xf numFmtId="169" fontId="0" fillId="4" borderId="1" applyAlignment="1" pivotButton="0" quotePrefix="0" xfId="0">
      <alignment horizontal="left" indent="1"/>
    </xf>
    <xf numFmtId="169" fontId="60" fillId="4" borderId="1" pivotButton="0" quotePrefix="0" xfId="0"/>
    <xf numFmtId="169" fontId="60" fillId="4" borderId="19" pivotButton="0" quotePrefix="0" xfId="0"/>
    <xf numFmtId="169" fontId="0" fillId="12" borderId="4" pivotButton="0" quotePrefix="0" xfId="0"/>
    <xf numFmtId="169" fontId="34" fillId="6" borderId="0" applyAlignment="1" pivotButton="0" quotePrefix="0" xfId="0">
      <alignment horizontal="left"/>
    </xf>
    <xf numFmtId="169" fontId="34" fillId="6" borderId="0" applyAlignment="1" pivotButton="0" quotePrefix="0" xfId="0">
      <alignment horizontal="left" indent="3"/>
    </xf>
    <xf numFmtId="169" fontId="34" fillId="6" borderId="0" applyAlignment="1" pivotButton="0" quotePrefix="0" xfId="0">
      <alignment horizontal="right"/>
    </xf>
    <xf numFmtId="169" fontId="43" fillId="6" borderId="0" applyAlignment="1" pivotButton="0" quotePrefix="0" xfId="0">
      <alignment horizontal="center"/>
    </xf>
    <xf numFmtId="169" fontId="43" fillId="6" borderId="13" applyAlignment="1" pivotButton="0" quotePrefix="0" xfId="0">
      <alignment horizontal="center"/>
    </xf>
    <xf numFmtId="169" fontId="0" fillId="12" borderId="0" applyAlignment="1" pivotButton="0" quotePrefix="0" xfId="0">
      <alignment horizontal="right"/>
    </xf>
    <xf numFmtId="169" fontId="0" fillId="4" borderId="0" applyAlignment="1" pivotButton="0" quotePrefix="0" xfId="0">
      <alignment horizontal="right"/>
    </xf>
    <xf numFmtId="169" fontId="0" fillId="4" borderId="13" applyAlignment="1" pivotButton="0" quotePrefix="0" xfId="0">
      <alignment horizontal="right"/>
    </xf>
    <xf numFmtId="169" fontId="7" fillId="4" borderId="9" applyAlignment="1" pivotButton="0" quotePrefix="0" xfId="0">
      <alignment horizontal="left"/>
    </xf>
    <xf numFmtId="169" fontId="31" fillId="4" borderId="9" applyAlignment="1" pivotButton="0" quotePrefix="0" xfId="0">
      <alignment horizontal="left" indent="3"/>
    </xf>
    <xf numFmtId="169" fontId="31" fillId="12" borderId="9" applyAlignment="1" pivotButton="0" quotePrefix="0" xfId="0">
      <alignment horizontal="right"/>
    </xf>
    <xf numFmtId="169" fontId="31" fillId="4" borderId="9" applyAlignment="1" pivotButton="0" quotePrefix="0" xfId="0">
      <alignment horizontal="right"/>
    </xf>
    <xf numFmtId="169" fontId="7" fillId="12" borderId="9" applyAlignment="1" pivotButton="0" quotePrefix="0" xfId="0">
      <alignment horizontal="right"/>
    </xf>
    <xf numFmtId="169" fontId="7" fillId="4" borderId="9" applyAlignment="1" pivotButton="0" quotePrefix="0" xfId="0">
      <alignment horizontal="right"/>
    </xf>
    <xf numFmtId="169" fontId="7" fillId="4" borderId="21" applyAlignment="1" pivotButton="0" quotePrefix="0" xfId="0">
      <alignment horizontal="right"/>
    </xf>
    <xf numFmtId="165" fontId="31" fillId="4" borderId="0" applyAlignment="1" pivotButton="0" quotePrefix="0" xfId="0">
      <alignment horizontal="left" indent="3"/>
    </xf>
    <xf numFmtId="165" fontId="7" fillId="12" borderId="0" applyAlignment="1" pivotButton="0" quotePrefix="0" xfId="0">
      <alignment horizontal="right"/>
    </xf>
    <xf numFmtId="165" fontId="7" fillId="4" borderId="13" applyAlignment="1" pivotButton="0" quotePrefix="0" xfId="0">
      <alignment horizontal="right"/>
    </xf>
    <xf numFmtId="169" fontId="34" fillId="6" borderId="13" applyAlignment="1" pivotButton="0" quotePrefix="0" xfId="0">
      <alignment horizontal="right"/>
    </xf>
    <xf numFmtId="169" fontId="10" fillId="4" borderId="0" applyAlignment="1" pivotButton="0" quotePrefix="0" xfId="0">
      <alignment horizontal="left" indent="1"/>
    </xf>
    <xf numFmtId="169" fontId="40" fillId="4" borderId="0" applyAlignment="1" pivotButton="0" quotePrefix="0" xfId="0">
      <alignment horizontal="left" indent="3"/>
    </xf>
    <xf numFmtId="164" fontId="40" fillId="12" borderId="0" applyAlignment="1" pivotButton="0" quotePrefix="0" xfId="0">
      <alignment horizontal="right"/>
    </xf>
    <xf numFmtId="164" fontId="40" fillId="4" borderId="0" applyAlignment="1" pivotButton="0" quotePrefix="0" xfId="0">
      <alignment horizontal="right"/>
    </xf>
    <xf numFmtId="164" fontId="40" fillId="4" borderId="13" applyAlignment="1" pivotButton="0" quotePrefix="0" xfId="0">
      <alignment horizontal="right"/>
    </xf>
    <xf numFmtId="164" fontId="58" fillId="4" borderId="0" applyAlignment="1" pivotButton="0" quotePrefix="0" xfId="0">
      <alignment horizontal="right"/>
    </xf>
    <xf numFmtId="164" fontId="58" fillId="12" borderId="0" applyAlignment="1" pivotButton="0" quotePrefix="0" xfId="0">
      <alignment horizontal="right"/>
    </xf>
    <xf numFmtId="169" fontId="37" fillId="6" borderId="0" pivotButton="0" quotePrefix="0" xfId="0"/>
    <xf numFmtId="169" fontId="37" fillId="6" borderId="13" pivotButton="0" quotePrefix="0" xfId="0"/>
    <xf numFmtId="169" fontId="27" fillId="4" borderId="0" applyAlignment="1" pivotButton="0" quotePrefix="0" xfId="21">
      <alignment horizontal="left" indent="1"/>
    </xf>
    <xf numFmtId="169" fontId="27" fillId="4" borderId="0" pivotButton="0" quotePrefix="0" xfId="21"/>
    <xf numFmtId="169" fontId="32" fillId="4" borderId="16" pivotButton="0" quotePrefix="0" xfId="21"/>
    <xf numFmtId="165" fontId="27" fillId="4" borderId="0" pivotButton="0" quotePrefix="0" xfId="21"/>
    <xf numFmtId="191" fontId="27" fillId="4" borderId="25" applyAlignment="1" pivotButton="0" quotePrefix="0" xfId="21">
      <alignment horizontal="left" indent="1"/>
    </xf>
    <xf numFmtId="192" fontId="27" fillId="4" borderId="25" applyAlignment="1" pivotButton="0" quotePrefix="0" xfId="21">
      <alignment horizontal="left" indent="1"/>
    </xf>
    <xf numFmtId="193" fontId="27" fillId="4" borderId="25" applyAlignment="1" pivotButton="0" quotePrefix="0" xfId="21">
      <alignment horizontal="left" indent="1"/>
    </xf>
    <xf numFmtId="194" fontId="27" fillId="4" borderId="25" applyAlignment="1" pivotButton="0" quotePrefix="0" xfId="21">
      <alignment horizontal="left" indent="1"/>
    </xf>
    <xf numFmtId="195" fontId="27" fillId="4" borderId="26" applyAlignment="1" pivotButton="0" quotePrefix="0" xfId="21">
      <alignment horizontal="left" indent="1"/>
    </xf>
    <xf numFmtId="169" fontId="32" fillId="4" borderId="2" pivotButton="0" quotePrefix="0" xfId="21"/>
    <xf numFmtId="169" fontId="27" fillId="4" borderId="7" applyAlignment="1" pivotButton="0" quotePrefix="0" xfId="21">
      <alignment horizontal="left" indent="1"/>
    </xf>
    <xf numFmtId="165" fontId="62" fillId="4" borderId="6" pivotButton="0" quotePrefix="0" xfId="21"/>
    <xf numFmtId="169" fontId="27" fillId="4" borderId="5" applyAlignment="1" pivotButton="0" quotePrefix="0" xfId="21">
      <alignment horizontal="left" indent="1"/>
    </xf>
    <xf numFmtId="165" fontId="62" fillId="4" borderId="3" pivotButton="0" quotePrefix="0" xfId="21"/>
    <xf numFmtId="169" fontId="3" fillId="4" borderId="8" applyAlignment="1" pivotButton="0" quotePrefix="0" xfId="21">
      <alignment horizontal="left"/>
    </xf>
    <xf numFmtId="169" fontId="2" fillId="4" borderId="6" applyAlignment="1" pivotButton="0" quotePrefix="0" xfId="21">
      <alignment horizontal="left" indent="1"/>
    </xf>
    <xf numFmtId="169" fontId="27" fillId="4" borderId="3" applyAlignment="1" pivotButton="0" quotePrefix="0" xfId="21">
      <alignment horizontal="left" indent="1"/>
    </xf>
    <xf numFmtId="169" fontId="3" fillId="4" borderId="1" applyAlignment="1" pivotButton="0" quotePrefix="0" xfId="21">
      <alignment horizontal="left"/>
    </xf>
    <xf numFmtId="165" fontId="35" fillId="4" borderId="1" pivotButton="0" quotePrefix="0" xfId="0"/>
    <xf numFmtId="165" fontId="27" fillId="4" borderId="1" pivotButton="0" quotePrefix="0" xfId="21"/>
    <xf numFmtId="165" fontId="35" fillId="4" borderId="19" pivotButton="0" quotePrefix="0" xfId="0"/>
    <xf numFmtId="165" fontId="35" fillId="4" borderId="8" pivotButton="0" quotePrefix="0" xfId="0"/>
    <xf numFmtId="169" fontId="3" fillId="4" borderId="0" applyAlignment="1" pivotButton="0" quotePrefix="0" xfId="21">
      <alignment horizontal="left"/>
    </xf>
    <xf numFmtId="188" fontId="32" fillId="4" borderId="0" applyAlignment="1" pivotButton="0" quotePrefix="0" xfId="21">
      <alignment horizontal="right"/>
    </xf>
    <xf numFmtId="188" fontId="31" fillId="4" borderId="0" applyAlignment="1" pivotButton="0" quotePrefix="0" xfId="0">
      <alignment horizontal="right"/>
    </xf>
    <xf numFmtId="188" fontId="59" fillId="4" borderId="0" applyAlignment="1" pivotButton="0" quotePrefix="0" xfId="0">
      <alignment horizontal="right"/>
    </xf>
    <xf numFmtId="188" fontId="59" fillId="4" borderId="13" applyAlignment="1" pivotButton="0" quotePrefix="0" xfId="0">
      <alignment horizontal="right"/>
    </xf>
    <xf numFmtId="188" fontId="31" fillId="4" borderId="6" applyAlignment="1" pivotButton="0" quotePrefix="0" xfId="0">
      <alignment horizontal="right"/>
    </xf>
    <xf numFmtId="169" fontId="32" fillId="4" borderId="4" applyAlignment="1" pivotButton="0" quotePrefix="0" xfId="21">
      <alignment horizontal="left"/>
    </xf>
    <xf numFmtId="165" fontId="35" fillId="4" borderId="4" pivotButton="0" quotePrefix="0" xfId="0"/>
    <xf numFmtId="165" fontId="27" fillId="4" borderId="4" pivotButton="0" quotePrefix="0" xfId="21"/>
    <xf numFmtId="165" fontId="35" fillId="4" borderId="20" pivotButton="0" quotePrefix="0" xfId="0"/>
    <xf numFmtId="165" fontId="35" fillId="4" borderId="3" pivotButton="0" quotePrefix="0" xfId="0"/>
    <xf numFmtId="188" fontId="31" fillId="4" borderId="1" applyAlignment="1" pivotButton="0" quotePrefix="0" xfId="0">
      <alignment horizontal="right"/>
    </xf>
    <xf numFmtId="188" fontId="31" fillId="4" borderId="13" applyAlignment="1" pivotButton="0" quotePrefix="0" xfId="0">
      <alignment horizontal="right"/>
    </xf>
    <xf numFmtId="169" fontId="31" fillId="4" borderId="8" pivotButton="0" quotePrefix="0" xfId="0"/>
    <xf numFmtId="169" fontId="32" fillId="4" borderId="7" pivotButton="0" quotePrefix="0" xfId="21"/>
    <xf numFmtId="169" fontId="31" fillId="4" borderId="6" pivotButton="0" quotePrefix="0" xfId="0"/>
    <xf numFmtId="169" fontId="35" fillId="4" borderId="6" pivotButton="0" quotePrefix="0" xfId="0"/>
    <xf numFmtId="189" fontId="27" fillId="4" borderId="0" pivotButton="0" quotePrefix="0" xfId="16"/>
    <xf numFmtId="169" fontId="27" fillId="4" borderId="4" pivotButton="0" quotePrefix="0" xfId="21"/>
    <xf numFmtId="169" fontId="35" fillId="4" borderId="3" pivotButton="0" quotePrefix="0" xfId="0"/>
    <xf numFmtId="172" fontId="3" fillId="4" borderId="12" applyAlignment="1" pivotButton="0" quotePrefix="0" xfId="21">
      <alignment horizontal="left"/>
    </xf>
    <xf numFmtId="169" fontId="35" fillId="4" borderId="9" pivotButton="0" quotePrefix="0" xfId="0"/>
    <xf numFmtId="169" fontId="27" fillId="4" borderId="9" pivotButton="0" quotePrefix="0" xfId="21"/>
    <xf numFmtId="169" fontId="35" fillId="4" borderId="21" pivotButton="0" quotePrefix="0" xfId="0"/>
    <xf numFmtId="169" fontId="35" fillId="4" borderId="22" pivotButton="0" quotePrefix="0" xfId="0"/>
    <xf numFmtId="172" fontId="2" fillId="4" borderId="11" applyAlignment="1" pivotButton="0" quotePrefix="0" xfId="21">
      <alignment horizontal="left"/>
    </xf>
    <xf numFmtId="170" fontId="2" fillId="4" borderId="11" applyAlignment="1" pivotButton="0" quotePrefix="0" xfId="21">
      <alignment horizontal="left" indent="1"/>
    </xf>
    <xf numFmtId="170" fontId="35" fillId="4" borderId="0" pivotButton="0" quotePrefix="0" xfId="0"/>
    <xf numFmtId="170" fontId="27" fillId="4" borderId="0" pivotButton="0" quotePrefix="0" xfId="21"/>
    <xf numFmtId="170" fontId="0" fillId="4" borderId="13" pivotButton="0" quotePrefix="0" xfId="0"/>
    <xf numFmtId="170" fontId="35" fillId="4" borderId="14" pivotButton="0" quotePrefix="0" xfId="0"/>
    <xf numFmtId="170" fontId="2" fillId="4" borderId="11" applyAlignment="1" pivotButton="0" quotePrefix="0" xfId="21">
      <alignment horizontal="left" indent="2"/>
    </xf>
    <xf numFmtId="170" fontId="62" fillId="4" borderId="0" pivotButton="0" quotePrefix="0" xfId="21"/>
    <xf numFmtId="170" fontId="60" fillId="4" borderId="0" pivotButton="0" quotePrefix="0" xfId="0"/>
    <xf numFmtId="170" fontId="60" fillId="4" borderId="13" pivotButton="0" quotePrefix="0" xfId="0"/>
    <xf numFmtId="169" fontId="27" fillId="4" borderId="11" applyAlignment="1" pivotButton="0" quotePrefix="0" xfId="21">
      <alignment horizontal="left" indent="1"/>
    </xf>
    <xf numFmtId="169" fontId="35" fillId="4" borderId="14" pivotButton="0" quotePrefix="0" xfId="0"/>
    <xf numFmtId="171" fontId="2" fillId="4" borderId="11" applyAlignment="1" pivotButton="0" quotePrefix="0" xfId="21">
      <alignment horizontal="left" indent="1"/>
    </xf>
    <xf numFmtId="171" fontId="27" fillId="4" borderId="0" pivotButton="0" quotePrefix="0" xfId="21"/>
    <xf numFmtId="171" fontId="0" fillId="4" borderId="13" pivotButton="0" quotePrefix="0" xfId="0"/>
    <xf numFmtId="171" fontId="35" fillId="4" borderId="14" pivotButton="0" quotePrefix="0" xfId="0"/>
    <xf numFmtId="171" fontId="2" fillId="4" borderId="11" applyAlignment="1" pivotButton="0" quotePrefix="0" xfId="21">
      <alignment horizontal="left" indent="2"/>
    </xf>
    <xf numFmtId="171" fontId="62" fillId="4" borderId="0" pivotButton="0" quotePrefix="0" xfId="21"/>
    <xf numFmtId="171" fontId="60" fillId="4" borderId="0" pivotButton="0" quotePrefix="0" xfId="0"/>
    <xf numFmtId="171" fontId="60" fillId="4" borderId="13" pivotButton="0" quotePrefix="0" xfId="0"/>
    <xf numFmtId="169" fontId="2" fillId="4" borderId="11" applyAlignment="1" pivotButton="0" quotePrefix="0" xfId="21">
      <alignment horizontal="left" indent="1"/>
    </xf>
    <xf numFmtId="175" fontId="62" fillId="4" borderId="0" pivotButton="0" quotePrefix="0" xfId="21"/>
    <xf numFmtId="175" fontId="60" fillId="4" borderId="0" pivotButton="0" quotePrefix="0" xfId="0"/>
    <xf numFmtId="175" fontId="60" fillId="4" borderId="13" pivotButton="0" quotePrefix="0" xfId="0"/>
    <xf numFmtId="175" fontId="35" fillId="4" borderId="0" pivotButton="0" quotePrefix="0" xfId="0"/>
    <xf numFmtId="175" fontId="35" fillId="4" borderId="14" pivotButton="0" quotePrefix="0" xfId="0"/>
    <xf numFmtId="169" fontId="27" fillId="4" borderId="23" applyAlignment="1" pivotButton="0" quotePrefix="0" xfId="21">
      <alignment horizontal="left" indent="1"/>
    </xf>
    <xf numFmtId="171" fontId="27" fillId="4" borderId="4" pivotButton="0" quotePrefix="0" xfId="21"/>
    <xf numFmtId="171" fontId="35" fillId="4" borderId="4" pivotButton="0" quotePrefix="0" xfId="0"/>
    <xf numFmtId="171" fontId="35" fillId="4" borderId="20" pivotButton="0" quotePrefix="0" xfId="0"/>
    <xf numFmtId="171" fontId="35" fillId="4" borderId="24" pivotButton="0" quotePrefix="0" xfId="0"/>
    <xf numFmtId="169" fontId="7" fillId="4" borderId="9" pivotButton="0" quotePrefix="0" xfId="0"/>
    <xf numFmtId="170" fontId="35" fillId="4" borderId="13" pivotButton="0" quotePrefix="0" xfId="0"/>
    <xf numFmtId="173" fontId="35" fillId="4" borderId="0" pivotButton="0" quotePrefix="0" xfId="0"/>
    <xf numFmtId="165" fontId="0" fillId="4" borderId="10" applyAlignment="1" pivotButton="0" quotePrefix="0" xfId="0">
      <alignment horizontal="left" indent="1"/>
    </xf>
    <xf numFmtId="165" fontId="0" fillId="4" borderId="10" pivotButton="0" quotePrefix="0" xfId="0"/>
    <xf numFmtId="165" fontId="34" fillId="6" borderId="0" pivotButton="0" quotePrefix="0" xfId="0"/>
    <xf numFmtId="184" fontId="44" fillId="4" borderId="0" applyAlignment="1" pivotButton="0" quotePrefix="0" xfId="20">
      <alignment horizontal="left"/>
    </xf>
    <xf numFmtId="164" fontId="34" fillId="6" borderId="0" applyAlignment="1" pivotButton="0" quotePrefix="0" xfId="0">
      <alignment horizontal="center"/>
    </xf>
    <xf numFmtId="165" fontId="31" fillId="12" borderId="0" applyAlignment="1" pivotButton="0" quotePrefix="0" xfId="0">
      <alignment horizontal="center"/>
    </xf>
    <xf numFmtId="164" fontId="31" fillId="12" borderId="0" applyAlignment="1" pivotButton="0" quotePrefix="0" xfId="0">
      <alignment horizontal="center"/>
    </xf>
    <xf numFmtId="190" fontId="3" fillId="3" borderId="0" applyAlignment="1" pivotButton="0" quotePrefix="0" xfId="0">
      <alignment horizontal="left"/>
    </xf>
    <xf numFmtId="169" fontId="6" fillId="3" borderId="0" pivotButton="0" quotePrefix="0" xfId="31"/>
    <xf numFmtId="169" fontId="32" fillId="3" borderId="0" pivotButton="0" quotePrefix="0" xfId="31"/>
    <xf numFmtId="164" fontId="34" fillId="9" borderId="0" pivotButton="0" quotePrefix="0" xfId="0"/>
    <xf numFmtId="180" fontId="6" fillId="3" borderId="0" applyAlignment="1" pivotButton="0" quotePrefix="0" xfId="30">
      <alignment horizontal="center"/>
    </xf>
    <xf numFmtId="180" fontId="52" fillId="3" borderId="0" applyAlignment="1" pivotButton="0" quotePrefix="0" xfId="30">
      <alignment horizontal="center"/>
    </xf>
    <xf numFmtId="180" fontId="27" fillId="3" borderId="4" applyAlignment="1" pivotButton="0" quotePrefix="0" xfId="30">
      <alignment horizontal="center"/>
    </xf>
    <xf numFmtId="169" fontId="8" fillId="3" borderId="4" applyAlignment="1" pivotButton="0" quotePrefix="0" xfId="30">
      <alignment horizontal="center"/>
    </xf>
    <xf numFmtId="180" fontId="8" fillId="3" borderId="0" applyAlignment="1" pivotButton="0" quotePrefix="0" xfId="30">
      <alignment horizontal="center"/>
    </xf>
    <xf numFmtId="0" fontId="0" fillId="3" borderId="15" applyAlignment="1" pivotButton="0" quotePrefix="0" xfId="0">
      <alignment horizontal="left" vertical="top" wrapText="1"/>
    </xf>
    <xf numFmtId="169" fontId="6" fillId="3" borderId="0" applyAlignment="1" pivotButton="0" quotePrefix="0" xfId="0">
      <alignment horizontal="left"/>
    </xf>
    <xf numFmtId="169" fontId="6" fillId="3" borderId="0" applyAlignment="1" pivotButton="0" quotePrefix="0" xfId="30">
      <alignment horizontal="center"/>
    </xf>
    <xf numFmtId="180" fontId="32" fillId="3" borderId="0" applyAlignment="1" pivotButton="0" quotePrefix="0" xfId="30">
      <alignment horizontal="center"/>
    </xf>
    <xf numFmtId="169" fontId="50" fillId="3" borderId="0" applyAlignment="1" pivotButton="0" quotePrefix="0" xfId="30">
      <alignment horizontal="center"/>
    </xf>
    <xf numFmtId="164" fontId="8" fillId="3" borderId="0" applyAlignment="1" pivotButton="0" quotePrefix="0" xfId="30">
      <alignment horizontal="center"/>
    </xf>
    <xf numFmtId="169" fontId="8" fillId="3" borderId="0" applyAlignment="1" pivotButton="0" quotePrefix="0" xfId="30">
      <alignment horizontal="center"/>
    </xf>
    <xf numFmtId="164" fontId="0" fillId="3" borderId="0" applyAlignment="1" pivotButton="0" quotePrefix="0" xfId="0">
      <alignment horizontal="right"/>
    </xf>
    <xf numFmtId="164" fontId="7" fillId="3" borderId="1" applyAlignment="1" pivotButton="0" quotePrefix="0" xfId="0">
      <alignment horizontal="right"/>
    </xf>
    <xf numFmtId="169" fontId="6" fillId="4" borderId="1" applyAlignment="1" pivotButton="0" quotePrefix="1" xfId="32">
      <alignment horizontal="center" vertical="top" wrapText="1"/>
    </xf>
    <xf numFmtId="164" fontId="0" fillId="3" borderId="4" applyAlignment="1" pivotButton="0" quotePrefix="0" xfId="0">
      <alignment horizontal="right"/>
    </xf>
    <xf numFmtId="169" fontId="0" fillId="4" borderId="4" applyAlignment="1" pivotButton="0" quotePrefix="0" xfId="0">
      <alignment horizontal="right"/>
    </xf>
    <xf numFmtId="169" fontId="32" fillId="3" borderId="0" applyAlignment="1" pivotButton="0" quotePrefix="0" xfId="0">
      <alignment horizontal="left"/>
    </xf>
    <xf numFmtId="164" fontId="0" fillId="6" borderId="0" pivotButton="0" quotePrefix="0" xfId="0"/>
    <xf numFmtId="169" fontId="0" fillId="3" borderId="0" pivotButton="0" quotePrefix="0" xfId="0"/>
    <xf numFmtId="169" fontId="7" fillId="3" borderId="0" pivotButton="0" quotePrefix="0" xfId="0"/>
    <xf numFmtId="169" fontId="7" fillId="0" borderId="1" pivotButton="0" quotePrefix="0" xfId="0"/>
    <xf numFmtId="169" fontId="6" fillId="3" borderId="1" applyAlignment="1" pivotButton="0" quotePrefix="0" xfId="30">
      <alignment horizontal="center"/>
    </xf>
    <xf numFmtId="169" fontId="8" fillId="4" borderId="0" applyAlignment="1" pivotButton="0" quotePrefix="1" xfId="32">
      <alignment horizontal="center" vertical="top" wrapText="1"/>
    </xf>
    <xf numFmtId="164" fontId="0" fillId="4" borderId="4" applyAlignment="1" pivotButton="0" quotePrefix="0" xfId="0">
      <alignment horizontal="right"/>
    </xf>
    <xf numFmtId="169" fontId="8" fillId="4" borderId="4" applyAlignment="1" pivotButton="0" quotePrefix="1" xfId="32">
      <alignment horizontal="center" vertical="top" wrapText="1"/>
    </xf>
    <xf numFmtId="169" fontId="7" fillId="3" borderId="0" applyAlignment="1" pivotButton="0" quotePrefix="0" xfId="0">
      <alignment horizontal="right"/>
    </xf>
    <xf numFmtId="169" fontId="9" fillId="3" borderId="0" applyAlignment="1" pivotButton="0" quotePrefix="0" xfId="0">
      <alignment horizontal="left"/>
    </xf>
    <xf numFmtId="169" fontId="35" fillId="3" borderId="0" applyAlignment="1" pivotButton="0" quotePrefix="0" xfId="0">
      <alignment horizontal="left" indent="1"/>
    </xf>
    <xf numFmtId="169" fontId="0" fillId="3" borderId="0" applyAlignment="1" pivotButton="0" quotePrefix="0" xfId="0">
      <alignment horizontal="right"/>
    </xf>
    <xf numFmtId="169" fontId="35" fillId="3" borderId="4" applyAlignment="1" pivotButton="0" quotePrefix="0" xfId="0">
      <alignment horizontal="left" indent="1"/>
    </xf>
    <xf numFmtId="169" fontId="0" fillId="3" borderId="4" applyAlignment="1" pivotButton="0" quotePrefix="0" xfId="0">
      <alignment horizontal="right"/>
    </xf>
    <xf numFmtId="169" fontId="31" fillId="3" borderId="0" applyAlignment="1" pivotButton="0" quotePrefix="0" xfId="0">
      <alignment horizontal="left"/>
    </xf>
    <xf numFmtId="169" fontId="0" fillId="4" borderId="0" applyAlignment="1" pivotButton="0" quotePrefix="0" xfId="0">
      <alignment vertical="top" wrapText="1"/>
    </xf>
    <xf numFmtId="169" fontId="27" fillId="3" borderId="0" applyAlignment="1" pivotButton="0" quotePrefix="0" xfId="0">
      <alignment horizontal="left" indent="1"/>
    </xf>
    <xf numFmtId="169" fontId="31" fillId="3" borderId="1" applyAlignment="1" pivotButton="0" quotePrefix="0" xfId="0">
      <alignment horizontal="left"/>
    </xf>
    <xf numFmtId="169" fontId="7" fillId="3" borderId="1" applyAlignment="1" pivotButton="0" quotePrefix="0" xfId="0">
      <alignment horizontal="right"/>
    </xf>
    <xf numFmtId="169" fontId="31" fillId="3" borderId="0" applyAlignment="1" pivotButton="0" quotePrefix="0" xfId="0">
      <alignment horizontal="left" indent="1"/>
    </xf>
    <xf numFmtId="169" fontId="31" fillId="3" borderId="4" applyAlignment="1" pivotButton="0" quotePrefix="0" xfId="0">
      <alignment horizontal="left" indent="1"/>
    </xf>
    <xf numFmtId="169" fontId="7" fillId="3" borderId="4" applyAlignment="1" pivotButton="0" quotePrefix="0" xfId="0">
      <alignment horizontal="right"/>
    </xf>
    <xf numFmtId="169" fontId="3" fillId="3" borderId="0" applyAlignment="1" pivotButton="0" quotePrefix="1" xfId="32">
      <alignment vertical="top" wrapText="1"/>
    </xf>
    <xf numFmtId="169" fontId="2" fillId="4" borderId="0" applyAlignment="1" pivotButton="0" quotePrefix="1" xfId="32">
      <alignment vertical="top" wrapText="1"/>
    </xf>
    <xf numFmtId="169" fontId="2" fillId="4" borderId="4" applyAlignment="1" pivotButton="0" quotePrefix="1" xfId="32">
      <alignment vertical="top" wrapText="1"/>
    </xf>
    <xf numFmtId="190" fontId="2" fillId="3" borderId="0" applyAlignment="1" pivotButton="0" quotePrefix="0" xfId="0">
      <alignment horizontal="left"/>
    </xf>
    <xf numFmtId="168" fontId="31" fillId="4" borderId="0" applyAlignment="1" pivotButton="0" quotePrefix="0" xfId="0">
      <alignment horizontal="left"/>
    </xf>
    <xf numFmtId="168" fontId="7" fillId="3" borderId="0" applyAlignment="1" pivotButton="0" quotePrefix="0" xfId="0">
      <alignment horizontal="right"/>
    </xf>
    <xf numFmtId="168" fontId="7" fillId="3" borderId="0" pivotButton="0" quotePrefix="0" xfId="0"/>
    <xf numFmtId="168" fontId="35" fillId="4" borderId="0" applyAlignment="1" pivotButton="0" quotePrefix="0" xfId="0">
      <alignment horizontal="left" indent="1"/>
    </xf>
    <xf numFmtId="168" fontId="0" fillId="3" borderId="0" applyAlignment="1" pivotButton="0" quotePrefix="0" xfId="0">
      <alignment horizontal="right"/>
    </xf>
    <xf numFmtId="168" fontId="0" fillId="3" borderId="0" pivotButton="0" quotePrefix="0" xfId="0"/>
    <xf numFmtId="168" fontId="31" fillId="3" borderId="1" applyAlignment="1" pivotButton="0" quotePrefix="0" xfId="0">
      <alignment horizontal="left"/>
    </xf>
    <xf numFmtId="168" fontId="7" fillId="3" borderId="1" applyAlignment="1" pivotButton="0" quotePrefix="0" xfId="0">
      <alignment horizontal="right"/>
    </xf>
    <xf numFmtId="168" fontId="31" fillId="3" borderId="0" applyAlignment="1" pivotButton="0" quotePrefix="0" xfId="0">
      <alignment horizontal="left"/>
    </xf>
    <xf numFmtId="169" fontId="7" fillId="4" borderId="1" applyAlignment="1" pivotButton="0" quotePrefix="0" xfId="0">
      <alignment horizontal="right"/>
    </xf>
    <xf numFmtId="168" fontId="0" fillId="4" borderId="0" applyAlignment="1" pivotButton="0" quotePrefix="0" xfId="0">
      <alignment horizontal="right"/>
    </xf>
    <xf numFmtId="169" fontId="32" fillId="5" borderId="0" applyAlignment="1" pivotButton="0" quotePrefix="0" xfId="31">
      <alignment horizontal="center"/>
    </xf>
    <xf numFmtId="168" fontId="32" fillId="4" borderId="0" pivotButton="0" quotePrefix="0" xfId="30"/>
    <xf numFmtId="168" fontId="27" fillId="4" borderId="0" pivotButton="0" quotePrefix="0" xfId="30"/>
    <xf numFmtId="168" fontId="7" fillId="5" borderId="0" applyAlignment="1" pivotButton="0" quotePrefix="0" xfId="0">
      <alignment horizontal="right"/>
    </xf>
    <xf numFmtId="168" fontId="31" fillId="5" borderId="0" applyAlignment="1" pivotButton="0" quotePrefix="0" xfId="0">
      <alignment horizontal="right"/>
    </xf>
    <xf numFmtId="169" fontId="32" fillId="4" borderId="0" pivotButton="0" quotePrefix="0" xfId="30"/>
    <xf numFmtId="169" fontId="27" fillId="4" borderId="0" pivotButton="0" quotePrefix="0" xfId="30"/>
    <xf numFmtId="169" fontId="0" fillId="5" borderId="0" applyAlignment="1" pivotButton="0" quotePrefix="0" xfId="0">
      <alignment horizontal="right"/>
    </xf>
    <xf numFmtId="169" fontId="31" fillId="5" borderId="0" applyAlignment="1" pivotButton="0" quotePrefix="0" xfId="0">
      <alignment horizontal="right"/>
    </xf>
    <xf numFmtId="169" fontId="7" fillId="5" borderId="0" applyAlignment="1" pivotButton="0" quotePrefix="0" xfId="0">
      <alignment horizontal="right"/>
    </xf>
    <xf numFmtId="174" fontId="35" fillId="4" borderId="0" applyAlignment="1" pivotButton="0" quotePrefix="0" xfId="0">
      <alignment horizontal="left" indent="1"/>
    </xf>
    <xf numFmtId="174" fontId="27" fillId="4" borderId="0" pivotButton="0" quotePrefix="0" xfId="30"/>
    <xf numFmtId="174" fontId="0" fillId="3" borderId="0" pivotButton="0" quotePrefix="0" xfId="0"/>
    <xf numFmtId="174" fontId="49" fillId="5" borderId="0" applyAlignment="1" pivotButton="0" quotePrefix="0" xfId="30">
      <alignment horizontal="right" vertical="center"/>
    </xf>
    <xf numFmtId="168" fontId="31" fillId="4" borderId="0" applyAlignment="1" pivotButton="0" quotePrefix="0" xfId="0">
      <alignment horizontal="left" indent="1"/>
    </xf>
    <xf numFmtId="164" fontId="30" fillId="4" borderId="0" applyAlignment="1" pivotButton="0" quotePrefix="0" xfId="0">
      <alignment horizontal="left" indent="2"/>
    </xf>
    <xf numFmtId="164" fontId="29" fillId="4" borderId="0" pivotButton="0" quotePrefix="0" xfId="30"/>
    <xf numFmtId="164" fontId="22" fillId="5" borderId="0" applyAlignment="1" pivotButton="0" quotePrefix="0" xfId="0">
      <alignment horizontal="right"/>
    </xf>
    <xf numFmtId="164" fontId="30" fillId="5" borderId="0" applyAlignment="1" pivotButton="0" quotePrefix="0" xfId="0">
      <alignment horizontal="right"/>
    </xf>
    <xf numFmtId="164" fontId="22" fillId="3" borderId="0" pivotButton="0" quotePrefix="0" xfId="0"/>
    <xf numFmtId="169" fontId="15" fillId="5" borderId="0" applyAlignment="1" pivotButton="0" quotePrefix="0" xfId="0">
      <alignment horizontal="right"/>
    </xf>
    <xf numFmtId="164" fontId="33" fillId="3" borderId="0" pivotButton="0" quotePrefix="0" xfId="0"/>
    <xf numFmtId="169" fontId="35" fillId="4" borderId="0" pivotButton="0" quotePrefix="0" xfId="27"/>
    <xf numFmtId="169" fontId="0" fillId="0" borderId="0" pivotButton="0" quotePrefix="0" xfId="27"/>
    <xf numFmtId="169" fontId="32" fillId="4" borderId="0" applyAlignment="1" pivotButton="0" quotePrefix="0" xfId="27">
      <alignment horizontal="left"/>
    </xf>
    <xf numFmtId="169" fontId="38" fillId="4" borderId="0" applyAlignment="1" pivotButton="0" quotePrefix="0" xfId="27">
      <alignment horizontal="center"/>
    </xf>
    <xf numFmtId="169" fontId="31" fillId="12" borderId="0" applyAlignment="1" pivotButton="0" quotePrefix="0" xfId="27">
      <alignment horizontal="center"/>
    </xf>
    <xf numFmtId="169" fontId="32" fillId="12" borderId="0" applyAlignment="1" pivotButton="0" quotePrefix="0" xfId="27">
      <alignment horizontal="center"/>
    </xf>
    <xf numFmtId="169" fontId="32" fillId="4" borderId="0" applyAlignment="1" pivotButton="0" quotePrefix="0" xfId="27">
      <alignment horizontal="center"/>
    </xf>
    <xf numFmtId="169" fontId="32" fillId="4" borderId="13" applyAlignment="1" pivotButton="0" quotePrefix="0" xfId="27">
      <alignment horizontal="center"/>
    </xf>
    <xf numFmtId="169" fontId="37" fillId="6" borderId="0" pivotButton="0" quotePrefix="0" xfId="27"/>
    <xf numFmtId="169" fontId="37" fillId="6" borderId="13" pivotButton="0" quotePrefix="0" xfId="27"/>
    <xf numFmtId="164" fontId="35" fillId="4" borderId="0" pivotButton="0" quotePrefix="0" xfId="27"/>
    <xf numFmtId="168" fontId="7" fillId="0" borderId="0" pivotButton="0" quotePrefix="0" xfId="27"/>
    <xf numFmtId="198" fontId="31" fillId="4" borderId="0" applyAlignment="1" pivotButton="0" quotePrefix="0" xfId="27">
      <alignment horizontal="left" indent="1"/>
    </xf>
    <xf numFmtId="169" fontId="31" fillId="4" borderId="0" applyAlignment="1" pivotButton="0" quotePrefix="0" xfId="27">
      <alignment horizontal="left"/>
    </xf>
    <xf numFmtId="180" fontId="31" fillId="12" borderId="0" applyAlignment="1" pivotButton="0" quotePrefix="0" xfId="27">
      <alignment horizontal="right"/>
    </xf>
    <xf numFmtId="180" fontId="31" fillId="4" borderId="0" applyAlignment="1" pivotButton="0" quotePrefix="0" xfId="27">
      <alignment horizontal="right"/>
    </xf>
    <xf numFmtId="180" fontId="31" fillId="12" borderId="0" pivotButton="0" quotePrefix="0" xfId="27"/>
    <xf numFmtId="180" fontId="31" fillId="4" borderId="13" applyAlignment="1" pivotButton="0" quotePrefix="0" xfId="27">
      <alignment horizontal="right"/>
    </xf>
    <xf numFmtId="180" fontId="31" fillId="4" borderId="0" pivotButton="0" quotePrefix="0" xfId="27"/>
    <xf numFmtId="169" fontId="35" fillId="4" borderId="4" applyAlignment="1" pivotButton="0" quotePrefix="0" xfId="27">
      <alignment horizontal="left" indent="1"/>
    </xf>
    <xf numFmtId="169" fontId="35" fillId="4" borderId="4" applyAlignment="1" pivotButton="0" quotePrefix="0" xfId="27">
      <alignment horizontal="left"/>
    </xf>
    <xf numFmtId="169" fontId="35" fillId="12" borderId="4" applyAlignment="1" pivotButton="0" quotePrefix="0" xfId="27">
      <alignment horizontal="right"/>
    </xf>
    <xf numFmtId="169" fontId="35" fillId="4" borderId="4" applyAlignment="1" pivotButton="0" quotePrefix="0" xfId="27">
      <alignment horizontal="right"/>
    </xf>
    <xf numFmtId="169" fontId="35" fillId="12" borderId="4" pivotButton="0" quotePrefix="0" xfId="27"/>
    <xf numFmtId="169" fontId="35" fillId="4" borderId="20" applyAlignment="1" pivotButton="0" quotePrefix="0" xfId="27">
      <alignment horizontal="right"/>
    </xf>
    <xf numFmtId="168" fontId="31" fillId="4" borderId="0" pivotButton="0" quotePrefix="0" xfId="27"/>
    <xf numFmtId="169" fontId="7" fillId="0" borderId="0" pivotButton="0" quotePrefix="0" xfId="27"/>
    <xf numFmtId="169" fontId="31" fillId="4" borderId="1" applyAlignment="1" pivotButton="0" quotePrefix="0" xfId="27">
      <alignment horizontal="left"/>
    </xf>
    <xf numFmtId="169" fontId="31" fillId="4" borderId="1" applyAlignment="1" pivotButton="0" quotePrefix="0" xfId="27">
      <alignment horizontal="left" indent="3"/>
    </xf>
    <xf numFmtId="169" fontId="31" fillId="12" borderId="1" pivotButton="0" quotePrefix="0" xfId="27"/>
    <xf numFmtId="169" fontId="31" fillId="4" borderId="1" pivotButton="0" quotePrefix="0" xfId="27"/>
    <xf numFmtId="169" fontId="31" fillId="4" borderId="19" pivotButton="0" quotePrefix="0" xfId="27"/>
    <xf numFmtId="169" fontId="31" fillId="4" borderId="0" pivotButton="0" quotePrefix="0" xfId="27"/>
    <xf numFmtId="169" fontId="35" fillId="4" borderId="0" applyAlignment="1" pivotButton="0" quotePrefix="0" xfId="27">
      <alignment horizontal="left" indent="1"/>
    </xf>
    <xf numFmtId="169" fontId="35" fillId="4" borderId="0" applyAlignment="1" pivotButton="0" quotePrefix="0" xfId="27">
      <alignment horizontal="left" indent="3"/>
    </xf>
    <xf numFmtId="169" fontId="35" fillId="12" borderId="0" pivotButton="0" quotePrefix="0" xfId="27"/>
    <xf numFmtId="169" fontId="35" fillId="4" borderId="13" pivotButton="0" quotePrefix="0" xfId="27"/>
    <xf numFmtId="169" fontId="31" fillId="4" borderId="0" applyAlignment="1" pivotButton="0" quotePrefix="0" xfId="27">
      <alignment horizontal="left" indent="3"/>
    </xf>
    <xf numFmtId="169" fontId="31" fillId="12" borderId="0" pivotButton="0" quotePrefix="0" xfId="27"/>
    <xf numFmtId="169" fontId="31" fillId="4" borderId="13" pivotButton="0" quotePrefix="0" xfId="27"/>
    <xf numFmtId="169" fontId="33" fillId="6" borderId="0" pivotButton="0" quotePrefix="0" xfId="27"/>
    <xf numFmtId="169" fontId="33" fillId="6" borderId="13" pivotButton="0" quotePrefix="0" xfId="27"/>
    <xf numFmtId="164" fontId="22" fillId="0" borderId="0" pivotButton="0" quotePrefix="0" xfId="27"/>
    <xf numFmtId="164" fontId="30" fillId="4" borderId="0" applyAlignment="1" pivotButton="0" quotePrefix="0" xfId="27">
      <alignment horizontal="left"/>
    </xf>
    <xf numFmtId="164" fontId="29" fillId="4" borderId="0" pivotButton="0" quotePrefix="0" xfId="28"/>
    <xf numFmtId="164" fontId="30" fillId="12" borderId="0" applyAlignment="1" pivotButton="0" quotePrefix="0" xfId="27">
      <alignment horizontal="right"/>
    </xf>
    <xf numFmtId="164" fontId="30" fillId="4" borderId="0" applyAlignment="1" pivotButton="0" quotePrefix="0" xfId="27">
      <alignment horizontal="right"/>
    </xf>
    <xf numFmtId="164" fontId="30" fillId="4" borderId="13" applyAlignment="1" pivotButton="0" quotePrefix="0" xfId="27">
      <alignment horizontal="right"/>
    </xf>
    <xf numFmtId="164" fontId="30" fillId="4" borderId="0" pivotButton="0" quotePrefix="0" xfId="27"/>
    <xf numFmtId="169" fontId="35" fillId="4" borderId="0" applyAlignment="1" pivotButton="0" quotePrefix="0" xfId="27">
      <alignment horizontal="left"/>
    </xf>
    <xf numFmtId="169" fontId="27" fillId="4" borderId="0" pivotButton="0" quotePrefix="0" xfId="28"/>
    <xf numFmtId="169" fontId="35" fillId="12" borderId="0" applyAlignment="1" pivotButton="0" quotePrefix="0" xfId="27">
      <alignment horizontal="right"/>
    </xf>
    <xf numFmtId="169" fontId="35" fillId="4" borderId="0" applyAlignment="1" pivotButton="0" quotePrefix="0" xfId="27">
      <alignment horizontal="right"/>
    </xf>
    <xf numFmtId="169" fontId="35" fillId="4" borderId="13" applyAlignment="1" pivotButton="0" quotePrefix="0" xfId="27">
      <alignment horizontal="right"/>
    </xf>
    <xf numFmtId="165" fontId="0" fillId="0" borderId="0" pivotButton="0" quotePrefix="0" xfId="27"/>
    <xf numFmtId="165" fontId="35" fillId="4" borderId="0" applyAlignment="1" pivotButton="0" quotePrefix="0" xfId="27">
      <alignment horizontal="left"/>
    </xf>
    <xf numFmtId="165" fontId="27" fillId="4" borderId="0" pivotButton="0" quotePrefix="0" xfId="28"/>
    <xf numFmtId="165" fontId="35" fillId="12" borderId="0" applyAlignment="1" pivotButton="0" quotePrefix="0" xfId="27">
      <alignment horizontal="right"/>
    </xf>
    <xf numFmtId="165" fontId="35" fillId="4" borderId="0" applyAlignment="1" pivotButton="0" quotePrefix="0" xfId="27">
      <alignment horizontal="right"/>
    </xf>
    <xf numFmtId="165" fontId="35" fillId="4" borderId="13" applyAlignment="1" pivotButton="0" quotePrefix="0" xfId="27">
      <alignment horizontal="right"/>
    </xf>
    <xf numFmtId="165" fontId="35" fillId="4" borderId="0" pivotButton="0" quotePrefix="0" xfId="27"/>
    <xf numFmtId="164" fontId="0" fillId="0" borderId="0" pivotButton="0" quotePrefix="0" xfId="27"/>
    <xf numFmtId="164" fontId="35" fillId="4" borderId="0" applyAlignment="1" pivotButton="0" quotePrefix="0" xfId="27">
      <alignment horizontal="left" indent="1"/>
    </xf>
    <xf numFmtId="164" fontId="27" fillId="4" borderId="0" pivotButton="0" quotePrefix="0" xfId="28"/>
    <xf numFmtId="164" fontId="35" fillId="12" borderId="0" applyAlignment="1" pivotButton="0" quotePrefix="0" xfId="27">
      <alignment horizontal="right"/>
    </xf>
    <xf numFmtId="164" fontId="35" fillId="4" borderId="0" applyAlignment="1" pivotButton="0" quotePrefix="0" xfId="27">
      <alignment horizontal="right"/>
    </xf>
    <xf numFmtId="164" fontId="35" fillId="4" borderId="13" applyAlignment="1" pivotButton="0" quotePrefix="0" xfId="27">
      <alignment horizontal="right"/>
    </xf>
    <xf numFmtId="169" fontId="42" fillId="6" borderId="0" applyAlignment="1" pivotButton="0" quotePrefix="0" xfId="27">
      <alignment horizontal="center"/>
    </xf>
    <xf numFmtId="169" fontId="35" fillId="4" borderId="4" applyAlignment="1" pivotButton="0" quotePrefix="0" xfId="27">
      <alignment horizontal="left" indent="3"/>
    </xf>
    <xf numFmtId="169" fontId="35" fillId="4" borderId="4" pivotButton="0" quotePrefix="0" xfId="27"/>
    <xf numFmtId="169" fontId="35" fillId="4" borderId="20" pivotButton="0" quotePrefix="0" xfId="27"/>
    <xf numFmtId="168" fontId="31" fillId="12" borderId="0" pivotButton="0" quotePrefix="0" xfId="27"/>
    <xf numFmtId="168" fontId="31" fillId="4" borderId="13" pivotButton="0" quotePrefix="0" xfId="27"/>
    <xf numFmtId="164" fontId="34" fillId="6" borderId="0" pivotButton="0" quotePrefix="0" xfId="27"/>
    <xf numFmtId="164" fontId="33" fillId="6" borderId="0" pivotButton="0" quotePrefix="0" xfId="27"/>
    <xf numFmtId="164" fontId="42" fillId="6" borderId="0" applyAlignment="1" pivotButton="0" quotePrefix="0" xfId="27">
      <alignment horizontal="center"/>
    </xf>
    <xf numFmtId="164" fontId="33" fillId="6" borderId="13" pivotButton="0" quotePrefix="0" xfId="27"/>
    <xf numFmtId="168" fontId="32" fillId="4" borderId="0" pivotButton="0" quotePrefix="0" xfId="28"/>
    <xf numFmtId="168" fontId="31" fillId="4" borderId="0" applyAlignment="1" pivotButton="0" quotePrefix="0" xfId="27">
      <alignment horizontal="left" indent="3"/>
    </xf>
    <xf numFmtId="164" fontId="31" fillId="12" borderId="0" applyAlignment="1" pivotButton="0" quotePrefix="0" xfId="27">
      <alignment horizontal="center"/>
    </xf>
    <xf numFmtId="164" fontId="31" fillId="4" borderId="0" applyAlignment="1" pivotButton="0" quotePrefix="0" xfId="27">
      <alignment horizontal="center"/>
    </xf>
    <xf numFmtId="164" fontId="35" fillId="4" borderId="0" applyAlignment="1" pivotButton="0" quotePrefix="0" xfId="27">
      <alignment horizontal="center"/>
    </xf>
    <xf numFmtId="164" fontId="35" fillId="12" borderId="0" pivotButton="0" quotePrefix="0" xfId="27"/>
    <xf numFmtId="164" fontId="31" fillId="4" borderId="13" applyAlignment="1" pivotButton="0" quotePrefix="0" xfId="27">
      <alignment horizontal="center"/>
    </xf>
    <xf numFmtId="169" fontId="34" fillId="6" borderId="0" pivotButton="0" quotePrefix="0" xfId="27"/>
    <xf numFmtId="164" fontId="35" fillId="4" borderId="4" applyAlignment="1" pivotButton="0" quotePrefix="0" xfId="27">
      <alignment horizontal="left" indent="1"/>
    </xf>
    <xf numFmtId="164" fontId="27" fillId="4" borderId="4" pivotButton="0" quotePrefix="0" xfId="28"/>
    <xf numFmtId="164" fontId="35" fillId="12" borderId="4" applyAlignment="1" pivotButton="0" quotePrefix="0" xfId="27">
      <alignment horizontal="right"/>
    </xf>
    <xf numFmtId="164" fontId="35" fillId="4" borderId="4" applyAlignment="1" pivotButton="0" quotePrefix="0" xfId="27">
      <alignment horizontal="right"/>
    </xf>
    <xf numFmtId="164" fontId="35" fillId="4" borderId="20" applyAlignment="1" pivotButton="0" quotePrefix="0" xfId="27">
      <alignment horizontal="right"/>
    </xf>
    <xf numFmtId="164" fontId="35" fillId="12" borderId="4" pivotButton="0" quotePrefix="0" xfId="27"/>
    <xf numFmtId="164" fontId="31" fillId="4" borderId="0" applyAlignment="1" pivotButton="0" quotePrefix="0" xfId="27">
      <alignment horizontal="left"/>
    </xf>
    <xf numFmtId="164" fontId="32" fillId="4" borderId="0" pivotButton="0" quotePrefix="0" xfId="28"/>
    <xf numFmtId="164" fontId="31" fillId="12" borderId="0" applyAlignment="1" pivotButton="0" quotePrefix="0" xfId="27">
      <alignment horizontal="right"/>
    </xf>
    <xf numFmtId="164" fontId="31" fillId="4" borderId="0" applyAlignment="1" pivotButton="0" quotePrefix="0" xfId="27">
      <alignment horizontal="right"/>
    </xf>
    <xf numFmtId="164" fontId="31" fillId="4" borderId="13" applyAlignment="1" pivotButton="0" quotePrefix="0" xfId="27">
      <alignment horizontal="right"/>
    </xf>
    <xf numFmtId="164" fontId="31" fillId="12" borderId="0" pivotButton="0" quotePrefix="0" xfId="27"/>
    <xf numFmtId="169" fontId="42" fillId="6" borderId="13" applyAlignment="1" pivotButton="0" quotePrefix="0" xfId="27">
      <alignment horizontal="center"/>
    </xf>
    <xf numFmtId="196" fontId="7" fillId="0" borderId="0" pivotButton="0" quotePrefix="0" xfId="27"/>
    <xf numFmtId="196" fontId="31" fillId="4" borderId="0" applyAlignment="1" pivotButton="0" quotePrefix="0" xfId="27">
      <alignment horizontal="left"/>
    </xf>
    <xf numFmtId="196" fontId="32" fillId="4" borderId="0" pivotButton="0" quotePrefix="0" xfId="28"/>
    <xf numFmtId="196" fontId="31" fillId="12" borderId="0" applyAlignment="1" pivotButton="0" quotePrefix="0" xfId="27">
      <alignment horizontal="right"/>
    </xf>
    <xf numFmtId="196" fontId="31" fillId="4" borderId="0" applyAlignment="1" pivotButton="0" quotePrefix="0" xfId="27">
      <alignment horizontal="right"/>
    </xf>
    <xf numFmtId="196" fontId="31" fillId="4" borderId="13" applyAlignment="1" pivotButton="0" quotePrefix="0" xfId="27">
      <alignment horizontal="right"/>
    </xf>
    <xf numFmtId="196" fontId="31" fillId="4" borderId="0" pivotButton="0" quotePrefix="0" xfId="27"/>
    <xf numFmtId="174" fontId="7" fillId="0" borderId="0" pivotButton="0" quotePrefix="0" xfId="27"/>
    <xf numFmtId="174" fontId="32" fillId="4" borderId="0" pivotButton="0" quotePrefix="0" xfId="27"/>
    <xf numFmtId="174" fontId="31" fillId="4" borderId="0" applyAlignment="1" pivotButton="0" quotePrefix="0" xfId="27">
      <alignment horizontal="left" indent="3"/>
    </xf>
    <xf numFmtId="174" fontId="31" fillId="12" borderId="0" applyAlignment="1" pivotButton="0" quotePrefix="0" xfId="27">
      <alignment horizontal="right"/>
    </xf>
    <xf numFmtId="174" fontId="31" fillId="4" borderId="0" applyAlignment="1" pivotButton="0" quotePrefix="0" xfId="27">
      <alignment horizontal="right"/>
    </xf>
    <xf numFmtId="174" fontId="31" fillId="4" borderId="13" applyAlignment="1" pivotButton="0" quotePrefix="0" xfId="27">
      <alignment horizontal="right"/>
    </xf>
    <xf numFmtId="174" fontId="31" fillId="4" borderId="0" pivotButton="0" quotePrefix="0" xfId="27"/>
    <xf numFmtId="197" fontId="7" fillId="0" borderId="0" pivotButton="0" quotePrefix="0" xfId="27"/>
    <xf numFmtId="197" fontId="31" fillId="4" borderId="0" applyAlignment="1" pivotButton="0" quotePrefix="0" xfId="27">
      <alignment horizontal="left"/>
    </xf>
    <xf numFmtId="197" fontId="32" fillId="4" borderId="0" pivotButton="0" quotePrefix="0" xfId="28"/>
    <xf numFmtId="197" fontId="31" fillId="12" borderId="0" applyAlignment="1" pivotButton="0" quotePrefix="0" xfId="27">
      <alignment horizontal="right"/>
    </xf>
    <xf numFmtId="197" fontId="31" fillId="4" borderId="0" applyAlignment="1" pivotButton="0" quotePrefix="0" xfId="27">
      <alignment horizontal="right"/>
    </xf>
    <xf numFmtId="197" fontId="31" fillId="4" borderId="13" applyAlignment="1" pivotButton="0" quotePrefix="0" xfId="27">
      <alignment horizontal="right"/>
    </xf>
    <xf numFmtId="197" fontId="31" fillId="4" borderId="0" pivotButton="0" quotePrefix="0" xfId="27"/>
    <xf numFmtId="164" fontId="7" fillId="0" borderId="0" pivotButton="0" quotePrefix="0" xfId="27"/>
    <xf numFmtId="164" fontId="31" fillId="4" borderId="0" pivotButton="0" quotePrefix="0" xfId="27"/>
    <xf numFmtId="164" fontId="35" fillId="4" borderId="0" applyAlignment="1" pivotButton="0" quotePrefix="0" xfId="27">
      <alignment horizontal="left"/>
    </xf>
    <xf numFmtId="174" fontId="0" fillId="0" borderId="0" pivotButton="0" quotePrefix="0" xfId="27"/>
    <xf numFmtId="174" fontId="27" fillId="4" borderId="0" pivotButton="0" quotePrefix="0" xfId="27"/>
    <xf numFmtId="174" fontId="35" fillId="4" borderId="0" applyAlignment="1" pivotButton="0" quotePrefix="0" xfId="27">
      <alignment horizontal="left" indent="3"/>
    </xf>
    <xf numFmtId="174" fontId="35" fillId="12" borderId="0" applyAlignment="1" pivotButton="0" quotePrefix="0" xfId="27">
      <alignment horizontal="right"/>
    </xf>
    <xf numFmtId="174" fontId="35" fillId="4" borderId="0" pivotButton="0" quotePrefix="0" xfId="27"/>
    <xf numFmtId="174" fontId="35" fillId="4" borderId="13" pivotButton="0" quotePrefix="0" xfId="27"/>
    <xf numFmtId="164" fontId="35" fillId="4" borderId="13" pivotButton="0" quotePrefix="0" xfId="27"/>
    <xf numFmtId="165" fontId="34" fillId="6" borderId="0" pivotButton="0" quotePrefix="0" xfId="27"/>
    <xf numFmtId="165" fontId="31" fillId="4" borderId="0" pivotButton="0" quotePrefix="0" xfId="27"/>
    <xf numFmtId="177" fontId="19" fillId="4" borderId="0" applyAlignment="1" pivotButton="0" quotePrefix="0" xfId="26">
      <alignment horizontal="center" vertical="center"/>
    </xf>
    <xf numFmtId="178" fontId="3" fillId="4" borderId="0" applyAlignment="1" pivotButton="0" quotePrefix="0" xfId="26">
      <alignment horizontal="right"/>
    </xf>
    <xf numFmtId="179" fontId="3" fillId="4" borderId="0" applyAlignment="1" pivotButton="0" quotePrefix="0" xfId="26">
      <alignment horizontal="right"/>
    </xf>
    <xf numFmtId="0" fontId="67" fillId="0" borderId="0" pivotButton="0" quotePrefix="0" xfId="0"/>
    <xf numFmtId="0" fontId="68" fillId="0" borderId="0" pivotButton="0" quotePrefix="0" xfId="0"/>
    <xf numFmtId="205" fontId="0" fillId="0" borderId="0" pivotButton="0" quotePrefix="0" xfId="0"/>
    <xf numFmtId="206" fontId="0" fillId="0" borderId="0" pivotButton="0" quotePrefix="0" xfId="0"/>
    <xf numFmtId="0" fontId="69" fillId="0" borderId="0" pivotButton="0" quotePrefix="0" xfId="0"/>
    <xf numFmtId="0" fontId="0" fillId="13" borderId="0" pivotButton="0" quotePrefix="0" xfId="0"/>
    <xf numFmtId="10" fontId="0" fillId="13" borderId="0" pivotButton="0" quotePrefix="0" xfId="0"/>
    <xf numFmtId="205" fontId="69" fillId="0" borderId="0" pivotButton="0" quotePrefix="0" xfId="0"/>
    <xf numFmtId="205" fontId="0" fillId="13" borderId="0" pivotButton="0" quotePrefix="0" xfId="0"/>
    <xf numFmtId="206" fontId="69" fillId="0" borderId="0" pivotButton="0" quotePrefix="0" xfId="0"/>
  </cellXfs>
  <cellStyles count="20">
    <cellStyle name="Normal" xfId="0" builtinId="0"/>
    <cellStyle name="Percent" xfId="1"/>
    <cellStyle name="Currency" xfId="2"/>
    <cellStyle name="Currency [0]" xfId="3"/>
    <cellStyle name="Comma" xfId="4"/>
    <cellStyle name="Comma [0]" xfId="5"/>
    <cellStyle name="Hyperlink" xfId="6"/>
    <cellStyle name="Normal 2" xfId="7"/>
    <cellStyle name="Currency 2" xfId="8"/>
    <cellStyle name="Hyperlink 2" xfId="9"/>
    <cellStyle name="Percent 2" xfId="10"/>
    <cellStyle name="Good" xfId="11"/>
    <cellStyle name="Normal 3" xfId="12"/>
    <cellStyle name="Normal 4" xfId="13"/>
    <cellStyle name="Currency 2 2" xfId="14"/>
    <cellStyle name="Currency 3" xfId="15"/>
    <cellStyle name="Currency 3 2" xfId="16"/>
    <cellStyle name="Normal 4 2" xfId="17"/>
    <cellStyle name="Normal 3 4" xfId="18"/>
    <cellStyle name="Normal 3 4 2" xfId="19"/>
  </cellStyles>
  <dxfs count="11">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
      <font>
        <color rgb="FFF2F2F2"/>
      </font>
      <fill>
        <patternFill>
          <bgColor rgb="FFF2F2F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Tegus (ALT)</author>
    <author>Tegus (AN)</author>
    <author>Tegus (KS)</author>
    <author>Tegus (AR)</author>
    <author>Tegus (CZ)</author>
    <author>Menno Burnet</author>
    <author>Tegus (WW)</author>
    <author>Tegus (AA)</author>
    <author>Tegus (GR)</author>
  </authors>
  <commentList>
    <comment ref="AE34" authorId="0" shapeId="0">
      <text>
        <t>Tegus (ALT):
From IP Q2-25</t>
      </text>
    </comment>
    <comment ref="AI34" authorId="1" shapeId="0">
      <text>
        <t>Tegus (AN):
Revenue backlog was $25.9 billion as of March 31, 2025. Revenue backlog includes RPO of $14.7 billion, plus, subject to the satisfaction of delivery and availability of service requirements, other amounts we estimate will be recognized as revenue in future periods under committed customer contracts of $11.2 billion.</t>
      </text>
    </comment>
    <comment ref="AJ34" authorId="2" shapeId="0">
      <text>
        <t>Tegus (KS):
As of June 30, 2025, the Company had $30.1 billion of unsatisfied RPO, of which 50% is expected to be recognized over the initial 24 months ending June 30, 2027, 40% between months 25 and 48, and the remaining balance recognized between months 49 and 72. This includes amounts from the Commercial Agreement with OpenAI (as described above).</t>
      </text>
    </comment>
    <comment ref="AK34" authorId="3" shapeId="0">
      <text>
        <t>Tegus (AR):
As of September 30, 2025, the Company had $50.0 billion of unsatisfied RPO, of which 42% is expected to be recognized over the initial 24 months ending September 30, 2027, 39% between months 25 and 48, and the remaining balance recognized between months 49 and 84.</t>
      </text>
    </comment>
    <comment ref="AE35" authorId="0" shapeId="0">
      <text>
        <t>Tegus (ALT):
From IP Q2-25</t>
      </text>
    </comment>
    <comment ref="AE36" authorId="0" shapeId="0">
      <text>
        <t>Tegus (ALT):
From IP Q2-25</t>
      </text>
    </comment>
    <comment ref="AF36" authorId="4" shapeId="0">
      <text>
        <t>Tegus (CZ):
Substantially all of the remainder over the subsequent 36 months ending September 30, 2029.</t>
      </text>
    </comment>
    <comment ref="AE37" authorId="0" shapeId="0">
      <text>
        <t>Tegus (ALT):
From IP Q2-25</t>
      </text>
    </comment>
    <comment ref="AJ92" authorId="0" shapeId="0">
      <text>
        <t>Tegus (ALT):
Assuming Amortization of Intangibles are all allocated to G&amp;A</t>
      </text>
    </comment>
    <comment ref="AK92" authorId="0" shapeId="0">
      <text>
        <t>Tegus (ALT):
Assuming Amortization of Intangibles are all allocated to G&amp;A</t>
      </text>
    </comment>
    <comment ref="AI93" authorId="1" shapeId="0">
      <text>
        <t>Tegus (AN):
Assuming acquisition related-cost are all allocated to G&amp;A</t>
      </text>
    </comment>
    <comment ref="AJ93" authorId="1" shapeId="0">
      <text>
        <t>Tegus (AN):
Assuming acquisition related-cost are all allocated to G&amp;A</t>
      </text>
    </comment>
    <comment ref="AK93" authorId="1" shapeId="0">
      <text>
        <t>Tegus (AN):
Assuming acquisition related-cost are all allocated to G&amp;A</t>
      </text>
    </comment>
    <comment ref="AD127" authorId="2" shapeId="0">
      <text>
        <t>Tegus (KS):
From Q1-2025 report</t>
      </text>
    </comment>
    <comment ref="AE127" authorId="2" shapeId="0">
      <text>
        <t>Tegus (KS):
From Q2-2025 report</t>
      </text>
    </comment>
    <comment ref="AF127" authorId="2" shapeId="0">
      <text>
        <t>Tegus (KS):
From Q3-2025 report</t>
      </text>
    </comment>
    <comment ref="AD128" authorId="0" shapeId="0">
      <text>
        <t>Tegus (ALT):
Backed out, amortization expenses for intangible assets were less than $1 million for each of the three months ended March 31, 2025 and 2024.</t>
      </text>
    </comment>
    <comment ref="AE128" authorId="2" shapeId="0">
      <text>
        <t>Tegus (KS):
Backed out. Amortization expenses for intangible assets were $6 million and $1 million for the three months ended June 30, 2025 and 2024, respectively.</t>
      </text>
    </comment>
    <comment ref="AF128" authorId="0" shapeId="0">
      <text>
        <t>Tegus:
To be updated with T+1</t>
      </text>
    </comment>
    <comment ref="AI128" authorId="0" shapeId="0">
      <text>
        <t>Tegus (ALT):
Backed out, amortization expenses for intangible assets were less than $1 million for each of the three months ended March 31, 2025 and 2024.</t>
      </text>
    </comment>
    <comment ref="AJ128" authorId="2" shapeId="0">
      <text>
        <t>Tegus (KS):
Backed out. Amortization expenses for intangible assets were $6 million and $1 million for the three months ended June 30, 2025 and 2024, respectively.</t>
      </text>
    </comment>
    <comment ref="AK128" authorId="3" shapeId="0">
      <text>
        <t>Tegus (AR):
Backed out. Amortization expenses for intangible assets were $10 million and $1 million for the three months ended September 30, 2025 and 2024, respectively, and $17 million and $2 million for the nine months ended September 30, 2025 and 2024, respectively.</t>
      </text>
    </comment>
    <comment ref="AD135" authorId="2" shapeId="0">
      <text>
        <t>Tegus (KS):
From Q1-2025 report</t>
      </text>
    </comment>
    <comment ref="AE135" authorId="2" shapeId="0">
      <text>
        <t>Tegus (KS):
From Q2-2025 report</t>
      </text>
    </comment>
    <comment ref="AF135" authorId="3" shapeId="0">
      <text>
        <t>Tegus (AR):
From Q3-2025</t>
      </text>
    </comment>
    <comment ref="AE145" authorId="2" shapeId="0">
      <text>
        <t>Tegus (KS):
Breakdown from Q2-2025 report</t>
      </text>
    </comment>
    <comment ref="AA148" authorId="4" shapeId="0">
      <text>
        <t>Tegus (CZ):
9M</t>
      </text>
    </comment>
    <comment ref="AD148" authorId="2" shapeId="0">
      <text>
        <t>Tegus (KS):
From Q1-2025 report</t>
      </text>
    </comment>
    <comment ref="AE148" authorId="2" shapeId="0">
      <text>
        <t>Tegus (KS):
From Q2-2025 report</t>
      </text>
    </comment>
    <comment ref="AF148" authorId="4" shapeId="0">
      <text>
        <t>Tegus (CZ):
9M</t>
      </text>
    </comment>
    <comment ref="AI148" authorId="0" shapeId="0">
      <text>
        <t>Tegus (ALT):
Revenue recognized related to customer commitments, including revenue from delivering capacity prior to commitment start dates, represented 98% and 94% of total revenue for the three months ended March 31, 2025 and 2024, respectively.</t>
      </text>
    </comment>
    <comment ref="AJ148" authorId="2" shapeId="0">
      <text>
        <t>Tegus (KS):
Revenue recognized related to customer commitments, including revenue from delivering capacity prior to commitment start dates, represented 98% and 96% of total revenue for the three months ended June 30, 2025 and 2024, respectively.</t>
      </text>
    </comment>
    <comment ref="AK148" authorId="3" shapeId="0">
      <text>
        <t>Tegus (AR):
Revenue recognized related to customer commitments, including revenue from delivering capacity prior to commitment start dates, represented 98% and 96% of total revenue for the three months ended September 30, 2025 and 2024, respectively</t>
      </text>
    </comment>
    <comment ref="AI149" authorId="0" shapeId="0">
      <text>
        <t>Tegus (ALT):
Not reported</t>
      </text>
    </comment>
    <comment ref="AJ149" authorId="0" shapeId="0">
      <text>
        <t>Tegus (KS):
Not reported</t>
      </text>
    </comment>
    <comment ref="AK149" authorId="3" shapeId="0">
      <text>
        <t>Tegus (AR):
Not reported.</t>
      </text>
    </comment>
    <comment ref="AI151" authorId="0" shapeId="0">
      <text>
        <t>Tegus (ALT):
Not reported</t>
      </text>
    </comment>
    <comment ref="AJ151" authorId="0" shapeId="0">
      <text>
        <t>Tegus (KS):
Not reported</t>
      </text>
    </comment>
    <comment ref="AK151" authorId="3" shapeId="0">
      <text>
        <t>Tegus (AR):
Not reported.</t>
      </text>
    </comment>
    <comment ref="AJ153" authorId="0" shapeId="0">
      <text>
        <t xml:space="preserve">Tegus (ALT):
From IP
</t>
      </text>
    </comment>
    <comment ref="AJ154" authorId="0" shapeId="0">
      <text>
        <t xml:space="preserve">Tegus (ALT):
From IP
</t>
      </text>
    </comment>
    <comment ref="X155" authorId="4" shapeId="0">
      <text>
        <t>Tegus (CZ):
More than</t>
      </text>
    </comment>
    <comment ref="AH155" authorId="4" shapeId="0">
      <text>
        <t>Tegus (CZ):
Over</t>
      </text>
    </comment>
    <comment ref="AI155" authorId="0" shapeId="0">
      <text>
        <t>Tegus (ALT):
Not reported</t>
      </text>
    </comment>
    <comment ref="AJ155" authorId="0" shapeId="0">
      <text>
        <t>Tegus (KS):
Not reported</t>
      </text>
    </comment>
    <comment ref="AK155" authorId="3" shapeId="0">
      <text>
        <t>Tegus (AR):
Not reported.</t>
      </text>
    </comment>
    <comment ref="AI156" authorId="1" shapeId="0">
      <text>
        <t>Tegus (ALT):
In IP</t>
      </text>
    </comment>
    <comment ref="AJ156" authorId="0" shapeId="0">
      <text>
        <t xml:space="preserve">Tegus (ALT):
From IP
</t>
      </text>
    </comment>
    <comment ref="AA182" authorId="5" shapeId="0">
      <text>
        <t>Tegus (MB):
9 month figure</t>
      </text>
    </comment>
    <comment ref="AA189" authorId="5" shapeId="0">
      <text>
        <t>Tegus (MB):
9 month figure</t>
      </text>
    </comment>
    <comment ref="AD191" authorId="6" shapeId="0">
      <text>
        <t>Tegus (WW):
Backfilled with Q1-2025 Report.</t>
      </text>
    </comment>
    <comment ref="AE191" authorId="6" shapeId="0">
      <text>
        <t>Tegus (WW):
Backfilled with Q2-2025 Report.</t>
      </text>
    </comment>
    <comment ref="AF191" authorId="6" shapeId="0">
      <text>
        <t>Tegus (WW):
Backfilled with Q3-2025 Report.</t>
      </text>
    </comment>
    <comment ref="AD216" authorId="7" shapeId="0">
      <text>
        <t>Tegus (AA):
backed out by 6-m data</t>
      </text>
    </comment>
    <comment ref="AI216" authorId="7" shapeId="0">
      <text>
        <t>Tegus (AA):
backed out by 6-m data</t>
      </text>
    </comment>
    <comment ref="AJ216" authorId="7" shapeId="0">
      <text>
        <t>Tegus (AA):
reported as 2,937</t>
      </text>
    </comment>
    <comment ref="AI219" authorId="0" shapeId="0">
      <text>
        <t>Tegus (ALT):
Approximately 90% of the increase in revenue was attributable to expansion within our existing customer base and the remaining increase was attributable to new customers.</t>
      </text>
    </comment>
    <comment ref="AJ219" authorId="2" shapeId="0">
      <text>
        <t>Tegus (KS):
Approximately 92% and 96% of the increase in revenue was attributable to expansion within our existing customer base and the remaining increase was attributable to new customers for the three and six months ended June 30, 2025, respectively.</t>
      </text>
    </comment>
    <comment ref="AJ242" authorId="2" shapeId="0">
      <text>
        <t>Tegus (KS):
This increase was primarily attributable to an increase in depreciation and amortization of approximately $379 million, from $158 million for the three months ended June 30, 2024, to $537 million for the three months ended June 30, 2025. These increases in depreciation and amortization were related to investments in our platform and servers, switches, and other networking equipment fixed assets within our infrastructure, as well as an increase of approximately $76 million of personnel costs, of which $46 million related to stock-based compensation expense, and an increase of approximately $12 million of equipment support and software expenses.</t>
      </text>
    </comment>
    <comment ref="AJ249" authorId="2" shapeId="0">
      <text>
        <t>Tegus (KS):
This increase was primarily attributable to an increase of $14 million of advertising and sponsorship expenses and an increase of approximately $14 million in personnel costs, of which $8 million related to stock-based compensation expense.</t>
      </text>
    </comment>
    <comment ref="AJ257" authorId="2" shapeId="0">
      <text>
        <t>Tegus (KS):
This increase was primarily attributable to an increase of approximately $104 million in personnel-related expenses, which includes headcount growth to support our expanding operations and $82 million related to stock-based compensation expense. Professional services expenses also increased by approximately $52 million, primarily from accounting, tax, legal, and advisory services necessary to support our growth and public company compliance activities.</t>
      </text>
    </comment>
    <comment ref="AD290" authorId="4" shapeId="0">
      <text>
        <t>Tegus (CZ):
not reported</t>
      </text>
    </comment>
    <comment ref="AE290" authorId="4" shapeId="0">
      <text>
        <t>Tegus (CZ):
not reported</t>
      </text>
    </comment>
    <comment ref="AF290" authorId="4" shapeId="0">
      <text>
        <t>Tegus (CZ):
not reported</t>
      </text>
    </comment>
    <comment ref="AG290" authorId="4" shapeId="0">
      <text>
        <t>Tegus (CZ):
not reported</t>
      </text>
    </comment>
    <comment ref="AD291" authorId="4" shapeId="0">
      <text>
        <t>Tegus (CZ):
not reported</t>
      </text>
    </comment>
    <comment ref="AE291" authorId="4" shapeId="0">
      <text>
        <t>Tegus (CZ):
not reported</t>
      </text>
    </comment>
    <comment ref="AF291" authorId="4" shapeId="0">
      <text>
        <t>Tegus (CZ):
not reported</t>
      </text>
    </comment>
    <comment ref="AG291" authorId="4" shapeId="0">
      <text>
        <t>Tegus (CZ):
not reported</t>
      </text>
    </comment>
    <comment ref="AF296" authorId="4" shapeId="0">
      <text>
        <t>Tegus (ALT):
Estimated, to be updated with T+1</t>
      </text>
    </comment>
    <comment ref="AD299" authorId="4" shapeId="0">
      <text>
        <t>Tegus (CZ):
Missing CFS</t>
      </text>
    </comment>
    <comment ref="AJ349" authorId="0" shapeId="0">
      <text>
        <t>Tegus (ALT):
Assuming Amortization of Intangibles are all allocated to G&amp;A</t>
      </text>
    </comment>
    <comment ref="AK349" authorId="0" shapeId="0">
      <text>
        <t>Tegus (ALT):
Assuming Amortization of Intangibles are all allocated to G&amp;A</t>
      </text>
    </comment>
    <comment ref="AI350" authorId="1" shapeId="0">
      <text>
        <t>Tegus (AN):
Assuming acquisition related-cost are all allocated to G&amp;A</t>
      </text>
    </comment>
    <comment ref="AJ350" authorId="0" shapeId="0">
      <text>
        <t>Tegus (ALT):
Assuming acquisition related-cost are all allocated to G&amp;A</t>
      </text>
    </comment>
    <comment ref="AK350" authorId="0" shapeId="0">
      <text>
        <t>Tegus (ALT):
Assuming acquisition related-cost are all allocated to G&amp;A</t>
      </text>
    </comment>
    <comment ref="AE382" authorId="4" shapeId="0">
      <text>
        <t>Tegus (ALT):
Estimated, to be updated with T+1</t>
      </text>
    </comment>
    <comment ref="AF382" authorId="4" shapeId="0">
      <text>
        <t>Tegus (ALT):
Estimated, to be updated with T+1</t>
      </text>
    </comment>
    <comment ref="AA404" authorId="4" shapeId="0">
      <text>
        <t>Tegus (CZ):
Adjusted for a 20:1 stock split effective on March 14, 2025</t>
      </text>
    </comment>
    <comment ref="AA405" authorId="4" shapeId="0">
      <text>
        <t>Tegus (CZ):
Adjusted for a 20:1 stock split effective on March 14, 2025</t>
      </text>
    </comment>
    <comment ref="AA406" authorId="4" shapeId="0">
      <text>
        <t>Tegus (CZ):
Adjusted for a 20:1 stock split effective on March 14, 2025</t>
      </text>
    </comment>
    <comment ref="X411" authorId="4" shapeId="0">
      <text>
        <t>Tegus (CZ):
9 month cumulative as a proxy. 
Adjusted for a 20:1 stock split effective on March 14, 2025</t>
      </text>
    </comment>
    <comment ref="AA411" authorId="4" shapeId="0">
      <text>
        <t>Tegus (CZ):
9 month cumulative as a proxy. 
Adjusted for a 20:1 stock split effective on March 14, 2025</t>
      </text>
    </comment>
    <comment ref="AD411" authorId="1" shapeId="0">
      <text>
        <t>Tegus (AN):
Estimated</t>
      </text>
    </comment>
    <comment ref="AE411" authorId="1" shapeId="0">
      <text>
        <t>Tegus (KS):
Estimated</t>
      </text>
    </comment>
    <comment ref="A424" authorId="8" shapeId="0">
      <text>
        <t>Tegus:
In periods where EPS is negative, this amount is calculated using the closest prior period where EPS was positive.</t>
      </text>
    </comment>
    <comment ref="X424" authorId="4" shapeId="0">
      <text>
        <t>Tegus (CZ):
Estimated</t>
      </text>
    </comment>
    <comment ref="AA424" authorId="4" shapeId="0">
      <text>
        <t>Tegus (CZ):
Formula adjusted</t>
      </text>
    </comment>
    <comment ref="AB424" authorId="4" shapeId="0">
      <text>
        <t>Tegus (CZ):
Formula adjusted</t>
      </text>
    </comment>
    <comment ref="AC424" authorId="4" shapeId="0">
      <text>
        <t>Tegus (CZ):
Estimated</t>
      </text>
    </comment>
    <comment ref="AF447" authorId="4" shapeId="0">
      <text>
        <t>Tegus (CZ):
Formula adjusted to account for 9 month results</t>
      </text>
    </comment>
    <comment ref="AF448" authorId="4" shapeId="0">
      <text>
        <t>Tegus (CZ):
Formula adjusted to account for 9 month results</t>
      </text>
    </comment>
    <comment ref="AA471" authorId="4" shapeId="0">
      <text>
        <t>Tegus (CZ):
9 month reesults</t>
      </text>
    </comment>
    <comment ref="AJ535" authorId="0" shapeId="0">
      <text>
        <t>Tegus (ALT):
Business combination, net of cash acquired</t>
      </text>
    </comment>
    <comment ref="AI550" authorId="1" shapeId="0">
      <text>
        <t>Tegus (AN):
IPO proceeds</t>
      </text>
    </comment>
    <comment ref="AD563" authorId="2" shapeId="0">
      <text>
        <t>Tegus (KS):
From Q1-2025 report</t>
      </text>
    </comment>
    <comment ref="AE563" authorId="2" shapeId="0">
      <text>
        <t>Tegus (KS):
From Q2-2025 report</t>
      </text>
    </comment>
    <comment ref="AD564" authorId="0" shapeId="0">
      <text>
        <t>Tegus (ALT):
Not reported</t>
      </text>
    </comment>
    <comment ref="AE564" authorId="0" shapeId="0">
      <text>
        <t>Tegus (KS):
Not reported</t>
      </text>
    </comment>
    <comment ref="AI564" authorId="0" shapeId="0">
      <text>
        <t>Tegus (ALT):
Not reported</t>
      </text>
    </comment>
    <comment ref="AJ564" authorId="0" shapeId="0">
      <text>
        <t>Tegus (KS):
Not reported</t>
      </text>
    </comment>
    <comment ref="AK564" authorId="3" shapeId="0">
      <text>
        <t>Tegus (AR):
Not reported.</t>
      </text>
    </comment>
    <comment ref="AI614" authorId="1" shapeId="0">
      <text>
        <t>Tegus (AN):
IPO Proceeds</t>
      </text>
    </comment>
    <comment ref="X630" authorId="4" shapeId="0">
      <text>
        <t>Tegus (CZ):
Missing BS</t>
      </text>
    </comment>
    <comment ref="AD630" authorId="4" shapeId="0">
      <text>
        <t>Tegus (CZ):
Missing BS</t>
      </text>
    </comment>
    <comment ref="AE630" authorId="4" shapeId="0">
      <text>
        <t>Tegus (CZ):
Missing BS</t>
      </text>
    </comment>
    <comment ref="AI731" authorId="1" shapeId="0">
      <text>
        <t>Tegus (AN):
Rounding</t>
      </text>
    </comment>
    <comment ref="AI732" authorId="1" shapeId="0">
      <text>
        <t>Tegus (AN):
Rounding</t>
      </text>
    </comment>
    <comment ref="X738" authorId="4" shapeId="0">
      <text>
        <t>Tegus (CZ):
BS not available</t>
      </text>
    </comment>
    <comment ref="Y738" authorId="4" shapeId="0">
      <text>
        <t>Tegus (CZ):
BS not available</t>
      </text>
    </comment>
    <comment ref="Z738" authorId="4" shapeId="0">
      <text>
        <t>Tegus (CZ):
BS not available</t>
      </text>
    </comment>
    <comment ref="AA738" authorId="4" shapeId="0">
      <text>
        <t>Tegus (CZ):
BS not available</t>
      </text>
    </comment>
    <comment ref="AD738" authorId="4" shapeId="0">
      <text>
        <t>Tegus (CZ):
BS not available</t>
      </text>
    </comment>
    <comment ref="AE738" authorId="4" shapeId="0">
      <text>
        <t>Tegus (CZ):
BS not available</t>
      </text>
    </comment>
    <comment ref="AI742" authorId="1" shapeId="0">
      <text>
        <t>Tegus (AN):
Rounding</t>
      </text>
    </comment>
    <comment ref="AM742" authorId="1" shapeId="0">
      <text>
        <t>Tegus (AN):
Rounding</t>
      </text>
    </comment>
    <comment ref="X743" authorId="4" shapeId="0">
      <text>
        <t>Tegus (CZ):
Quarterly results not available</t>
      </text>
    </comment>
    <comment ref="X746" authorId="4" shapeId="0">
      <text>
        <t>Tegus (CZ):
Quarterly results not available</t>
      </text>
    </comment>
    <comment ref="X747" authorId="4" shapeId="0">
      <text>
        <t>Tegus (CZ):
Quarterly results not available</t>
      </text>
    </comment>
    <comment ref="X748" authorId="4" shapeId="0">
      <text>
        <t>Tegus (CZ):
Quarterly results not available</t>
      </text>
    </comment>
    <comment ref="X749" authorId="4" shapeId="0">
      <text>
        <t>Tegus (CZ):
Quarterly results not available</t>
      </text>
    </comment>
    <comment ref="X750" authorId="4" shapeId="0">
      <text>
        <t>Tegus (CZ):
Quarterly results not available</t>
      </text>
    </comment>
    <comment ref="X751" authorId="4" shapeId="0">
      <text>
        <t>Tegus (CZ):
Quarterly results not available</t>
      </text>
    </comment>
    <comment ref="X752" authorId="4" shapeId="0">
      <text>
        <t>Tegus (CZ):
Quarterly results not available</t>
      </text>
    </comment>
  </commentList>
</comments>
</file>

<file path=xl/comments/comment2.xml><?xml version="1.0" encoding="utf-8"?>
<comments xmlns="http://schemas.openxmlformats.org/spreadsheetml/2006/main">
  <authors>
    <author>Tegus (CZ)</author>
  </authors>
  <commentList>
    <comment ref="B14" authorId="0" shapeId="0">
      <text>
        <t>Tegus (CZ):
calculated</t>
      </text>
    </comment>
    <comment ref="B26" authorId="0" shapeId="0">
      <text>
        <t>Tegus (CZ):
calculated</t>
      </text>
    </comment>
    <comment ref="C59" authorId="0" shapeId="0">
      <text>
        <t>Tegus (CZ):
47,219,000 options outstanding as of December 31, 2024
641,000 options were exercised by cash in connection with this offering by certain selling stockholders, with a weighted-average exercise price of $1.37 per share, for total gross proceeds to the company of approximately $2 million, by certain selling stockholders in connection with the sale of all or a portion of such shares by such selling stockholders in this offering, as described in “Principal and Selling Stockholders” (the “Option Exercise”)</t>
      </text>
    </comment>
    <comment ref="C60" authorId="0" shapeId="0">
      <text>
        <t>Tegus (CZ):
47,219,000 options outstanding as of December 31, 2024
641,000 options were exercised by cash in connection with this offering by certain selling stockholders, with a weighted-average exercise price of $1.37 per share, for total gross proceeds to the company of approximately $2 million, by certain selling stockholders in connection with the sale of all or a portion of such shares by such selling stockholders in this offering, as described in “Principal and Selling Stockholders” (the “Option Exercise”)</t>
      </text>
    </comment>
    <comment ref="C68" authorId="0" shapeId="0">
      <text>
        <t>Tegus (CZ):
calculated</t>
      </text>
    </comment>
    <comment ref="C72" authorId="0" shapeId="0">
      <text>
        <t>Tegus (CZ):
In October 2022, the Registrant issued warrants to purchase up to 4,337,386 shares of its Class A common stock to nine accredited investors at an exercise price of $4.33 per share and warrants to purchase up to 7,807,282 shares of its Class A common stock to 9 accredited investors at an exercise price of $0.0005 per share.</t>
      </text>
    </comment>
    <comment ref="C73" authorId="0" shapeId="0">
      <text>
        <t>Tegus (CZ):
In October 2022, the Registrant issued warrants to purchase up to 4,337,386 shares of its Class A common stock to nine accredited investors at an exercise price of $4.33 per share and warrants to purchase up to 7,807,282 shares of its Class A common stock to 9 accredited investors at an exercise price of $0.0005 per share.</t>
      </text>
    </comment>
    <comment ref="C74" authorId="0" shapeId="0">
      <text>
        <t>Tegus (CZ):
In October 2022, the Registrant issued warrants to purchase up to 4,337,386 shares of its Class A common stock to nine accredited investors at an exercise price of $4.33 per share and warrants to purchase up to 7,807,282 shares of its Class A common stock to 9 accredited investors at an exercise price of $0.0005 per share.</t>
      </text>
    </comment>
    <comment ref="C75" authorId="0" shapeId="0">
      <text>
        <t>Tegus (CZ):
In October 2022, the Registrant issued warrants to purchase up to 4,337,386 shares of its Class A common stock to nine accredited investors at an exercise price of $4.33 per share and warrants to purchase up to 7,807,282 shares of its Class A common stock to 9 accredited investors at an exercise price of $0.0005 per share.</t>
      </text>
    </comment>
    <comment ref="C78" authorId="0" shapeId="0">
      <text>
        <t>Tegus (CZ):
14,982,220 shares of our Class A common stock issuable upon the vesting and settlement of restricted stock units (“RSUs”) outstanding as of December 31, 2024 under the 2019 Plan for which the service-based vesting condition was not satisfied as of December 31, 2024 and for which the performance-based vesting condition will be satisfied in connection with this offering;
8,753,320 shares of our Class A common stock issuable upon the vesting and settlement of RSUs granted after December 31, 2024 under the 2019 Plan;</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editAs="oneCell">
    <from>
      <col>2</col>
      <colOff>0</colOff>
      <row>1</row>
      <rowOff>0</rowOff>
    </from>
    <to>
      <col>5</col>
      <colOff>177165</colOff>
      <row>6</row>
      <rowOff>19050</rowOff>
    </to>
    <pic>
      <nvPicPr>
        <cNvPr id="9" name="CanalystByASLogo"/>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04875" y="180975"/>
          <a:ext cx="2143125" cy="971550"/>
        </a:xfrm>
        <a:prstGeom xmlns:a="http://schemas.openxmlformats.org/drawingml/2006/main" prst="rect"/>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0</colOff>
      <row>1</row>
      <rowOff>0</rowOff>
    </from>
    <to>
      <col>3</col>
      <colOff>1257300</colOff>
      <row>6</row>
      <rowOff>139065</rowOff>
    </to>
    <pic>
      <nvPicPr>
        <cNvPr id="9" name="CanalystByASLogo"/>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52500" y="180975"/>
          <a:ext cx="2305050" cy="1047750"/>
        </a:xfrm>
        <a:prstGeom xmlns:a="http://schemas.openxmlformats.org/drawingml/2006/main" prst="rect"/>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support@tegus.com?subject=Tegus%20Support:%20CoreWeave%20CRWV%20US&amp;body=Model%20Version:%20" TargetMode="External" Id="rId1"/><Relationship Type="http://schemas.openxmlformats.org/officeDocument/2006/relationships/hyperlink" Target="mailto:support@tegus.com?subject=Tegus%20Support:%20CoreWeave%20CRWV%20US&amp;body=Model%20Version:%20" TargetMode="External" Id="rId2"/><Relationship Type="http://schemas.openxmlformats.org/officeDocument/2006/relationships/hyperlink" Target="mailto:support@tegus.com?subject=Tegus%20Support:%20CoreWeave%20CRWV%20US&amp;body=Model%20Version:%20" TargetMode="External" Id="rId3"/><Relationship Type="http://schemas.openxmlformats.org/officeDocument/2006/relationships/drawing" Target="/xl/drawings/drawing1.xml" Id="rId4"/></Relationships>
</file>

<file path=xl/worksheets/_rels/sheet3.xml.rels><Relationships xmlns="http://schemas.openxmlformats.org/package/2006/relationships"><Relationship Type="http://schemas.openxmlformats.org/officeDocument/2006/relationships/hyperlink" Target="https://investors.coreweave.com/overview/default.aspx"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https://s205.q4cdn.com/133937190/files/doc_financials/2025/q3/Guidance.pdf" TargetMode="External" Id="rId1"/><Relationship Type="http://schemas.openxmlformats.org/officeDocument/2006/relationships/hyperlink" Target="https://s205.q4cdn.com/133937190/files/doc_financials/2025/q3/Guidance.pdf" TargetMode="External" Id="rId2"/><Relationship Type="http://schemas.openxmlformats.org/officeDocument/2006/relationships/hyperlink" Target="https://s205.q4cdn.com/133937190/files/doc_financials/2025/q3/Guidance.pdf" TargetMode="External" Id="rId3"/><Relationship Type="http://schemas.openxmlformats.org/officeDocument/2006/relationships/hyperlink" Target="https://s205.q4cdn.com/133937190/files/doc_financials/2025/q3/Guidance.pdf" TargetMode="External" Id="rId4"/><Relationship Type="http://schemas.openxmlformats.org/officeDocument/2006/relationships/hyperlink" Target="https://s205.q4cdn.com/133937190/files/doc_financials/2025/q2/Q3-and-FY-2025-Outlook-Presentation.pdf" TargetMode="External" Id="rId5"/><Relationship Type="http://schemas.openxmlformats.org/officeDocument/2006/relationships/hyperlink" Target="https://s205.q4cdn.com/133937190/files/doc_financials/2025/q2/Q3-and-FY-2025-Outlook-Presentation.pdf" TargetMode="External" Id="rId6"/><Relationship Type="http://schemas.openxmlformats.org/officeDocument/2006/relationships/hyperlink" Target="https://s205.q4cdn.com/133937190/files/doc_financials/2025/q2/Q3-and-FY-2025-Outlook-Presentation.pdf" TargetMode="External" Id="rId7"/><Relationship Type="http://schemas.openxmlformats.org/officeDocument/2006/relationships/hyperlink" Target="https://s205.q4cdn.com/133937190/files/doc_financials/2025/q2/Q3-and-FY-2025-Outlook-Presentation.pdf" TargetMode="External" Id="rId8"/><Relationship Type="http://schemas.openxmlformats.org/officeDocument/2006/relationships/hyperlink" Target="https://s205.q4cdn.com/133937190/files/doc_financials/2025/q2/Q3-and-FY-2025-Outlook-Presentation.pdf" TargetMode="External" Id="rId9"/><Relationship Type="http://schemas.openxmlformats.org/officeDocument/2006/relationships/hyperlink" Target="https://s205.q4cdn.com/133937190/files/doc_financials/2025/q2/Q3-and-FY-2025-Outlook-Presentation.pdf" TargetMode="External" Id="rId10"/><Relationship Type="http://schemas.openxmlformats.org/officeDocument/2006/relationships/hyperlink" Target="https://s205.q4cdn.com/133937190/files/doc_financials/2025/q2/Q3-and-FY-2025-Outlook-Presentation.pdf" TargetMode="External" Id="rId11"/><Relationship Type="http://schemas.openxmlformats.org/officeDocument/2006/relationships/hyperlink" Target="https://s205.q4cdn.com/133937190/files/doc_financials/2025/q1/CoreWeave-Q2-and-FY-2025-Outlook-Presentation.pdf" TargetMode="External" Id="rId12"/><Relationship Type="http://schemas.openxmlformats.org/officeDocument/2006/relationships/hyperlink" Target="https://s205.q4cdn.com/133937190/files/doc_financials/2025/q1/CoreWeave-Q2-and-FY-2025-Outlook-Presentation.pdf" TargetMode="External" Id="rId13"/><Relationship Type="http://schemas.openxmlformats.org/officeDocument/2006/relationships/hyperlink" Target="https://s205.q4cdn.com/133937190/files/doc_financials/2025/q1/CoreWeave-Q2-and-FY-2025-Outlook-Presentation.pdf" TargetMode="External" Id="rId14"/><Relationship Type="http://schemas.openxmlformats.org/officeDocument/2006/relationships/hyperlink" Target="https://s205.q4cdn.com/133937190/files/doc_financials/2025/q1/CoreWeave-Q2-and-FY-2025-Outlook-Presentation.pdf" TargetMode="External" Id="rId15"/><Relationship Type="http://schemas.openxmlformats.org/officeDocument/2006/relationships/hyperlink" Target="https://s205.q4cdn.com/133937190/files/doc_financials/2025/q1/CoreWeave-Q2-and-FY-2025-Outlook-Presentation.pdf" TargetMode="External" Id="rId16"/><Relationship Type="http://schemas.openxmlformats.org/officeDocument/2006/relationships/hyperlink" Target="https://s205.q4cdn.com/133937190/files/doc_financials/2025/q1/CoreWeave-Q2-and-FY-2025-Outlook-Presentation.pdf" TargetMode="External" Id="rId17"/><Relationship Type="http://schemas.openxmlformats.org/officeDocument/2006/relationships/hyperlink" Target="https://s205.q4cdn.com/133937190/files/doc_financials/2025/q1/CoreWeave-Q2-and-FY-2025-Outlook-Presentation.pdf" TargetMode="External" Id="rId18"/></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https://investors.coreweave.com/news/news-details/2025/CoreWeave-Reports-Strong-Third-Quarter-2025-Results/" TargetMode="External" Id="rId1"/><Relationship Type="http://schemas.openxmlformats.org/officeDocument/2006/relationships/hyperlink" Target="https://investors.coreweave.com/news/news-details/2025/CoreWeave-Reports-Strong-Third-Quarter-2025-Results/" TargetMode="External" Id="rId2"/><Relationship Type="http://schemas.openxmlformats.org/officeDocument/2006/relationships/hyperlink" Target="https://investors.coreweave.com/news/news-details/2025/CoreWeave-Reports-Strong-Second-Quarter-2025-Results/default.aspx" TargetMode="External" Id="rId3"/><Relationship Type="http://schemas.openxmlformats.org/officeDocument/2006/relationships/hyperlink" Target="https://investors.coreweave.com/news/news-details/2025/CoreWeave-Reports-Strong-Second-Quarter-2025-Results/default.aspx" TargetMode="External" Id="rId4"/><Relationship Type="http://schemas.openxmlformats.org/officeDocument/2006/relationships/hyperlink" Target="https://investors.coreweave.com/news/news-details/2025/CoreWeave-Reports-Strong-First-Quarter-2025-Results/default.aspx" TargetMode="External" Id="rId5"/><Relationship Type="http://schemas.openxmlformats.org/officeDocument/2006/relationships/hyperlink" Target="https://investors.coreweave.com/news/news-details/2025/CoreWeave-Reports-Strong-First-Quarter-2025-Results/default.aspx" TargetMode="External" Id="rId6"/><Relationship Type="http://schemas.openxmlformats.org/officeDocument/2006/relationships/hyperlink" Target="https://www.sec.gov/Archives/edgar/data/1769628/000119312525067651/d899798d424b4.htm" TargetMode="External" Id="rId7"/><Relationship Type="http://schemas.openxmlformats.org/officeDocument/2006/relationships/hyperlink" Target="https://www.sec.gov/Archives/edgar/data/1769628/000119312525058309/d899798ds1a.htm" TargetMode="External" Id="rId8"/><Relationship Type="http://schemas.openxmlformats.org/officeDocument/2006/relationships/hyperlink" Target="https://www.sec.gov/Archives/edgar/data/1769628/000119312525044231/d899798ds1.htm" TargetMode="External" Id="rId9"/><Relationship Type="http://schemas.openxmlformats.org/officeDocument/2006/relationships/drawing" Target="/xl/drawings/drawing2.xml" Id="rId10"/></Relationships>
</file>

<file path=xl/worksheets/sheet1.xml><?xml version="1.0" encoding="utf-8"?>
<worksheet xmlns="http://schemas.openxmlformats.org/spreadsheetml/2006/main">
  <sheetPr codeName="Sheet5">
    <outlinePr summaryBelow="1" summaryRight="1"/>
    <pageSetUpPr fitToPage="1"/>
  </sheetPr>
  <dimension ref="A1:W57"/>
  <sheetViews>
    <sheetView showGridLines="0" tabSelected="1" topLeftCell="A1" workbookViewId="0">
      <selection activeCell="A1" sqref="A1"/>
    </sheetView>
  </sheetViews>
  <sheetFormatPr baseColWidth="8" defaultColWidth="8.88428571428571" defaultRowHeight="14.4"/>
  <cols>
    <col width="5.71428571428571" customWidth="1" style="16" min="1" max="1"/>
    <col width="7.85714285714286" customWidth="1" style="16" min="2" max="2"/>
    <col width="10.2857142857143" customWidth="1" style="16" min="3" max="3"/>
    <col width="13.7142857142857" customWidth="1" style="16" min="4" max="4"/>
    <col width="5.42857142857143" customWidth="1" style="16" min="5" max="5"/>
    <col width="13.7142857142857" customWidth="1" style="16" min="6" max="6"/>
    <col width="6.85714285714286" customWidth="1" style="16" min="7" max="7"/>
    <col width="31.7142857142857" customWidth="1" style="16" min="8" max="8"/>
    <col width="8.857142857142859" customWidth="1" style="16" min="9" max="15"/>
    <col width="45.7142857142857" customWidth="1" style="16" min="16" max="16"/>
    <col width="8.857142857142859" customWidth="1" style="16" min="17" max="16384"/>
  </cols>
  <sheetData>
    <row r="1" ht="14.4" customHeight="1" s="877">
      <c r="A1" s="101" t="n"/>
      <c r="B1" s="101" t="n"/>
      <c r="C1" s="101" t="n"/>
      <c r="D1" s="101" t="n"/>
      <c r="E1" s="101" t="n"/>
      <c r="F1" s="101" t="n"/>
      <c r="G1" s="101" t="n"/>
      <c r="H1" s="101" t="n"/>
      <c r="I1" s="101" t="n"/>
      <c r="J1" s="101" t="n"/>
      <c r="K1" s="101" t="n"/>
      <c r="L1" s="101" t="n"/>
      <c r="M1" s="101" t="n"/>
      <c r="N1" s="101" t="n"/>
      <c r="O1" s="101" t="n"/>
      <c r="P1" s="101" t="n"/>
      <c r="Q1" s="101" t="n"/>
      <c r="R1" s="101" t="n"/>
      <c r="S1" s="101" t="n"/>
      <c r="T1" s="101" t="n"/>
      <c r="U1" s="101" t="n"/>
      <c r="V1" s="101" t="n"/>
      <c r="W1" s="101" t="n"/>
    </row>
    <row r="2" ht="14.4" customHeight="1" s="877">
      <c r="A2" s="101" t="n"/>
      <c r="B2" s="101" t="n"/>
      <c r="C2" s="101" t="n"/>
      <c r="D2" s="101" t="n"/>
      <c r="E2" s="101" t="n"/>
      <c r="F2" s="101" t="n"/>
      <c r="G2" s="101" t="n"/>
      <c r="H2" s="101" t="n"/>
      <c r="I2" s="101" t="n"/>
      <c r="J2" s="101" t="n"/>
      <c r="K2" s="101" t="n"/>
      <c r="L2" s="101" t="n"/>
      <c r="M2" s="101" t="n"/>
      <c r="N2" s="101" t="n"/>
      <c r="O2" s="101" t="n"/>
      <c r="P2" s="101" t="n"/>
      <c r="Q2" s="101" t="n"/>
      <c r="R2" s="101" t="n"/>
      <c r="S2" s="101" t="n"/>
      <c r="T2" s="101" t="n"/>
      <c r="U2" s="101" t="n"/>
      <c r="V2" s="101" t="n"/>
      <c r="W2" s="101" t="n"/>
    </row>
    <row r="3" ht="14.4" customHeight="1" s="877">
      <c r="A3" s="101" t="n"/>
      <c r="B3" s="101" t="n"/>
      <c r="C3" s="101" t="n"/>
      <c r="D3" s="101" t="n"/>
      <c r="E3" s="101" t="n"/>
      <c r="F3" s="101" t="n"/>
      <c r="G3" s="101" t="n"/>
      <c r="H3" s="101" t="n"/>
      <c r="I3" s="101" t="n"/>
      <c r="J3" s="101" t="n"/>
      <c r="K3" s="101" t="n"/>
      <c r="L3" s="101" t="n"/>
      <c r="M3" s="101" t="n"/>
      <c r="N3" s="101" t="n"/>
      <c r="O3" s="101" t="n"/>
      <c r="P3" s="101" t="n"/>
      <c r="Q3" s="101" t="n"/>
      <c r="R3" s="101" t="n"/>
      <c r="S3" s="101" t="n"/>
      <c r="T3" s="101" t="n"/>
      <c r="U3" s="101" t="n"/>
      <c r="V3" s="101" t="n"/>
      <c r="W3" s="101" t="n"/>
    </row>
    <row r="4" ht="14.4" customHeight="1" s="877">
      <c r="A4" s="101" t="n"/>
      <c r="B4" s="101" t="n"/>
      <c r="C4" s="101" t="n"/>
      <c r="D4" s="101" t="n"/>
      <c r="E4" s="101" t="n"/>
      <c r="F4" s="101" t="n"/>
      <c r="G4" s="101" t="n"/>
      <c r="H4" s="101" t="n"/>
      <c r="I4" s="101" t="n"/>
      <c r="J4" s="101" t="n"/>
      <c r="K4" s="101" t="n"/>
      <c r="L4" s="101" t="n"/>
      <c r="M4" s="101" t="n"/>
      <c r="N4" s="101" t="n"/>
      <c r="O4" s="101" t="n"/>
      <c r="P4" s="101" t="n"/>
      <c r="Q4" s="101" t="n"/>
      <c r="R4" s="101" t="n"/>
      <c r="S4" s="101" t="n"/>
      <c r="T4" s="101" t="n"/>
      <c r="U4" s="101" t="n"/>
      <c r="V4" s="101" t="n"/>
      <c r="W4" s="101" t="n"/>
    </row>
    <row r="5" ht="14.4" customHeight="1" s="877">
      <c r="A5" s="101" t="n"/>
      <c r="B5" s="101" t="n"/>
      <c r="C5" s="101" t="n"/>
      <c r="D5" s="101" t="n"/>
      <c r="E5" s="101" t="n"/>
      <c r="F5" s="101" t="n"/>
      <c r="G5" s="101" t="n"/>
      <c r="H5" s="101" t="n"/>
      <c r="I5" s="101" t="n"/>
      <c r="J5" s="101" t="n"/>
      <c r="K5" s="101" t="n"/>
      <c r="L5" s="101" t="n"/>
      <c r="M5" s="101" t="n"/>
      <c r="N5" s="101" t="n"/>
      <c r="O5" s="101" t="n"/>
      <c r="P5" s="101" t="n"/>
      <c r="Q5" s="101" t="n"/>
      <c r="R5" s="101" t="n"/>
      <c r="S5" s="101" t="n"/>
      <c r="T5" s="101" t="n"/>
      <c r="U5" s="101" t="n"/>
      <c r="V5" s="101" t="n"/>
      <c r="W5" s="101" t="n"/>
    </row>
    <row r="6" ht="18" customHeight="1" s="877">
      <c r="A6" s="101" t="n"/>
      <c r="B6" s="101" t="n"/>
      <c r="C6" s="101" t="n"/>
      <c r="D6" s="101" t="n"/>
      <c r="E6" s="101" t="n"/>
      <c r="F6" s="101" t="n"/>
      <c r="G6" s="101" t="n"/>
      <c r="H6" s="101" t="n"/>
      <c r="I6" s="101" t="n"/>
      <c r="J6" s="101" t="n"/>
      <c r="K6" s="101" t="n"/>
      <c r="L6" s="101" t="n"/>
      <c r="M6" s="102" t="inlineStr">
        <is>
          <t xml:space="preserve">Please contact this email for any model-specific questions: </t>
        </is>
      </c>
      <c r="N6" s="101" t="n"/>
      <c r="O6" s="101" t="n"/>
      <c r="P6" s="101" t="n"/>
      <c r="Q6" s="101" t="n"/>
      <c r="R6" s="101" t="n"/>
      <c r="S6" s="101" t="n"/>
      <c r="T6" s="101" t="n"/>
      <c r="U6" s="101" t="n"/>
      <c r="V6" s="101" t="n"/>
      <c r="W6" s="101" t="n"/>
    </row>
    <row r="7" ht="18" customHeight="1" s="877">
      <c r="A7" s="101" t="n"/>
      <c r="B7" s="101" t="n"/>
      <c r="C7" s="101" t="n"/>
      <c r="D7" s="101" t="n"/>
      <c r="E7" s="101" t="n"/>
      <c r="F7" s="101" t="n"/>
      <c r="G7" s="101" t="n"/>
      <c r="H7" s="101" t="n"/>
      <c r="I7" s="101" t="n"/>
      <c r="J7" s="101" t="n"/>
      <c r="K7" s="101" t="n"/>
      <c r="L7" s="101" t="n"/>
      <c r="M7" s="15" t="inlineStr">
        <is>
          <t>modelsupport@alpha-sense.com</t>
        </is>
      </c>
      <c r="N7" s="14" t="inlineStr">
        <is>
          <t>mailto:support@tegus.com?subject=Tegus%20Support:%20CoreWeave%20CRWV%20US&amp;body=Model%20Version:%20</t>
        </is>
      </c>
      <c r="O7" s="14" t="inlineStr">
        <is>
          <t>mailto:support@tegus.com?subject=Tegus%20Support:%20CoreWeave%20CRWV%20US&amp;body=Model%20Version:%20</t>
        </is>
      </c>
      <c r="P7" s="101" t="n"/>
      <c r="Q7" s="101" t="n"/>
      <c r="R7" s="101" t="n"/>
      <c r="S7" s="101" t="n"/>
      <c r="T7" s="101" t="n"/>
      <c r="U7" s="101" t="n"/>
      <c r="V7" s="101" t="n"/>
      <c r="W7" s="101" t="n"/>
    </row>
    <row r="8" ht="28.8" customHeight="1" s="877">
      <c r="A8" s="101" t="n"/>
      <c r="B8" s="101" t="n"/>
      <c r="C8" s="101" t="n"/>
      <c r="D8" s="101" t="n"/>
      <c r="E8" s="101" t="n"/>
      <c r="F8" s="13" t="n"/>
      <c r="L8" s="101" t="n"/>
      <c r="M8" s="101" t="n"/>
      <c r="N8" s="101" t="n"/>
      <c r="O8" s="101" t="n"/>
      <c r="P8" s="101" t="n"/>
      <c r="Q8" s="101" t="n"/>
      <c r="R8" s="101" t="n"/>
      <c r="S8" s="101" t="n"/>
      <c r="T8" s="101" t="n"/>
      <c r="U8" s="101" t="n"/>
      <c r="V8" s="101" t="n"/>
      <c r="W8" s="101" t="n"/>
    </row>
    <row r="9" ht="18" customHeight="1" s="877">
      <c r="A9" s="101" t="n"/>
      <c r="B9" s="101" t="n"/>
      <c r="C9" s="103" t="inlineStr">
        <is>
          <t>Company Model:</t>
        </is>
      </c>
      <c r="D9" s="104" t="n"/>
      <c r="E9" s="104" t="n"/>
      <c r="F9" s="104" t="n"/>
      <c r="G9" s="104" t="n"/>
      <c r="H9" s="105">
        <f>Model!A1</f>
        <v/>
      </c>
      <c r="I9" s="104" t="n"/>
      <c r="J9" s="104" t="n"/>
      <c r="K9" s="104" t="n"/>
      <c r="L9" s="104" t="n"/>
      <c r="M9" s="153" t="n"/>
      <c r="N9" s="104" t="n"/>
      <c r="O9" s="104" t="n"/>
      <c r="Q9" s="101" t="n"/>
      <c r="R9" s="101" t="n"/>
      <c r="S9" s="101" t="n"/>
      <c r="T9" s="101" t="n"/>
      <c r="U9" s="101" t="n"/>
      <c r="V9" s="101" t="n"/>
      <c r="W9" s="101" t="n"/>
    </row>
    <row r="10" ht="18" customHeight="1" s="877">
      <c r="A10" s="101" t="n"/>
      <c r="B10" s="101" t="n"/>
      <c r="C10" s="106" t="n"/>
      <c r="D10" s="101" t="n"/>
      <c r="E10" s="101" t="n"/>
      <c r="F10" s="101" t="n"/>
      <c r="G10" s="101" t="n"/>
      <c r="H10" s="101" t="n"/>
      <c r="I10" s="101" t="n"/>
      <c r="J10" s="101" t="n"/>
      <c r="K10" s="101" t="n"/>
      <c r="L10" s="101" t="n"/>
      <c r="M10" s="154" t="n"/>
      <c r="N10" s="101" t="n"/>
      <c r="O10" s="101" t="n"/>
      <c r="Q10" s="101" t="n"/>
      <c r="R10" s="101" t="n"/>
      <c r="S10" s="101" t="n"/>
      <c r="T10" s="101" t="n"/>
      <c r="U10" s="101" t="n"/>
      <c r="V10" s="101" t="n"/>
      <c r="W10" s="101" t="n"/>
    </row>
    <row r="11" ht="18" customHeight="1" s="877">
      <c r="A11" s="101" t="n"/>
      <c r="B11" s="101" t="n"/>
      <c r="C11" s="103" t="inlineStr">
        <is>
          <t xml:space="preserve">Updated: </t>
        </is>
      </c>
      <c r="D11" s="101" t="n"/>
      <c r="E11" s="101" t="n"/>
      <c r="F11" s="101" t="n"/>
      <c r="G11" s="101" t="n"/>
      <c r="H11" s="121">
        <f>OFFSET('Update Log'!$C$10,1,0,1,1)</f>
        <v/>
      </c>
      <c r="I11" s="101" t="n"/>
      <c r="J11" s="101" t="n"/>
      <c r="K11" s="101" t="n"/>
      <c r="L11" s="101" t="n"/>
      <c r="M11" s="101" t="n"/>
      <c r="N11" s="101" t="n"/>
      <c r="O11" s="101" t="n"/>
      <c r="Q11" s="101" t="n"/>
      <c r="R11" s="101" t="n"/>
      <c r="S11" s="101" t="n"/>
      <c r="T11" s="101" t="n"/>
      <c r="U11" s="101" t="n"/>
      <c r="V11" s="101" t="n"/>
      <c r="W11" s="101" t="n"/>
    </row>
    <row r="12" ht="18" customHeight="1" s="877">
      <c r="A12" s="101" t="n"/>
      <c r="B12" s="101" t="n"/>
      <c r="C12" s="101" t="n"/>
      <c r="D12" s="101" t="n"/>
      <c r="E12" s="101" t="n"/>
      <c r="F12" s="101" t="n"/>
      <c r="G12" s="101" t="n"/>
      <c r="H12" s="108" t="n"/>
      <c r="I12" s="101" t="n"/>
      <c r="J12" s="101" t="n"/>
      <c r="K12" s="101" t="n"/>
      <c r="L12" s="101" t="n"/>
      <c r="M12" s="103" t="inlineStr">
        <is>
          <t>Comments on Model:</t>
        </is>
      </c>
      <c r="N12" s="101" t="n"/>
      <c r="O12" s="101" t="n"/>
      <c r="Q12" s="101" t="n"/>
      <c r="R12" s="101" t="n"/>
      <c r="S12" s="101" t="n"/>
      <c r="T12" s="101" t="n"/>
      <c r="U12" s="101" t="n"/>
      <c r="V12" s="101" t="n"/>
      <c r="W12" s="101" t="n"/>
    </row>
    <row r="13" ht="18.75" customHeight="1" s="877">
      <c r="A13" s="101" t="n"/>
      <c r="B13" s="101" t="n"/>
      <c r="C13" s="103" t="inlineStr">
        <is>
          <t>For:</t>
        </is>
      </c>
      <c r="D13" s="101" t="n"/>
      <c r="E13" s="101" t="n"/>
      <c r="F13" s="101" t="n"/>
      <c r="G13" s="101" t="n"/>
      <c r="H13" s="122">
        <f>OFFSET('Update Log'!$E$10,1,0,1,1)</f>
        <v/>
      </c>
      <c r="I13" s="101" t="n"/>
      <c r="J13" s="101" t="n"/>
      <c r="K13" s="101" t="n"/>
      <c r="L13" s="101" t="n"/>
      <c r="M13" s="3" t="inlineStr">
        <is>
          <t>n November 2025, the Company acquired Monolith AI Limited, a pioneer in applying artificial intelligence and machine learning to solve complex physics and engineering challenges. The acquisition is expected to help the Company offer a full-stack AI platform for industrial and manufacturing enterprises.
In October 2025, the Company acquired Marimo Inc., the creator of the open-source marimo notebook, an AI-native, reactive development environment for Python, purpose-built for AI and data workloads. The acquisition is expected to strengthen CoreWeave's vertically integrated platform, empowering developers to build, scale, and deploy applications faster and more efficiently.
On July 7, 2025, CoreWeave, Inc. entered into a merger agreement with Core Scientific, Inc., under which CoreWeave’s wholly owned subsidiary, Miami Merger Sub I, Inc., will merge with Core Scientific. Core Scientific will survive as a wholly owned subsidiary of CoreWeave. At closing, each share of Core Scientific common stock (excluding treasury shares and shares held by the parties) will be exchanged for 0.1235 shares of CoreWeave Class A common stock. The transaction is expected to close in the fourth quarter of 2025.
'In April 2025, the Company borrowed an additional $512 million under the DDTL 2.0 Facility, bringing the total borrowings on the DDTL 2.0 Facility to $4.9 billion. Refer to Note 10—Debt for additional information.
In April and May 2025, the Company entered into additional lease agreements, primarily for data centers and office buildings. The Company expects to make approximately $449 million of additional rent payments over the next 10 years related to the leases.
In May 2025, the Company entered into additional financing arrangements, for specified purchase orders, with various original equipment manufacturers. The financing arrangements will have an aggregate available balance of up to $4.0 billion, which is expected to be drawn in the future as equipment is purchased and delivered. These financing arrangements will have terms ranging from eighteen to sixty months.
Additionally, in April 2025 and in May 2025, the Company entered into various additional financing agreements with an OEM. The financing agreements have an aggregate notional balance of $188 million. The financing arrangements have terms ranging from twenty-four to thirty-six months. The Company granted a security interest for the financed equipment.
In May 2025, the Company drew $400 million on the Revolving Credit Facility.
In May 2025, the Company entered into an additional agreement with OpenAI, pursuant to which the Company will provide OpenAI access to cloud computing capacity through fulfillment of reserved capacity orders submitted to the Company by OpenAI. As of May 14, 2025, subject to the satisfaction of delivery and availability of service requirements, OpenAI has committed to pay the Company up to $4.0 billion through April 2029 related to this agreement.</t>
        </is>
      </c>
      <c r="Q13" s="101" t="n"/>
      <c r="R13" s="101" t="n"/>
      <c r="S13" s="101" t="n"/>
      <c r="T13" s="101" t="n"/>
      <c r="U13" s="101" t="n"/>
      <c r="V13" s="101" t="n"/>
      <c r="W13" s="101" t="n"/>
    </row>
    <row r="14" ht="14.4" customHeight="1" s="877">
      <c r="A14" s="101" t="n"/>
      <c r="B14" s="101" t="n"/>
      <c r="C14" s="101" t="n"/>
      <c r="D14" s="101" t="n"/>
      <c r="E14" s="101" t="n"/>
      <c r="F14" s="101" t="n"/>
      <c r="G14" s="101" t="n"/>
      <c r="H14" s="101" t="n"/>
      <c r="I14" s="101" t="n"/>
      <c r="J14" s="101" t="n"/>
      <c r="K14" s="101" t="n"/>
      <c r="L14" s="101" t="n"/>
      <c r="Q14" s="101" t="n"/>
      <c r="R14" s="101" t="n"/>
      <c r="S14" s="101" t="n"/>
      <c r="T14" s="101" t="n"/>
      <c r="U14" s="101" t="n"/>
      <c r="V14" s="101" t="n"/>
      <c r="W14" s="101" t="n"/>
    </row>
    <row r="15" ht="18.75" customHeight="1" s="877">
      <c r="A15" s="101" t="n"/>
      <c r="B15" s="101" t="n"/>
      <c r="C15" s="103" t="inlineStr">
        <is>
          <t>Consensus Data and Real-Time Stock Price:</t>
        </is>
      </c>
      <c r="D15" s="104" t="n"/>
      <c r="E15" s="104" t="n"/>
      <c r="F15" s="104" t="n"/>
      <c r="G15" s="104" t="n"/>
      <c r="H15" s="123" t="inlineStr">
        <is>
          <t>Bloomberg</t>
        </is>
      </c>
      <c r="I15" s="101" t="n"/>
      <c r="J15" s="109" t="n"/>
      <c r="K15" s="101" t="n"/>
      <c r="L15" s="101" t="n"/>
      <c r="Q15" s="101" t="n"/>
      <c r="R15" s="101" t="n"/>
      <c r="S15" s="101" t="n"/>
      <c r="T15" s="101" t="n"/>
      <c r="U15" s="101" t="n"/>
      <c r="V15" s="101" t="n"/>
      <c r="W15" s="101" t="n"/>
    </row>
    <row r="16" ht="15" customHeight="1" s="877">
      <c r="A16" s="101" t="n"/>
      <c r="B16" s="101" t="n"/>
      <c r="C16" s="104" t="n"/>
      <c r="D16" s="110" t="n"/>
      <c r="E16" s="110" t="n"/>
      <c r="F16" s="110" t="n"/>
      <c r="G16" s="110" t="n"/>
      <c r="H16" s="111">
        <f>IF(FP.DataSourceName="Bloomberg",1,IF(FP.DataSourceName="Capital IQ",2,IF(FP.DataSourceName="FactSet",3,IF(FP.DataSourceName="Refinitiv",4))))</f>
        <v/>
      </c>
      <c r="I16" s="112" t="n"/>
      <c r="J16" s="109" t="n"/>
      <c r="K16" s="101" t="n"/>
      <c r="L16" s="101" t="n"/>
      <c r="Q16" s="101" t="n"/>
      <c r="R16" s="101" t="n"/>
      <c r="S16" s="101" t="n"/>
      <c r="T16" s="101" t="n"/>
      <c r="U16" s="101" t="n"/>
      <c r="V16" s="101" t="n"/>
      <c r="W16" s="101" t="n"/>
    </row>
    <row r="17" ht="18" customFormat="1" customHeight="1" s="17">
      <c r="A17" s="110" t="n"/>
      <c r="B17" s="110" t="n"/>
      <c r="C17" s="106" t="n"/>
      <c r="D17" s="110" t="n"/>
      <c r="E17" s="110" t="n"/>
      <c r="F17" s="110" t="n"/>
      <c r="G17" s="110" t="n"/>
      <c r="H17" s="110" t="n"/>
      <c r="I17" s="112" t="n"/>
      <c r="J17" s="109" t="n"/>
      <c r="K17" s="101" t="n"/>
      <c r="L17" s="101" t="n"/>
      <c r="Q17" s="110" t="n"/>
      <c r="R17" s="110" t="n"/>
      <c r="S17" s="110" t="n"/>
      <c r="T17" s="110" t="n"/>
      <c r="U17" s="110" t="n"/>
      <c r="V17" s="110" t="n"/>
      <c r="W17" s="101" t="n"/>
    </row>
    <row r="18" ht="18.75" customFormat="1" customHeight="1" s="17">
      <c r="A18" s="110" t="n"/>
      <c r="B18" s="110" t="n"/>
      <c r="C18" s="103" t="inlineStr">
        <is>
          <t>Real-Time Stock Price:</t>
        </is>
      </c>
      <c r="D18" s="104" t="n"/>
      <c r="E18" s="104" t="n"/>
      <c r="F18" s="104" t="n"/>
      <c r="G18" s="104" t="n"/>
      <c r="H18" s="123" t="inlineStr">
        <is>
          <t>OFF</t>
        </is>
      </c>
      <c r="I18" s="113" t="n"/>
      <c r="J18" s="113" t="n"/>
      <c r="K18" s="101" t="n"/>
      <c r="L18" s="101" t="n"/>
      <c r="Q18" s="110" t="n"/>
      <c r="R18" s="110" t="n"/>
      <c r="S18" s="110" t="n"/>
      <c r="T18" s="110" t="n"/>
      <c r="U18" s="110" t="n"/>
      <c r="V18" s="110" t="n"/>
      <c r="W18" s="101" t="n"/>
    </row>
    <row r="19" ht="14.4" customFormat="1" customHeight="1" s="17">
      <c r="A19" s="110" t="n"/>
      <c r="B19" s="110" t="n"/>
      <c r="C19" s="104" t="n"/>
      <c r="D19" s="110" t="n"/>
      <c r="E19" s="110" t="n"/>
      <c r="F19" s="110" t="n"/>
      <c r="G19" s="110" t="n"/>
      <c r="H19" s="110" t="n"/>
      <c r="I19" s="112" t="n"/>
      <c r="J19" s="109" t="n"/>
      <c r="K19" s="101" t="n"/>
      <c r="L19" s="101" t="n"/>
      <c r="Q19" s="110" t="n"/>
      <c r="R19" s="110" t="n"/>
      <c r="S19" s="110" t="n"/>
      <c r="T19" s="110" t="n"/>
      <c r="U19" s="110" t="n"/>
      <c r="V19" s="110" t="n"/>
      <c r="W19" s="101" t="n"/>
    </row>
    <row r="20" ht="18.75" customFormat="1" customHeight="1" s="17">
      <c r="A20" s="110" t="n"/>
      <c r="B20" s="110" t="n"/>
      <c r="C20" s="114" t="inlineStr">
        <is>
          <t>Stock Price Override:</t>
        </is>
      </c>
      <c r="D20" s="110" t="n"/>
      <c r="E20" s="110" t="n"/>
      <c r="F20" s="1403" t="n">
        <v>46057</v>
      </c>
      <c r="G20" s="110" t="n"/>
      <c r="H20" s="1404" t="n">
        <v>82.45999999999999</v>
      </c>
      <c r="I20" s="112" t="n"/>
      <c r="J20" s="109" t="n"/>
      <c r="K20" s="101" t="n"/>
      <c r="L20" s="101" t="n"/>
      <c r="Q20" s="110" t="n"/>
      <c r="R20" s="110" t="n"/>
      <c r="S20" s="110" t="n"/>
      <c r="T20" s="110" t="n"/>
      <c r="U20" s="110" t="n"/>
      <c r="V20" s="110" t="n"/>
      <c r="W20" s="101" t="n"/>
    </row>
    <row r="21" ht="14.4" customFormat="1" customHeight="1" s="17">
      <c r="A21" s="110" t="n"/>
      <c r="B21" s="110" t="n"/>
      <c r="C21" s="110" t="n"/>
      <c r="D21" s="101" t="n"/>
      <c r="E21" s="101" t="n"/>
      <c r="F21" s="101" t="n"/>
      <c r="G21" s="101" t="n"/>
      <c r="H21" s="101" t="n"/>
      <c r="I21" s="101" t="n"/>
      <c r="J21" s="101" t="n"/>
      <c r="K21" s="101" t="n"/>
      <c r="L21" s="101" t="n"/>
      <c r="M21" s="101" t="n"/>
      <c r="N21" s="110" t="n"/>
      <c r="O21" s="110" t="n"/>
      <c r="P21" s="110" t="n"/>
      <c r="Q21" s="110" t="n"/>
      <c r="R21" s="110" t="n"/>
      <c r="S21" s="110" t="n"/>
      <c r="T21" s="110" t="n"/>
      <c r="U21" s="110" t="n"/>
      <c r="V21" s="110" t="n"/>
      <c r="W21" s="110" t="n"/>
    </row>
    <row r="22" ht="15.9" customHeight="1" s="877">
      <c r="A22" s="101" t="n"/>
      <c r="B22" s="101" t="n"/>
      <c r="C22" s="1405" t="inlineStr">
        <is>
          <t>DISCLAIMER
Access to and use of this model, including the data contained herein (this "Model") is subject to Tegus, Inc.'s (a successor entity to Canalyst Financial Modeling Corporation) ("Company") Terms of Use that you accepted prior to accessing this Model, the applicable Service Agreement between the Company and you (or a corporate entity that has authorized you to access and use this Model on its behalf in accordance with the terms of such Service Agreement) or other similar agreement between you and the Company. BY CONTINUING TO ACCESS OR USE THIS MODEL, YOU EXPRESSLY AGREE TO THE TERMS AND CONDITIONS OF SUCH AGREEMENTS.
The Company and certain of its licensors have exclusive proprietary rights in this Model. This Model is being provided for internal use only. Unless prior written consent by the Company and its licensors has been provided to you, you may not distribute or otherwise furnish this Model to any third party, nor use or permit anyone to use this Model for any unlawful or unauthorized purpose. IF YOU HAVE UNLAWFULLY OBTAINED, OR ARE NOT AUTHORIZED TO USE THIS MODEL, YOU ARE OBLIGATED TO PROMPTLY: (I) RETURN THIS MODEL (AND ANY DERIVATIVE WORKS ARISING FROM OR RELATING THERETO) TO THE AUTHORIZED USER OF THIS MODEL; (II) PROVIDE NOTICE TO THE COMPANY AT LEGAL@TEGUS.COM OF SUCH UNLAWFUL OR UNAUTHORIZED ACCESS AND USE; AND, (III) CERTIFY THAT YOU HAVE DESTROYED THIS MODEL (AND ANY DERIVATIVE WORKS ARISING FROM OR RELATING THERETO) AND ANY COPIES FROM YOUR SYSTEMS SO AS TO ENSURE THEY ARE INCAPABLE OF RETRIEVAL.
A portion of the data contained in this Model may be powered by third party contributors and their respective licensors, or derived from data provided by such contributors, including (but not limited to): (i) QuoteMedia Inc.: A portion of the market data is powered by Quotemedia.com. All rights reserved. Data delayed 15 minutes unless otherwise indicated; (ii) S&amp;P Global Market Intelligence LLC: Copyright (c) {{YEAR}} S&amp;P Global Market Intelligence LLC (and its affiliates as applicable). All rights reserved. Reproduction of any information, opinions, views, data or material, including ratings ("Content") in any form is prohibited except with the prior written permission of the relevant party. Such party, its affiliates and suppliers ("Content Providers") do not guarantee the accuracy, adequacy, completeness, timeliness or availability of any Content and are not responsible for any errors or omissions (negligent or otherwise), regardless of the cause, or for the results obtained from the use of such Content. In no event shall Content Providers be liable for any damages, costs, expenses, legal fees, or losses (including lost income or lost profit and opportunity costs) in connection with any use of the Content. A reference to a particular investment or security, a rating or any observation concerning an investment that is part of the Content is not a recommendation to buy, sell or hold such investment or security, does not address the suitability of an investment or security and should not be relied on as investment advice. Credit ratings are statements of opinions and are not statements of fact; and, (iii) Refinitiv Canada Holdings Limited: A portion of the information may be provided by or derived from data provided by Refinitiv.
By accessing or using this Model (including any portion of the data contained herein) you expressly represent that such access or use does not constitute a violation of any applicable law or regulation to which you or the securities are subject.
This Model does not constitute investment advice by the Company or any of its licensors. Reference to a particular investment or security, credit rating or any observation concerning a security or investment in this Model is not a recommendation or solicitation to buy, sell or hold such investment or security or make any other investment decisions. For greater certainty, any forecasts or forward-looking information expressed herein are for illustrative purposes only and do not purport to express any view on what may transpire. Neither the Company nor any of its licensors have performed company-specific research on any projected information, as such, it is your responsibility to express your own views on projected results. This Model does not guarantee future performance and undue reliance should not be placed on such. You are solely responsible for evaluating the merits and risks of any investment based on your own business and financial expertise, the business and financial expertise of professional advisors with whom you have consulted, your financial situation and risk tolerance. Neither the Company, nor any of its licensors, undertake any liability with respect to your reliance on this Model.
This Model is a quantitative tool with no investment views. The Company and its respective directors, officers, employees, agents, contractors, and affiliates may hold long or short positions in the security to which this Model relates, based on their personal views, and may initiate or close out any positions in such security at any time without any notice.
THIS MODEL IS PROVIDED "AS IS" AND ON AN "AS AVAILABLE" BASIS ONLY, WITHOUT WARRANTIES OR CONDITIONS OF ANY KIND. NEITHER THE COMPANY NOR ANY OF ITS LICENSORS NOR THEIR RESPECTIVE AFFILIATES OR SUPPLIERS HAVE LIABILITY FOR THE ACCURACY, TIMELINESS OR COMPLETENESS OF THIS MODEL, OR FOR DELAYS, INTERRUPTIONS OR OMISSIONS HEREIN, NOR FOR ANY LOST PROFITS, INDIRECT, SPECIAL OR CONSEQUENTIAL DAMAGES. Access to data in this Model that is sourced from third party contributors is subject to termination in the event that any agreement between the Company and such third party contributors terminates for any reason.
Copyright 2023 Tegus. All rights reserved.</t>
        </is>
      </c>
      <c r="D22" s="1406" t="n"/>
      <c r="E22" s="1406" t="n"/>
      <c r="F22" s="1406" t="n"/>
      <c r="G22" s="1406" t="n"/>
      <c r="H22" s="1406" t="n"/>
      <c r="I22" s="1406" t="n"/>
      <c r="J22" s="1406" t="n"/>
      <c r="K22" s="1406" t="n"/>
      <c r="L22" s="1406" t="n"/>
      <c r="M22" s="1406" t="n"/>
      <c r="N22" s="1406" t="n"/>
      <c r="O22" s="1406" t="n"/>
      <c r="P22" s="1407" t="n"/>
      <c r="Q22" s="101" t="n"/>
      <c r="R22" s="101" t="n"/>
      <c r="S22" s="101" t="n"/>
      <c r="T22" s="101" t="n"/>
      <c r="U22" s="101" t="n"/>
      <c r="V22" s="101" t="n"/>
      <c r="W22" s="101" t="n"/>
    </row>
    <row r="23" ht="15.9" customHeight="1" s="877">
      <c r="A23" s="101" t="n"/>
      <c r="B23" s="101" t="n"/>
      <c r="C23" s="1408" t="n"/>
      <c r="P23" s="1409" t="n"/>
      <c r="Q23" s="101" t="n"/>
      <c r="R23" s="101" t="n"/>
      <c r="S23" s="101" t="n"/>
      <c r="T23" s="101" t="n"/>
      <c r="U23" s="101" t="n"/>
      <c r="V23" s="101" t="n"/>
      <c r="W23" s="101" t="n"/>
    </row>
    <row r="24" ht="15.9" customHeight="1" s="877">
      <c r="A24" s="101" t="n"/>
      <c r="B24" s="101" t="n"/>
      <c r="C24" s="1408" t="n"/>
      <c r="P24" s="1409" t="n"/>
      <c r="Q24" s="101" t="n"/>
      <c r="R24" s="101" t="n"/>
      <c r="S24" s="101" t="n"/>
      <c r="T24" s="101" t="n"/>
      <c r="U24" s="101" t="n"/>
      <c r="V24" s="101" t="n"/>
      <c r="W24" s="101" t="n"/>
    </row>
    <row r="25" ht="15.9" customHeight="1" s="877">
      <c r="A25" s="101" t="n"/>
      <c r="B25" s="101" t="n"/>
      <c r="C25" s="1408" t="n"/>
      <c r="P25" s="1409" t="n"/>
      <c r="Q25" s="101" t="n"/>
      <c r="R25" s="101" t="n"/>
      <c r="S25" s="101" t="n"/>
      <c r="T25" s="101" t="n"/>
      <c r="U25" s="101" t="n"/>
      <c r="V25" s="101" t="n"/>
      <c r="W25" s="101" t="n"/>
    </row>
    <row r="26" ht="15.9" customHeight="1" s="877">
      <c r="A26" s="101" t="n"/>
      <c r="B26" s="101" t="n"/>
      <c r="C26" s="1408" t="n"/>
      <c r="P26" s="1409" t="n"/>
      <c r="Q26" s="101" t="n"/>
      <c r="R26" s="101" t="n"/>
      <c r="S26" s="101" t="n"/>
      <c r="T26" s="101" t="n"/>
      <c r="U26" s="101" t="n"/>
      <c r="V26" s="101" t="n"/>
      <c r="W26" s="101" t="n"/>
    </row>
    <row r="27" ht="15.9" customHeight="1" s="877">
      <c r="A27" s="101" t="n"/>
      <c r="B27" s="101" t="n"/>
      <c r="C27" s="1408" t="n"/>
      <c r="P27" s="1409" t="n"/>
      <c r="Q27" s="101" t="n"/>
      <c r="R27" s="101" t="n"/>
      <c r="S27" s="101" t="n"/>
      <c r="T27" s="101" t="n"/>
      <c r="U27" s="101" t="n"/>
      <c r="V27" s="101" t="n"/>
      <c r="W27" s="101" t="n"/>
    </row>
    <row r="28" ht="15.9" customHeight="1" s="877">
      <c r="A28" s="101" t="n"/>
      <c r="B28" s="101" t="n"/>
      <c r="C28" s="1408" t="n"/>
      <c r="P28" s="1409" t="n"/>
      <c r="Q28" s="101" t="n"/>
      <c r="R28" s="101" t="n"/>
      <c r="S28" s="101" t="n"/>
      <c r="T28" s="101" t="n"/>
      <c r="U28" s="101" t="n"/>
      <c r="V28" s="101" t="n"/>
      <c r="W28" s="101" t="n"/>
    </row>
    <row r="29" ht="15.9" customHeight="1" s="877">
      <c r="A29" s="101" t="n"/>
      <c r="B29" s="101" t="n"/>
      <c r="C29" s="1408" t="n"/>
      <c r="P29" s="1409" t="n"/>
      <c r="Q29" s="101" t="n"/>
      <c r="R29" s="101" t="n"/>
      <c r="S29" s="101" t="n"/>
      <c r="T29" s="101" t="n"/>
      <c r="U29" s="101" t="n"/>
      <c r="V29" s="101" t="n"/>
      <c r="W29" s="101" t="n"/>
    </row>
    <row r="30" ht="15.9" customHeight="1" s="877">
      <c r="A30" s="101" t="n"/>
      <c r="B30" s="101" t="n"/>
      <c r="C30" s="1408" t="n"/>
      <c r="P30" s="1409" t="n"/>
      <c r="Q30" s="101" t="n"/>
      <c r="R30" s="101" t="n"/>
      <c r="S30" s="101" t="n"/>
      <c r="T30" s="101" t="n"/>
      <c r="U30" s="101" t="n"/>
      <c r="V30" s="101" t="n"/>
      <c r="W30" s="101" t="n"/>
    </row>
    <row r="31" ht="15.9" customHeight="1" s="877">
      <c r="A31" s="101" t="n"/>
      <c r="B31" s="101" t="n"/>
      <c r="C31" s="1408" t="n"/>
      <c r="P31" s="1409" t="n"/>
      <c r="Q31" s="101" t="n"/>
      <c r="R31" s="101" t="n"/>
      <c r="S31" s="101" t="n"/>
      <c r="T31" s="101" t="n"/>
      <c r="U31" s="101" t="n"/>
      <c r="V31" s="101" t="n"/>
      <c r="W31" s="101" t="n"/>
    </row>
    <row r="32" ht="15.9" customHeight="1" s="877">
      <c r="A32" s="101" t="n"/>
      <c r="B32" s="101" t="n"/>
      <c r="C32" s="1408" t="n"/>
      <c r="P32" s="1409" t="n"/>
      <c r="Q32" s="101" t="n"/>
      <c r="R32" s="101" t="n"/>
      <c r="S32" s="101" t="n"/>
      <c r="T32" s="101" t="n"/>
      <c r="U32" s="101" t="n"/>
      <c r="V32" s="101" t="n"/>
      <c r="W32" s="101" t="n"/>
    </row>
    <row r="33" ht="15.9" customHeight="1" s="877">
      <c r="A33" s="101" t="n"/>
      <c r="B33" s="101" t="n"/>
      <c r="C33" s="1408" t="n"/>
      <c r="P33" s="1409" t="n"/>
      <c r="Q33" s="101" t="n"/>
      <c r="R33" s="101" t="n"/>
      <c r="S33" s="101" t="n"/>
      <c r="T33" s="101" t="n"/>
      <c r="U33" s="101" t="n"/>
      <c r="V33" s="101" t="n"/>
      <c r="W33" s="101" t="n"/>
    </row>
    <row r="34" ht="15.9" customHeight="1" s="877">
      <c r="A34" s="101" t="n"/>
      <c r="B34" s="101" t="n"/>
      <c r="C34" s="1408" t="n"/>
      <c r="P34" s="1409" t="n"/>
      <c r="Q34" s="101" t="n"/>
      <c r="R34" s="101" t="n"/>
      <c r="S34" s="101" t="n"/>
      <c r="T34" s="101" t="n"/>
      <c r="U34" s="101" t="n"/>
      <c r="V34" s="101" t="n"/>
      <c r="W34" s="101" t="n"/>
    </row>
    <row r="35" ht="15.9" customHeight="1" s="877">
      <c r="A35" s="101" t="n"/>
      <c r="B35" s="101" t="n"/>
      <c r="C35" s="1408" t="n"/>
      <c r="P35" s="1409" t="n"/>
      <c r="Q35" s="101" t="n"/>
      <c r="R35" s="101" t="n"/>
      <c r="S35" s="101" t="n"/>
      <c r="T35" s="101" t="n"/>
      <c r="U35" s="101" t="n"/>
      <c r="V35" s="101" t="n"/>
      <c r="W35" s="101" t="n"/>
    </row>
    <row r="36" ht="15.9" customHeight="1" s="877">
      <c r="A36" s="101" t="n"/>
      <c r="B36" s="101" t="n"/>
      <c r="C36" s="1408" t="n"/>
      <c r="P36" s="1409" t="n"/>
      <c r="Q36" s="101" t="n"/>
      <c r="R36" s="101" t="n"/>
      <c r="S36" s="101" t="n"/>
      <c r="T36" s="101" t="n"/>
      <c r="U36" s="101" t="n"/>
      <c r="V36" s="101" t="n"/>
      <c r="W36" s="101" t="n"/>
    </row>
    <row r="37" ht="15.9" customHeight="1" s="877">
      <c r="A37" s="101" t="n"/>
      <c r="B37" s="101" t="n"/>
      <c r="C37" s="1408" t="n"/>
      <c r="P37" s="1409" t="n"/>
      <c r="Q37" s="101" t="n"/>
      <c r="R37" s="101" t="n"/>
      <c r="S37" s="101" t="n"/>
      <c r="T37" s="101" t="n"/>
      <c r="U37" s="101" t="n"/>
      <c r="V37" s="101" t="n"/>
      <c r="W37" s="101" t="n"/>
    </row>
    <row r="38" ht="15.9" customHeight="1" s="877">
      <c r="A38" s="101" t="n"/>
      <c r="B38" s="101" t="n"/>
      <c r="C38" s="1408" t="n"/>
      <c r="P38" s="1409" t="n"/>
      <c r="Q38" s="101" t="n"/>
      <c r="R38" s="101" t="n"/>
      <c r="S38" s="101" t="n"/>
      <c r="T38" s="101" t="n"/>
      <c r="U38" s="101" t="n"/>
      <c r="V38" s="101" t="n"/>
      <c r="W38" s="101" t="n"/>
    </row>
    <row r="39" ht="15.9" customHeight="1" s="877">
      <c r="A39" s="101" t="n"/>
      <c r="B39" s="101" t="n"/>
      <c r="C39" s="1408" t="n"/>
      <c r="P39" s="1409" t="n"/>
      <c r="Q39" s="101" t="n"/>
      <c r="R39" s="101" t="n"/>
      <c r="S39" s="101" t="n"/>
      <c r="T39" s="101" t="n"/>
      <c r="U39" s="101" t="n"/>
      <c r="V39" s="101" t="n"/>
      <c r="W39" s="101" t="n"/>
    </row>
    <row r="40" ht="15.9" customHeight="1" s="877">
      <c r="A40" s="101" t="n"/>
      <c r="B40" s="101" t="n"/>
      <c r="C40" s="1408" t="n"/>
      <c r="P40" s="1409" t="n"/>
      <c r="Q40" s="101" t="n"/>
      <c r="R40" s="101" t="n"/>
      <c r="S40" s="101" t="n"/>
      <c r="T40" s="101" t="n"/>
      <c r="U40" s="101" t="n"/>
      <c r="V40" s="101" t="n"/>
      <c r="W40" s="101" t="n"/>
    </row>
    <row r="41" ht="15.9" customHeight="1" s="877">
      <c r="A41" s="101" t="n"/>
      <c r="B41" s="101" t="n"/>
      <c r="C41" s="1410" t="n"/>
      <c r="D41" s="1411" t="n"/>
      <c r="E41" s="1411" t="n"/>
      <c r="F41" s="1411" t="n"/>
      <c r="G41" s="1411" t="n"/>
      <c r="H41" s="1411" t="n"/>
      <c r="I41" s="1411" t="n"/>
      <c r="J41" s="1411" t="n"/>
      <c r="K41" s="1411" t="n"/>
      <c r="L41" s="1411" t="n"/>
      <c r="M41" s="1411" t="n"/>
      <c r="N41" s="1411" t="n"/>
      <c r="O41" s="1411" t="n"/>
      <c r="P41" s="1412" t="n"/>
      <c r="Q41" s="101" t="n"/>
      <c r="R41" s="101" t="n"/>
      <c r="S41" s="101" t="n"/>
      <c r="T41" s="101" t="n"/>
      <c r="U41" s="101" t="n"/>
      <c r="V41" s="101" t="n"/>
      <c r="W41" s="101" t="n"/>
    </row>
    <row r="42" ht="14.4" customHeight="1" s="877">
      <c r="A42" s="101" t="n"/>
      <c r="B42" s="101" t="n"/>
      <c r="C42" s="101" t="n"/>
      <c r="D42" s="101" t="n"/>
      <c r="E42" s="101" t="n"/>
      <c r="F42" s="101" t="n"/>
      <c r="G42" s="101" t="n"/>
      <c r="H42" s="101" t="n"/>
      <c r="I42" s="101" t="n"/>
      <c r="J42" s="101" t="n"/>
      <c r="K42" s="101" t="n"/>
      <c r="L42" s="101" t="n"/>
      <c r="M42" s="101" t="n"/>
      <c r="N42" s="101" t="n"/>
      <c r="O42" s="101" t="n"/>
      <c r="P42" s="101" t="n"/>
      <c r="Q42" s="101" t="n"/>
      <c r="R42" s="101" t="n"/>
      <c r="S42" s="101" t="n"/>
      <c r="T42" s="101" t="n"/>
      <c r="U42" s="101" t="n"/>
      <c r="V42" s="101" t="n"/>
      <c r="W42" s="101" t="n"/>
    </row>
    <row r="43" ht="14.4" customHeight="1" s="877">
      <c r="A43" s="101" t="n"/>
      <c r="B43" s="101" t="n"/>
      <c r="C43" s="101" t="n"/>
      <c r="D43" s="101" t="n"/>
      <c r="E43" s="101" t="n"/>
      <c r="F43" s="101" t="n"/>
      <c r="G43" s="101" t="n"/>
      <c r="H43" s="101" t="n"/>
      <c r="I43" s="101" t="n"/>
      <c r="J43" s="101" t="n"/>
      <c r="K43" s="101" t="n"/>
      <c r="L43" s="101" t="n"/>
      <c r="M43" s="101" t="n"/>
      <c r="N43" s="101" t="n"/>
      <c r="O43" s="101" t="n"/>
      <c r="P43" s="101" t="n"/>
      <c r="Q43" s="101" t="n"/>
      <c r="R43" s="101" t="n"/>
      <c r="S43" s="101" t="n"/>
      <c r="T43" s="101" t="n"/>
      <c r="U43" s="101" t="n"/>
      <c r="V43" s="101" t="n"/>
      <c r="W43" s="101" t="n"/>
    </row>
    <row r="44" ht="14.4" customHeight="1" s="877">
      <c r="A44" s="101" t="n"/>
      <c r="B44" s="101" t="n"/>
      <c r="C44" s="101" t="n"/>
      <c r="D44" s="101" t="n"/>
      <c r="E44" s="101" t="n"/>
      <c r="F44" s="101" t="n"/>
      <c r="G44" s="101" t="n"/>
      <c r="H44" s="101" t="n"/>
      <c r="I44" s="101" t="n"/>
      <c r="J44" s="101" t="n"/>
      <c r="K44" s="101" t="n"/>
      <c r="L44" s="101" t="n"/>
      <c r="M44" s="101" t="n"/>
      <c r="N44" s="101" t="n"/>
      <c r="O44" s="101" t="n"/>
      <c r="P44" s="101" t="n"/>
      <c r="Q44" s="101" t="n"/>
      <c r="R44" s="101" t="n"/>
      <c r="S44" s="101" t="n"/>
      <c r="T44" s="101" t="n"/>
      <c r="U44" s="101" t="n"/>
      <c r="V44" s="101" t="n"/>
      <c r="W44" s="101" t="n"/>
    </row>
    <row r="45" ht="14.4" customHeight="1" s="877">
      <c r="A45" s="101" t="n"/>
      <c r="B45" s="101" t="n"/>
      <c r="C45" s="101" t="n"/>
      <c r="D45" s="101" t="n"/>
      <c r="E45" s="101" t="n"/>
      <c r="F45" s="101" t="n"/>
      <c r="G45" s="101" t="n"/>
      <c r="H45" s="101" t="n"/>
      <c r="I45" s="101" t="n"/>
      <c r="J45" s="101" t="n"/>
      <c r="K45" s="101" t="n"/>
      <c r="L45" s="101" t="n"/>
      <c r="M45" s="101" t="n"/>
      <c r="N45" s="101" t="n"/>
      <c r="O45" s="101" t="n"/>
      <c r="P45" s="101" t="n"/>
      <c r="Q45" s="101" t="n"/>
      <c r="R45" s="101" t="n"/>
      <c r="S45" s="101" t="n"/>
      <c r="T45" s="101" t="n"/>
      <c r="U45" s="101" t="n"/>
      <c r="V45" s="101" t="n"/>
      <c r="W45" s="101" t="n"/>
    </row>
    <row r="46" ht="14.4" customHeight="1" s="877">
      <c r="A46" s="101" t="n"/>
      <c r="B46" s="101" t="n"/>
      <c r="C46" s="101" t="n"/>
      <c r="D46" s="101" t="n"/>
      <c r="E46" s="101" t="n"/>
      <c r="F46" s="101" t="n"/>
      <c r="G46" s="101" t="n"/>
      <c r="H46" s="101" t="n"/>
      <c r="I46" s="101" t="n"/>
      <c r="J46" s="101" t="n"/>
      <c r="K46" s="101" t="n"/>
      <c r="L46" s="101" t="n"/>
      <c r="M46" s="101" t="n"/>
      <c r="N46" s="101" t="n"/>
      <c r="O46" s="101" t="n"/>
      <c r="P46" s="101" t="n"/>
      <c r="Q46" s="101" t="n"/>
      <c r="R46" s="101" t="n"/>
      <c r="S46" s="101" t="n"/>
      <c r="T46" s="101" t="n"/>
      <c r="U46" s="101" t="n"/>
      <c r="V46" s="101" t="n"/>
      <c r="W46" s="101" t="n"/>
    </row>
    <row r="47" ht="14.4" customHeight="1" s="877">
      <c r="A47" s="101" t="n"/>
      <c r="B47" s="101" t="n"/>
      <c r="C47" s="101" t="n"/>
      <c r="D47" s="101" t="n"/>
      <c r="E47" s="101" t="n"/>
      <c r="F47" s="101" t="n"/>
      <c r="G47" s="101" t="n"/>
      <c r="H47" s="101" t="n"/>
      <c r="I47" s="101" t="n"/>
      <c r="J47" s="101" t="n"/>
      <c r="K47" s="101" t="n"/>
      <c r="L47" s="101" t="n"/>
      <c r="M47" s="101" t="n"/>
      <c r="N47" s="101" t="n"/>
      <c r="O47" s="101" t="n"/>
      <c r="P47" s="101" t="n"/>
      <c r="Q47" s="101" t="n"/>
      <c r="R47" s="101" t="n"/>
      <c r="S47" s="101" t="n"/>
      <c r="T47" s="101" t="n"/>
      <c r="U47" s="101" t="n"/>
      <c r="V47" s="101" t="n"/>
      <c r="W47" s="101" t="n"/>
    </row>
    <row r="48" ht="14.4" customHeight="1" s="877">
      <c r="A48" s="101" t="n"/>
      <c r="B48" s="101" t="n"/>
      <c r="C48" s="101" t="n"/>
      <c r="D48" s="101" t="n"/>
      <c r="E48" s="101" t="n"/>
      <c r="F48" s="101" t="n"/>
      <c r="G48" s="101" t="n"/>
      <c r="H48" s="101" t="n"/>
      <c r="I48" s="101" t="n"/>
      <c r="J48" s="101" t="n"/>
      <c r="K48" s="101" t="n"/>
      <c r="L48" s="101" t="n"/>
      <c r="M48" s="101" t="n"/>
      <c r="N48" s="101" t="n"/>
      <c r="O48" s="101" t="n"/>
      <c r="P48" s="101" t="n"/>
      <c r="Q48" s="101" t="n"/>
      <c r="R48" s="101" t="n"/>
      <c r="S48" s="101" t="n"/>
      <c r="T48" s="101" t="n"/>
      <c r="U48" s="101" t="n"/>
      <c r="V48" s="101" t="n"/>
      <c r="W48" s="101" t="n"/>
    </row>
    <row r="49" ht="14.4" customHeight="1" s="877">
      <c r="A49" s="101" t="n"/>
      <c r="B49" s="101" t="n"/>
      <c r="C49" s="101" t="n"/>
      <c r="D49" s="101" t="n"/>
      <c r="E49" s="101" t="n"/>
      <c r="F49" s="101" t="n"/>
      <c r="G49" s="101" t="n"/>
      <c r="H49" s="101" t="n"/>
      <c r="I49" s="101" t="n"/>
      <c r="J49" s="101" t="n"/>
      <c r="K49" s="101" t="n"/>
      <c r="L49" s="101" t="n"/>
      <c r="M49" s="101" t="n"/>
      <c r="N49" s="101" t="n"/>
      <c r="O49" s="101" t="n"/>
      <c r="P49" s="101" t="n"/>
      <c r="Q49" s="101" t="n"/>
      <c r="R49" s="101" t="n"/>
      <c r="S49" s="101" t="n"/>
      <c r="T49" s="101" t="n"/>
      <c r="U49" s="101" t="n"/>
      <c r="V49" s="101" t="n"/>
      <c r="W49" s="101" t="n"/>
    </row>
    <row r="50" ht="14.4" customHeight="1" s="877">
      <c r="A50" s="101" t="n"/>
      <c r="B50" s="101" t="n"/>
      <c r="C50" s="101" t="n"/>
      <c r="D50" s="101" t="n"/>
      <c r="E50" s="101" t="n"/>
      <c r="F50" s="101" t="n"/>
      <c r="G50" s="101" t="n"/>
      <c r="H50" s="101" t="n"/>
      <c r="I50" s="101" t="n"/>
      <c r="J50" s="101" t="n"/>
      <c r="K50" s="101" t="n"/>
      <c r="L50" s="101" t="n"/>
      <c r="M50" s="101" t="n"/>
      <c r="N50" s="101" t="n"/>
      <c r="O50" s="101" t="n"/>
      <c r="P50" s="101" t="n"/>
      <c r="Q50" s="101" t="n"/>
      <c r="R50" s="101" t="n"/>
      <c r="S50" s="101" t="n"/>
      <c r="T50" s="101" t="n"/>
      <c r="U50" s="101" t="n"/>
      <c r="V50" s="101" t="n"/>
      <c r="W50" s="101" t="n"/>
    </row>
    <row r="51" ht="14.4" customHeight="1" s="877">
      <c r="A51" s="101" t="n"/>
      <c r="B51" s="101" t="n"/>
      <c r="C51" s="101" t="n"/>
      <c r="D51" s="101" t="n"/>
      <c r="E51" s="101" t="n"/>
      <c r="F51" s="101" t="n"/>
      <c r="G51" s="101" t="n"/>
      <c r="H51" s="101" t="n"/>
      <c r="I51" s="101" t="n"/>
      <c r="J51" s="101" t="n"/>
      <c r="K51" s="101" t="n"/>
      <c r="L51" s="101" t="n"/>
      <c r="M51" s="101" t="n"/>
      <c r="N51" s="101" t="n"/>
      <c r="O51" s="101" t="n"/>
      <c r="P51" s="101" t="n"/>
      <c r="Q51" s="101" t="n"/>
      <c r="R51" s="101" t="n"/>
      <c r="S51" s="101" t="n"/>
      <c r="T51" s="101" t="n"/>
      <c r="U51" s="101" t="n"/>
      <c r="V51" s="101" t="n"/>
      <c r="W51" s="101" t="n"/>
    </row>
    <row r="52" ht="14.4" customHeight="1" s="877">
      <c r="A52" s="101" t="n"/>
      <c r="B52" s="101" t="n"/>
      <c r="C52" s="101" t="n"/>
      <c r="D52" s="101" t="n"/>
      <c r="E52" s="101" t="n"/>
      <c r="F52" s="101" t="n"/>
      <c r="G52" s="101" t="n"/>
      <c r="H52" s="101" t="n"/>
      <c r="I52" s="101" t="n"/>
      <c r="J52" s="101" t="n"/>
      <c r="K52" s="101" t="n"/>
      <c r="L52" s="101" t="n"/>
      <c r="M52" s="101" t="n"/>
      <c r="N52" s="101" t="n"/>
      <c r="O52" s="101" t="n"/>
      <c r="P52" s="101" t="n"/>
      <c r="Q52" s="101" t="n"/>
      <c r="R52" s="101" t="n"/>
      <c r="S52" s="101" t="n"/>
      <c r="T52" s="101" t="n"/>
      <c r="U52" s="101" t="n"/>
      <c r="V52" s="101" t="n"/>
      <c r="W52" s="101" t="n"/>
    </row>
    <row r="53" ht="14.4" customHeight="1" s="877">
      <c r="A53" s="101" t="n"/>
      <c r="B53" s="101" t="n"/>
      <c r="C53" s="101" t="n"/>
      <c r="D53" s="101" t="n"/>
      <c r="E53" s="101" t="n"/>
      <c r="F53" s="101" t="n"/>
      <c r="G53" s="101" t="n"/>
      <c r="H53" s="101" t="n"/>
      <c r="I53" s="101" t="n"/>
      <c r="J53" s="101" t="n"/>
      <c r="K53" s="101" t="n"/>
      <c r="L53" s="101" t="n"/>
      <c r="M53" s="101" t="n"/>
      <c r="N53" s="101" t="n"/>
      <c r="O53" s="101" t="n"/>
      <c r="P53" s="101" t="n"/>
      <c r="Q53" s="101" t="n"/>
      <c r="R53" s="101" t="n"/>
      <c r="S53" s="101" t="n"/>
      <c r="T53" s="101" t="n"/>
      <c r="U53" s="101" t="n"/>
      <c r="V53" s="101" t="n"/>
      <c r="W53" s="101" t="n"/>
    </row>
    <row r="54" ht="14.4" customHeight="1" s="877">
      <c r="A54" s="101" t="n"/>
      <c r="B54" s="101" t="n"/>
      <c r="C54" s="101" t="n"/>
      <c r="D54" s="101" t="n"/>
      <c r="E54" s="101" t="n"/>
      <c r="F54" s="101" t="n"/>
      <c r="G54" s="101" t="n"/>
      <c r="H54" s="101" t="n"/>
      <c r="I54" s="101" t="n"/>
      <c r="J54" s="101" t="n"/>
      <c r="K54" s="101" t="n"/>
      <c r="L54" s="101" t="n"/>
      <c r="M54" s="101" t="n"/>
      <c r="N54" s="101" t="n"/>
      <c r="O54" s="101" t="n"/>
      <c r="P54" s="101" t="n"/>
      <c r="Q54" s="101" t="n"/>
      <c r="R54" s="101" t="n"/>
      <c r="S54" s="101" t="n"/>
      <c r="T54" s="101" t="n"/>
      <c r="U54" s="101" t="n"/>
      <c r="V54" s="101" t="n"/>
      <c r="W54" s="101" t="n"/>
    </row>
    <row r="55" ht="14.4" customHeight="1" s="877">
      <c r="A55" s="101" t="n"/>
      <c r="B55" s="101" t="n"/>
      <c r="C55" s="101" t="n"/>
      <c r="D55" s="101" t="n"/>
      <c r="E55" s="101" t="n"/>
      <c r="F55" s="101" t="n"/>
      <c r="G55" s="101" t="n"/>
      <c r="H55" s="101" t="n"/>
      <c r="I55" s="101" t="n"/>
      <c r="J55" s="101" t="n"/>
      <c r="K55" s="101" t="n"/>
      <c r="L55" s="101" t="n"/>
      <c r="M55" s="101" t="n"/>
      <c r="N55" s="101" t="n"/>
      <c r="O55" s="101" t="n"/>
      <c r="P55" s="101" t="n"/>
      <c r="Q55" s="101" t="n"/>
      <c r="R55" s="101" t="n"/>
      <c r="S55" s="101" t="n"/>
      <c r="T55" s="101" t="n"/>
      <c r="U55" s="101" t="n"/>
      <c r="V55" s="101" t="n"/>
      <c r="W55" s="101" t="n"/>
    </row>
    <row r="56" ht="14.4" customHeight="1" s="877">
      <c r="A56" s="101" t="n"/>
      <c r="B56" s="101" t="n"/>
      <c r="C56" s="101" t="n"/>
      <c r="D56" s="101" t="n"/>
      <c r="E56" s="101" t="n"/>
      <c r="F56" s="101" t="n"/>
      <c r="G56" s="101" t="n"/>
      <c r="H56" s="101" t="n"/>
      <c r="I56" s="101" t="n"/>
      <c r="J56" s="101" t="n"/>
      <c r="K56" s="101" t="n"/>
      <c r="L56" s="101" t="n"/>
      <c r="M56" s="101" t="n"/>
      <c r="N56" s="101" t="n"/>
      <c r="O56" s="101" t="n"/>
      <c r="P56" s="101" t="n"/>
      <c r="Q56" s="101" t="n"/>
      <c r="R56" s="101" t="n"/>
      <c r="S56" s="101" t="n"/>
      <c r="T56" s="101" t="n"/>
      <c r="U56" s="101" t="n"/>
      <c r="V56" s="101" t="n"/>
      <c r="W56" s="101" t="n"/>
    </row>
    <row r="57" ht="14.4" customHeight="1" s="877">
      <c r="A57" s="101" t="n"/>
      <c r="B57" s="101" t="n"/>
      <c r="C57" s="101" t="n"/>
      <c r="D57" s="101" t="n"/>
      <c r="E57" s="101" t="n"/>
      <c r="F57" s="101" t="n"/>
      <c r="G57" s="101" t="n"/>
      <c r="H57" s="101" t="n"/>
      <c r="I57" s="101" t="n"/>
      <c r="J57" s="101" t="n"/>
      <c r="K57" s="101" t="n"/>
      <c r="L57" s="101" t="n"/>
      <c r="M57" s="101" t="n"/>
      <c r="N57" s="101" t="n"/>
      <c r="O57" s="101" t="n"/>
      <c r="P57" s="101" t="n"/>
      <c r="Q57" s="101" t="n"/>
      <c r="R57" s="101" t="n"/>
      <c r="S57" s="101" t="n"/>
      <c r="T57" s="101" t="n"/>
      <c r="U57" s="101" t="n"/>
      <c r="V57" s="101" t="n"/>
      <c r="W57" s="101" t="n"/>
    </row>
  </sheetData>
  <mergeCells count="3">
    <mergeCell ref="M13:P20"/>
    <mergeCell ref="F8:K8"/>
    <mergeCell ref="C22:P41"/>
  </mergeCells>
  <conditionalFormatting sqref="C20:H20">
    <cfRule type="expression" priority="26" dxfId="10">
      <formula>AND(FP.RealTimeToggle="ON",MO.RealTime="ON")</formula>
    </cfRule>
  </conditionalFormatting>
  <dataValidations count="3">
    <dataValidation sqref="H18" showDropDown="0" showInputMessage="1" showErrorMessage="1" allowBlank="1" type="list">
      <formula1>"ON, OFF"</formula1>
    </dataValidation>
    <dataValidation sqref="H16" showDropDown="0" showInputMessage="1" showErrorMessage="1" allowBlank="1"/>
    <dataValidation sqref="H15" showDropDown="0" showInputMessage="1" showErrorMessage="1" allowBlank="1" type="list">
      <formula1>"Bloomberg, Capital IQ, FactSet, Refinitiv"</formula1>
    </dataValidation>
  </dataValidations>
  <hyperlinks>
    <hyperlink xmlns:r="http://schemas.openxmlformats.org/officeDocument/2006/relationships" ref="M7" tooltip="Click to directly email Tegus support" display="modelsupport@alpha-sense.com" r:id="rId1"/>
    <hyperlink xmlns:r="http://schemas.openxmlformats.org/officeDocument/2006/relationships" ref="N7" tooltip="Click to directly email Tegus support" display="modelsupport@alpha-sense.com" r:id="rId2"/>
    <hyperlink xmlns:r="http://schemas.openxmlformats.org/officeDocument/2006/relationships" ref="O7" tooltip="Click to directly email Tegus support" display="modelsupport@alpha-sense.com" r:id="rId3"/>
  </hyperlinks>
  <pageMargins left="0.7" right="0.7" top="0.75" bottom="0.75" header="0.3" footer="0.3"/>
  <pageSetup orientation="portrait" paperSize="1" scale="45"/>
  <drawing xmlns:r="http://schemas.openxmlformats.org/officeDocument/2006/relationships" r:id="rId4"/>
</worksheet>
</file>

<file path=xl/worksheets/sheet2.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25" customWidth="1" style="877" min="1" max="1"/>
    <col width="12" customWidth="1" style="877" min="2" max="2"/>
    <col width="12" customWidth="1" style="877" min="3" max="3"/>
    <col width="12" customWidth="1" style="877" min="4" max="4"/>
    <col width="12" customWidth="1" style="877" min="5" max="5"/>
    <col width="12" customWidth="1" style="877" min="6" max="6"/>
    <col width="12" customWidth="1" style="877" min="7" max="7"/>
    <col width="12" customWidth="1" style="877" min="8" max="8"/>
    <col width="12" customWidth="1" style="877" min="9" max="9"/>
    <col width="12" customWidth="1" style="877" min="10" max="10"/>
  </cols>
  <sheetData>
    <row r="1">
      <c r="A1" s="1413" t="inlineStr">
        <is>
          <t>CoreWeave DCF Valuation Analysis</t>
        </is>
      </c>
    </row>
    <row r="4">
      <c r="A4" t="inlineStr">
        <is>
          <t>Period</t>
        </is>
      </c>
      <c r="F4" s="1414" t="inlineStr">
        <is>
          <t>FY2025</t>
        </is>
      </c>
      <c r="G4" s="1414" t="inlineStr">
        <is>
          <t>FY2026</t>
        </is>
      </c>
      <c r="H4" s="1414" t="inlineStr">
        <is>
          <t>FY2027</t>
        </is>
      </c>
      <c r="I4" s="1414" t="inlineStr">
        <is>
          <t>FY2028</t>
        </is>
      </c>
      <c r="J4" s="1414" t="inlineStr">
        <is>
          <t>FY2029</t>
        </is>
      </c>
    </row>
    <row r="6">
      <c r="A6" s="1415" t="inlineStr">
        <is>
          <t>REVENUE BUILD</t>
        </is>
      </c>
    </row>
    <row r="7">
      <c r="A7" t="inlineStr">
        <is>
          <t>Total Revenue</t>
        </is>
      </c>
      <c r="F7" s="1416">
        <f>Model!S7</f>
        <v/>
      </c>
      <c r="G7" s="1416">
        <f>Model!X7</f>
        <v/>
      </c>
      <c r="H7" s="1416">
        <f>Model!AC7</f>
        <v/>
      </c>
      <c r="I7" s="1416">
        <f>Model!AH7</f>
        <v/>
      </c>
      <c r="J7" s="1416">
        <f>Model!AM7</f>
        <v/>
      </c>
    </row>
    <row r="8">
      <c r="A8" t="inlineStr">
        <is>
          <t>Y/Y Growth %</t>
        </is>
      </c>
      <c r="G8">
        <f>G7/F7 - 1</f>
        <v/>
      </c>
      <c r="H8">
        <f>H7/G7 - 1</f>
        <v/>
      </c>
      <c r="I8">
        <f>I7/H7 - 1</f>
        <v/>
      </c>
      <c r="J8">
        <f>J7/I7 - 1</f>
        <v/>
      </c>
    </row>
    <row r="10">
      <c r="A10" s="1415" t="inlineStr">
        <is>
          <t>OPERATING METRICS</t>
        </is>
      </c>
    </row>
    <row r="11">
      <c r="A11" t="inlineStr">
        <is>
          <t>EBITDA Margin %</t>
        </is>
      </c>
      <c r="F11" s="1416">
        <f>Model!S15</f>
        <v/>
      </c>
      <c r="G11" s="1416">
        <f>Model!X15</f>
        <v/>
      </c>
      <c r="H11" s="1416">
        <f>Model!AC15</f>
        <v/>
      </c>
      <c r="I11" s="1416">
        <f>Model!AH15</f>
        <v/>
      </c>
      <c r="J11" s="1416">
        <f>Model!AM15</f>
        <v/>
      </c>
    </row>
    <row r="12">
      <c r="A12" t="inlineStr">
        <is>
          <t>Operating Income (GAAP)</t>
        </is>
      </c>
      <c r="F12" s="1416">
        <f>Model!S99</f>
        <v/>
      </c>
      <c r="G12" s="1416">
        <f>Model!X99</f>
        <v/>
      </c>
      <c r="H12" s="1416">
        <f>Model!AC99</f>
        <v/>
      </c>
      <c r="I12" s="1416">
        <f>Model!AH99</f>
        <v/>
      </c>
      <c r="J12" s="1416">
        <f>Model!AM99</f>
        <v/>
      </c>
    </row>
    <row r="13">
      <c r="A13" t="inlineStr">
        <is>
          <t>Operating Margin %</t>
        </is>
      </c>
      <c r="F13">
        <f>F12/F7</f>
        <v/>
      </c>
      <c r="G13">
        <f>G12/G7</f>
        <v/>
      </c>
      <c r="H13">
        <f>H12/H7</f>
        <v/>
      </c>
      <c r="I13">
        <f>I12/I7</f>
        <v/>
      </c>
      <c r="J13">
        <f>J12/J7</f>
        <v/>
      </c>
    </row>
    <row r="16">
      <c r="A16" s="1415" t="inlineStr">
        <is>
          <t>UFCF BUILD</t>
        </is>
      </c>
    </row>
    <row r="17">
      <c r="A17" t="inlineStr">
        <is>
          <t>Revenue</t>
        </is>
      </c>
      <c r="F17">
        <f>F7</f>
        <v/>
      </c>
      <c r="G17">
        <f>G7</f>
        <v/>
      </c>
      <c r="H17">
        <f>H7</f>
        <v/>
      </c>
      <c r="I17">
        <f>I7</f>
        <v/>
      </c>
      <c r="J17">
        <f>J7</f>
        <v/>
      </c>
    </row>
    <row r="18">
      <c r="A18" t="inlineStr">
        <is>
          <t>Operating Income</t>
        </is>
      </c>
      <c r="F18">
        <f>F12</f>
        <v/>
      </c>
      <c r="G18">
        <f>G12</f>
        <v/>
      </c>
      <c r="H18">
        <f>H12</f>
        <v/>
      </c>
      <c r="I18">
        <f>I12</f>
        <v/>
      </c>
      <c r="J18">
        <f>J12</f>
        <v/>
      </c>
    </row>
    <row r="19">
      <c r="A19" t="inlineStr">
        <is>
          <t>Tax Rate %</t>
        </is>
      </c>
      <c r="F19" s="1417" t="n">
        <v>0.21</v>
      </c>
      <c r="G19" s="1417" t="n">
        <v>0.21</v>
      </c>
      <c r="H19" s="1417" t="n">
        <v>0.21</v>
      </c>
      <c r="I19" s="1417" t="n">
        <v>0.21</v>
      </c>
      <c r="J19" s="1417" t="n">
        <v>0.21</v>
      </c>
    </row>
    <row r="20">
      <c r="A20" t="inlineStr">
        <is>
          <t>NOPAT (OpInc × (1-Tax))</t>
        </is>
      </c>
      <c r="F20">
        <f>F18 * (1 - F19)</f>
        <v/>
      </c>
      <c r="G20">
        <f>G18 * (1 - G19)</f>
        <v/>
      </c>
      <c r="H20">
        <f>H18 * (1 - H19)</f>
        <v/>
      </c>
      <c r="I20">
        <f>I18 * (1 - I19)</f>
        <v/>
      </c>
      <c r="J20">
        <f>J18 * (1 - J19)</f>
        <v/>
      </c>
    </row>
    <row r="21">
      <c r="A21" t="inlineStr">
        <is>
          <t>D&amp;A</t>
        </is>
      </c>
      <c r="F21" s="1416">
        <f>Model!S129</f>
        <v/>
      </c>
      <c r="G21" s="1416">
        <f>Model!X129</f>
        <v/>
      </c>
      <c r="H21" s="1416">
        <f>Model!AC129</f>
        <v/>
      </c>
      <c r="I21" s="1416">
        <f>Model!AH129</f>
        <v/>
      </c>
      <c r="J21" s="1416">
        <f>Model!AM129</f>
        <v/>
      </c>
    </row>
    <row r="22">
      <c r="A22" t="inlineStr">
        <is>
          <t>CapEx</t>
        </is>
      </c>
      <c r="F22" s="1416">
        <f>Model!S216</f>
        <v/>
      </c>
      <c r="G22" s="1416">
        <f>Model!X216</f>
        <v/>
      </c>
      <c r="H22" s="1416">
        <f>Model!AC216</f>
        <v/>
      </c>
      <c r="I22" s="1416">
        <f>Model!AH216</f>
        <v/>
      </c>
      <c r="J22" s="1416">
        <f>Model!AM216</f>
        <v/>
      </c>
    </row>
    <row r="23">
      <c r="A23" t="inlineStr">
        <is>
          <t>Change in Working Capital</t>
        </is>
      </c>
      <c r="F23">
        <f>F17 * 0.08</f>
        <v/>
      </c>
      <c r="G23">
        <f>G17 * 0.08</f>
        <v/>
      </c>
      <c r="H23">
        <f>H17 * 0.08</f>
        <v/>
      </c>
      <c r="I23">
        <f>I17 * 0.08</f>
        <v/>
      </c>
      <c r="J23">
        <f>J17 * 0.08</f>
        <v/>
      </c>
    </row>
    <row r="24">
      <c r="A24" t="inlineStr">
        <is>
          <t>Unlevered FCF</t>
        </is>
      </c>
      <c r="F24">
        <f>F20 + F21 - F22 - F23</f>
        <v/>
      </c>
      <c r="G24">
        <f>G20 + G21 - G22 - G23</f>
        <v/>
      </c>
      <c r="H24">
        <f>H20 + H21 - H22 - H23</f>
        <v/>
      </c>
      <c r="I24">
        <f>I20 + I21 - I22 - I23</f>
        <v/>
      </c>
      <c r="J24">
        <f>J20 + J21 - J22 - J23</f>
        <v/>
      </c>
    </row>
    <row r="26">
      <c r="A26" s="1415" t="inlineStr">
        <is>
          <t>DISCOUNTING</t>
        </is>
      </c>
    </row>
    <row r="27">
      <c r="A27" t="inlineStr">
        <is>
          <t>WACC %</t>
        </is>
      </c>
      <c r="F27" s="1417" t="n">
        <v>0.1</v>
      </c>
      <c r="G27" s="1417" t="n">
        <v>0.1</v>
      </c>
      <c r="H27" s="1417" t="n">
        <v>0.1</v>
      </c>
      <c r="I27" s="1417" t="n">
        <v>0.1</v>
      </c>
      <c r="J27" s="1417" t="n">
        <v>0.1</v>
      </c>
    </row>
    <row r="28">
      <c r="A28" t="inlineStr">
        <is>
          <t>Discount Factor</t>
        </is>
      </c>
      <c r="F28">
        <f>1 / (1 + F27)^1</f>
        <v/>
      </c>
      <c r="G28">
        <f>1 / (1 + G27)^2</f>
        <v/>
      </c>
      <c r="H28">
        <f>1 / (1 + H27)^3</f>
        <v/>
      </c>
      <c r="I28">
        <f>1 / (1 + I27)^4</f>
        <v/>
      </c>
      <c r="J28">
        <f>1 / (1 + J27)^5</f>
        <v/>
      </c>
    </row>
    <row r="29">
      <c r="A29" t="inlineStr">
        <is>
          <t>PV of UFCF</t>
        </is>
      </c>
      <c r="F29">
        <f>F24 * F28</f>
        <v/>
      </c>
      <c r="G29">
        <f>G24 * G28</f>
        <v/>
      </c>
      <c r="H29">
        <f>H24 * H28</f>
        <v/>
      </c>
      <c r="I29">
        <f>I24 * I28</f>
        <v/>
      </c>
      <c r="J29">
        <f>J24 * J28</f>
        <v/>
      </c>
    </row>
    <row r="31">
      <c r="A31" s="1415" t="inlineStr">
        <is>
          <t>TERMINAL VALUE</t>
        </is>
      </c>
    </row>
    <row r="32">
      <c r="A32" t="inlineStr">
        <is>
          <t>Terminal Growth %</t>
        </is>
      </c>
      <c r="F32" s="1417" t="n">
        <v>0.03</v>
      </c>
    </row>
    <row r="33">
      <c r="A33" t="inlineStr">
        <is>
          <t>Terminal Value</t>
        </is>
      </c>
      <c r="F33">
        <f>F24 * (1 + F32) / (F27 - F32)</f>
        <v/>
      </c>
    </row>
    <row r="34">
      <c r="A34" t="inlineStr">
        <is>
          <t>PV of TV</t>
        </is>
      </c>
      <c r="F34">
        <f>F33 * F28</f>
        <v/>
      </c>
    </row>
    <row r="36">
      <c r="A36" s="1415" t="inlineStr">
        <is>
          <t>VALUATION</t>
        </is>
      </c>
    </row>
    <row r="37">
      <c r="A37" t="inlineStr">
        <is>
          <t>Sum PV UFCF</t>
        </is>
      </c>
      <c r="F37">
        <f>SUM(F29:J29)</f>
        <v/>
      </c>
    </row>
    <row r="38">
      <c r="A38" t="inlineStr">
        <is>
          <t>PV Terminal Value</t>
        </is>
      </c>
      <c r="F38">
        <f>F34</f>
        <v/>
      </c>
    </row>
    <row r="39">
      <c r="A39" t="inlineStr">
        <is>
          <t>Enterprise Value</t>
        </is>
      </c>
      <c r="F39">
        <f>F37 + F38</f>
        <v/>
      </c>
    </row>
    <row r="40">
      <c r="A40" t="inlineStr">
        <is>
          <t>Less: Net Debt</t>
        </is>
      </c>
      <c r="F40">
        <f>Model!L600 - Model!L550</f>
        <v/>
      </c>
    </row>
    <row r="41">
      <c r="A41" t="inlineStr">
        <is>
          <t>Equity Value</t>
        </is>
      </c>
      <c r="F41">
        <f>F39 - F40</f>
        <v/>
      </c>
    </row>
    <row r="42">
      <c r="A42" t="inlineStr">
        <is>
          <t>Shares Outstanding (mm)</t>
        </is>
      </c>
      <c r="F42">
        <f>Model!L700</f>
        <v/>
      </c>
    </row>
    <row r="43">
      <c r="A43" t="inlineStr">
        <is>
          <t>Implied Price</t>
        </is>
      </c>
      <c r="F43">
        <f>F41 / F42</f>
        <v/>
      </c>
    </row>
    <row r="44">
      <c r="A44" t="inlineStr">
        <is>
          <t>Current Price</t>
        </is>
      </c>
      <c r="F44">
        <f>'Front Page'!H20</f>
        <v/>
      </c>
    </row>
    <row r="45">
      <c r="A45" t="inlineStr">
        <is>
          <t>Upside %</t>
        </is>
      </c>
      <c r="F45" s="1417">
        <f>F43 / F44 - 1</f>
        <v/>
      </c>
    </row>
  </sheetData>
  <pageMargins left="0.75" right="0.75" top="1" bottom="1" header="0.5" footer="0.5"/>
</worksheet>
</file>

<file path=xl/worksheets/sheet3.xml><?xml version="1.0" encoding="utf-8"?>
<worksheet xmlns="http://schemas.openxmlformats.org/spreadsheetml/2006/main">
  <sheetPr codeName="Sheet2">
    <outlinePr summaryBelow="1" summaryRight="1"/>
    <pageSetUpPr fitToPage="1"/>
  </sheetPr>
  <dimension ref="A1:AV878"/>
  <sheetViews>
    <sheetView topLeftCell="A1" zoomScale="85" zoomScaleNormal="85" workbookViewId="0">
      <pane xSplit="2" ySplit="5" topLeftCell="AC6" activePane="bottomRight" state="frozenSplit"/>
      <selection pane="topLeft" activeCell="A1" sqref="A1"/>
      <selection pane="bottomLeft" activeCell="A6" sqref="A6"/>
      <selection pane="topRight" activeCell="C1" sqref="C1"/>
      <selection pane="bottomRight" activeCell="A1" sqref="A1"/>
    </sheetView>
  </sheetViews>
  <sheetFormatPr baseColWidth="8" defaultColWidth="9.11428571428571" defaultRowHeight="14.4" outlineLevelRow="3"/>
  <cols>
    <col width="50.7142857142857" customWidth="1" style="877" min="1" max="1"/>
    <col width="11.2857142857143" bestFit="1" customWidth="1" style="877" min="2" max="2"/>
    <col hidden="1" outlineLevel="1" width="11.5714285714286" customWidth="1" style="877" min="3" max="23"/>
    <col collapsed="1" width="11.5714285714286" customWidth="1" style="877" min="24" max="24"/>
    <col hidden="1" outlineLevel="1" width="11.5714285714286" customWidth="1" style="877" min="25" max="28"/>
    <col collapsed="1" width="11.5714285714286" customWidth="1" style="877" min="29" max="29"/>
    <col outlineLevel="1" width="11.5714285714286" customWidth="1" style="877" min="30" max="33"/>
    <col width="11.5714285714286" customWidth="1" style="877" min="34" max="34"/>
    <col outlineLevel="1" width="11.5714285714286" customWidth="1" style="877" min="35" max="38"/>
    <col width="11.5714285714286" customWidth="1" style="877" min="39" max="39"/>
    <col outlineLevel="1" width="11.5714285714286" customWidth="1" style="877" min="40" max="43"/>
    <col width="11.5714285714286" customWidth="1" style="877" min="44" max="47"/>
    <col width="8.857142857142859" customWidth="1" style="877" min="48" max="48"/>
    <col width="9.142857142857141" customWidth="1" style="877" min="49" max="16384"/>
  </cols>
  <sheetData>
    <row r="1" ht="33.6" customFormat="1" customHeight="1" s="1418">
      <c r="A1" s="1419" t="inlineStr">
        <is>
          <t>CoreWeave</t>
        </is>
      </c>
      <c r="B1" s="1420" t="n"/>
      <c r="C1" s="1420" t="n"/>
      <c r="D1" s="1420" t="n"/>
      <c r="E1" s="1420" t="n"/>
      <c r="F1" s="1420" t="n"/>
      <c r="G1" s="1420" t="n"/>
      <c r="H1" s="1420" t="n"/>
      <c r="I1" s="1420" t="n"/>
      <c r="J1" s="1420" t="n"/>
      <c r="K1" s="1420" t="n"/>
      <c r="L1" s="1420" t="n"/>
      <c r="M1" s="1420" t="n"/>
      <c r="N1" s="1420" t="n"/>
      <c r="O1" s="1420" t="n"/>
      <c r="P1" s="1420" t="n"/>
      <c r="Q1" s="1420" t="n"/>
      <c r="R1" s="1420" t="n"/>
      <c r="S1" s="1420" t="n"/>
      <c r="T1" s="1420" t="n"/>
      <c r="U1" s="1420" t="n"/>
      <c r="V1" s="1420" t="n"/>
      <c r="W1" s="1420" t="n"/>
      <c r="X1" s="1420" t="n"/>
      <c r="Y1" s="1420" t="n"/>
      <c r="Z1" s="1420" t="n"/>
      <c r="AA1" s="1420" t="n"/>
      <c r="AB1" s="1420" t="n"/>
      <c r="AC1" s="1420" t="n"/>
      <c r="AD1" s="1420" t="n"/>
      <c r="AE1" s="1420" t="n"/>
      <c r="AF1" s="1420" t="n"/>
      <c r="AG1" s="1420" t="n"/>
      <c r="AH1" s="1420" t="n"/>
      <c r="AI1" s="1420" t="n"/>
      <c r="AJ1" s="1420" t="n"/>
      <c r="AK1" s="1421" t="n"/>
      <c r="AL1" s="1420" t="n"/>
      <c r="AM1" s="1420" t="n"/>
      <c r="AN1" s="1420" t="n"/>
      <c r="AO1" s="1420" t="n"/>
      <c r="AP1" s="1420" t="n"/>
      <c r="AQ1" s="1420" t="n"/>
      <c r="AR1" s="1420" t="n"/>
      <c r="AS1" s="1420" t="n"/>
      <c r="AT1" s="1420" t="n"/>
      <c r="AU1" s="1420" t="n"/>
      <c r="AV1" s="1422" t="n"/>
    </row>
    <row r="2" ht="14.4" customHeight="1" s="877">
      <c r="A2" s="1423">
        <f>CHOOSE(MO.DataSourceIndex,MO.Ticker.Bloomberg,MO.Ticker.CapIQ,MO.Ticker.FactSet,MO.Ticker.Thomson)</f>
        <v/>
      </c>
      <c r="B2" s="1424" t="n"/>
      <c r="C2" s="1425">
        <f>EOMONTH(C4,-12)</f>
        <v/>
      </c>
      <c r="D2" s="668" t="n"/>
      <c r="E2" s="668" t="n"/>
      <c r="F2" s="668" t="n"/>
      <c r="G2" s="668" t="n"/>
      <c r="H2" s="668" t="n"/>
      <c r="I2" s="668" t="n"/>
      <c r="J2" s="668" t="n"/>
      <c r="K2" s="668" t="n"/>
      <c r="L2" s="668" t="n"/>
      <c r="M2" s="668" t="n"/>
      <c r="N2" s="668" t="n"/>
      <c r="O2" s="668" t="n"/>
      <c r="P2" s="668" t="n"/>
      <c r="Q2" s="668" t="n"/>
      <c r="R2" s="668" t="n"/>
      <c r="S2" s="668" t="n"/>
      <c r="T2" s="668" t="n"/>
      <c r="U2" s="668" t="n"/>
      <c r="V2" s="668" t="n"/>
      <c r="W2" s="668" t="n"/>
      <c r="X2" s="668" t="n"/>
      <c r="Y2" s="668" t="n"/>
      <c r="Z2" s="668" t="n"/>
      <c r="AA2" s="668" t="n"/>
      <c r="AB2" s="668" t="n"/>
      <c r="AC2" s="668" t="n"/>
      <c r="AD2" s="668" t="n"/>
      <c r="AE2" s="668" t="n"/>
      <c r="AF2" s="668" t="n"/>
      <c r="AG2" s="668" t="n"/>
      <c r="AH2" s="668" t="n"/>
      <c r="AI2" s="668" t="n"/>
      <c r="AJ2" s="668" t="n"/>
      <c r="AK2" s="293" t="n"/>
      <c r="AL2" s="668" t="n"/>
      <c r="AM2" s="668" t="n"/>
      <c r="AN2" s="668" t="n"/>
      <c r="AO2" s="668" t="n"/>
      <c r="AP2" s="668" t="n"/>
      <c r="AQ2" s="668" t="n"/>
      <c r="AR2" s="668" t="n"/>
      <c r="AS2" s="668" t="n"/>
      <c r="AT2" s="668" t="n"/>
      <c r="AU2" s="668" t="n"/>
      <c r="AV2" s="787" t="n"/>
    </row>
    <row r="3" ht="14.4" customFormat="1" customHeight="1" s="1426">
      <c r="A3" s="1427">
        <f>HP.TradeCurrency</f>
        <v/>
      </c>
      <c r="B3" s="1428">
        <f>IF(MO.RealTime="OFF",MO.LastPriceHardcoded,MO.LastPriceFormula)</f>
        <v/>
      </c>
      <c r="C3" s="1209">
        <f>C4-C2</f>
        <v/>
      </c>
      <c r="D3" s="1209">
        <f>D4-C4</f>
        <v/>
      </c>
      <c r="E3" s="1209">
        <f>E4-D4</f>
        <v/>
      </c>
      <c r="F3" s="1209">
        <f>F4-E4</f>
        <v/>
      </c>
      <c r="G3" s="1209">
        <f>G4-F4</f>
        <v/>
      </c>
      <c r="H3" s="1209">
        <f>H4-G4</f>
        <v/>
      </c>
      <c r="I3" s="1209">
        <f>I4-H4</f>
        <v/>
      </c>
      <c r="J3" s="1209">
        <f>J4-I4</f>
        <v/>
      </c>
      <c r="K3" s="1209">
        <f>K4-J4</f>
        <v/>
      </c>
      <c r="L3" s="1209">
        <f>L4-K4</f>
        <v/>
      </c>
      <c r="M3" s="1209">
        <f>M4-L4</f>
        <v/>
      </c>
      <c r="N3" s="1209">
        <f>N4-M4</f>
        <v/>
      </c>
      <c r="O3" s="670">
        <f>O4-N4</f>
        <v/>
      </c>
      <c r="P3" s="670">
        <f>P4-O4</f>
        <v/>
      </c>
      <c r="Q3" s="670">
        <f>Q4-P4</f>
        <v/>
      </c>
      <c r="R3" s="670">
        <f>R4-Q4</f>
        <v/>
      </c>
      <c r="S3" s="1209">
        <f>S4-N4</f>
        <v/>
      </c>
      <c r="T3" s="670">
        <f>T4-S4</f>
        <v/>
      </c>
      <c r="U3" s="670">
        <f>U4-T4</f>
        <v/>
      </c>
      <c r="V3" s="670">
        <f>V4-U4</f>
        <v/>
      </c>
      <c r="W3" s="670">
        <f>W4-V4</f>
        <v/>
      </c>
      <c r="X3" s="1209">
        <f>X4-S4</f>
        <v/>
      </c>
      <c r="Y3" s="670">
        <f>Y4-X4</f>
        <v/>
      </c>
      <c r="Z3" s="670">
        <f>Z4-Y4</f>
        <v/>
      </c>
      <c r="AA3" s="670">
        <f>AA4-Z4</f>
        <v/>
      </c>
      <c r="AB3" s="670">
        <f>AB4-AA4</f>
        <v/>
      </c>
      <c r="AC3" s="1209">
        <f>AC4-X4</f>
        <v/>
      </c>
      <c r="AD3" s="670">
        <f>AD4-AC4</f>
        <v/>
      </c>
      <c r="AE3" s="670">
        <f>AE4-AD4</f>
        <v/>
      </c>
      <c r="AF3" s="670">
        <f>AF4-AE4</f>
        <v/>
      </c>
      <c r="AG3" s="670">
        <f>AG4-AF4</f>
        <v/>
      </c>
      <c r="AH3" s="1209">
        <f>AH4-AC4</f>
        <v/>
      </c>
      <c r="AI3" s="670">
        <f>AI4-AH4</f>
        <v/>
      </c>
      <c r="AJ3" s="670">
        <f>AJ4-AI4</f>
        <v/>
      </c>
      <c r="AK3" s="887">
        <f>AK4-AJ4</f>
        <v/>
      </c>
      <c r="AL3" s="211">
        <f>AL4-AK4</f>
        <v/>
      </c>
      <c r="AM3" s="1210">
        <f>AM4-AH4</f>
        <v/>
      </c>
      <c r="AN3" s="211">
        <f>AN4-AM4</f>
        <v/>
      </c>
      <c r="AO3" s="211">
        <f>AO4-AN4</f>
        <v/>
      </c>
      <c r="AP3" s="211">
        <f>AP4-AO4</f>
        <v/>
      </c>
      <c r="AQ3" s="211">
        <f>AQ4-AP4</f>
        <v/>
      </c>
      <c r="AR3" s="1210">
        <f>AR4-AM4</f>
        <v/>
      </c>
      <c r="AS3" s="1210">
        <f>AS4-AR4</f>
        <v/>
      </c>
      <c r="AT3" s="1210">
        <f>AT4-AS4</f>
        <v/>
      </c>
      <c r="AU3" s="1210">
        <f>AU4-AT4</f>
        <v/>
      </c>
      <c r="AV3" s="1429" t="n"/>
    </row>
    <row r="4" ht="14.4" customHeight="1" s="877">
      <c r="A4" s="1430">
        <f>FP.DataSourceName</f>
        <v/>
      </c>
      <c r="B4" s="214">
        <f>IF(AND(MO.RealTimeStockPriceToggle,MO.LastPriceFormula&lt;&gt;"N/A"),"ON","OFF")</f>
        <v/>
      </c>
      <c r="C4" s="1211" t="n">
        <v>40178</v>
      </c>
      <c r="D4" s="1212">
        <f>EOMONTH(C4,12)</f>
        <v/>
      </c>
      <c r="E4" s="1212">
        <f>EOMONTH(D4,12)</f>
        <v/>
      </c>
      <c r="F4" s="1212">
        <f>EOMONTH(E4,12)</f>
        <v/>
      </c>
      <c r="G4" s="1212">
        <f>EOMONTH(F4,12)</f>
        <v/>
      </c>
      <c r="H4" s="1212">
        <f>EOMONTH(G4,12)</f>
        <v/>
      </c>
      <c r="I4" s="1212">
        <f>EOMONTH(H4,12)</f>
        <v/>
      </c>
      <c r="J4" s="1212">
        <f>EOMONTH(I4,12)</f>
        <v/>
      </c>
      <c r="K4" s="1212">
        <f>EOMONTH(J4,12)</f>
        <v/>
      </c>
      <c r="L4" s="1212">
        <f>EOMONTH(K4,12)</f>
        <v/>
      </c>
      <c r="M4" s="1212">
        <f>EOMONTH(L4,12)</f>
        <v/>
      </c>
      <c r="N4" s="1212">
        <f>EOMONTH(M4,12)</f>
        <v/>
      </c>
      <c r="O4" s="1124">
        <f>EOMONTH(N4,3)</f>
        <v/>
      </c>
      <c r="P4" s="673">
        <f>EOMONTH(O4,3)</f>
        <v/>
      </c>
      <c r="Q4" s="1124">
        <f>EOMONTH(P4,3)</f>
        <v/>
      </c>
      <c r="R4" s="1124">
        <f>EOMONTH(Q4,3)</f>
        <v/>
      </c>
      <c r="S4" s="1212">
        <f>R4</f>
        <v/>
      </c>
      <c r="T4" s="1124">
        <f>EOMONTH(S4,3)</f>
        <v/>
      </c>
      <c r="U4" s="673">
        <f>EOMONTH(T4,3)</f>
        <v/>
      </c>
      <c r="V4" s="1124">
        <f>EOMONTH(U4,3)</f>
        <v/>
      </c>
      <c r="W4" s="1124">
        <f>EOMONTH(V4,3)</f>
        <v/>
      </c>
      <c r="X4" s="1212">
        <f>W4</f>
        <v/>
      </c>
      <c r="Y4" s="1124">
        <f>EOMONTH(X4,3)</f>
        <v/>
      </c>
      <c r="Z4" s="673">
        <f>EOMONTH(Y4,3)</f>
        <v/>
      </c>
      <c r="AA4" s="1124">
        <f>EOMONTH(Z4,3)</f>
        <v/>
      </c>
      <c r="AB4" s="1124">
        <f>EOMONTH(AA4,3)</f>
        <v/>
      </c>
      <c r="AC4" s="1212">
        <f>AB4</f>
        <v/>
      </c>
      <c r="AD4" s="1124">
        <f>EOMONTH(AC4,3)</f>
        <v/>
      </c>
      <c r="AE4" s="673">
        <f>EOMONTH(AD4,3)</f>
        <v/>
      </c>
      <c r="AF4" s="1124">
        <f>EOMONTH(AE4,3)</f>
        <v/>
      </c>
      <c r="AG4" s="1124">
        <f>EOMONTH(AF4,3)</f>
        <v/>
      </c>
      <c r="AH4" s="1212">
        <f>AG4</f>
        <v/>
      </c>
      <c r="AI4" s="1124">
        <f>EOMONTH(AH4,3)</f>
        <v/>
      </c>
      <c r="AJ4" s="673">
        <f>EOMONTH(AI4,3)</f>
        <v/>
      </c>
      <c r="AK4" s="1125">
        <f>EOMONTH(AJ4,3)</f>
        <v/>
      </c>
      <c r="AL4" s="1124">
        <f>EOMONTH(AK4,3)</f>
        <v/>
      </c>
      <c r="AM4" s="1213">
        <f>AL4</f>
        <v/>
      </c>
      <c r="AN4" s="1124">
        <f>EOMONTH(AM4,3)</f>
        <v/>
      </c>
      <c r="AO4" s="1124">
        <f>EOMONTH(AN4,3)</f>
        <v/>
      </c>
      <c r="AP4" s="1124">
        <f>EOMONTH(AO4,3)</f>
        <v/>
      </c>
      <c r="AQ4" s="1124">
        <f>EOMONTH(AP4,3)</f>
        <v/>
      </c>
      <c r="AR4" s="1213">
        <f>AQ4</f>
        <v/>
      </c>
      <c r="AS4" s="1213">
        <f>EOMONTH(AR4,12)</f>
        <v/>
      </c>
      <c r="AT4" s="1213">
        <f>EOMONTH(AS4,12)</f>
        <v/>
      </c>
      <c r="AU4" s="1213">
        <f>EOMONTH(AT4,12)</f>
        <v/>
      </c>
      <c r="AV4" s="787" t="n"/>
    </row>
    <row r="5" ht="14.4" customHeight="1" s="877">
      <c r="A5" s="1431">
        <f>MO.ReportCurrency</f>
        <v/>
      </c>
      <c r="B5" s="294" t="n"/>
      <c r="C5" s="1214" t="inlineStr">
        <is>
          <t>FY2009</t>
        </is>
      </c>
      <c r="D5" s="1216">
        <f>CONCATENATE("FY",RIGHT(C5,4)+1)</f>
        <v/>
      </c>
      <c r="E5" s="1216">
        <f>CONCATENATE("FY",RIGHT(D5,4)+1)</f>
        <v/>
      </c>
      <c r="F5" s="1216">
        <f>CONCATENATE("FY",RIGHT(E5,4)+1)</f>
        <v/>
      </c>
      <c r="G5" s="1216">
        <f>CONCATENATE("FY",RIGHT(F5,4)+1)</f>
        <v/>
      </c>
      <c r="H5" s="1216">
        <f>CONCATENATE("FY",RIGHT(G5,4)+1)</f>
        <v/>
      </c>
      <c r="I5" s="1216">
        <f>CONCATENATE("FY",RIGHT(H5,4)+1)</f>
        <v/>
      </c>
      <c r="J5" s="1216">
        <f>CONCATENATE("FY",RIGHT(I5,4)+1)</f>
        <v/>
      </c>
      <c r="K5" s="1216">
        <f>CONCATENATE("FY",RIGHT(J5,4)+1)</f>
        <v/>
      </c>
      <c r="L5" s="1216">
        <f>CONCATENATE("FY",RIGHT(K5,4)+1)</f>
        <v/>
      </c>
      <c r="M5" s="1216">
        <f>CONCATENATE("FY",RIGHT(L5,4)+1)</f>
        <v/>
      </c>
      <c r="N5" s="1216">
        <f>CONCATENATE("FY",RIGHT(M5,4)+1)</f>
        <v/>
      </c>
      <c r="O5" s="1128">
        <f>CONCATENATE("Q1","-",RIGHT(N5,4)+1)</f>
        <v/>
      </c>
      <c r="P5" s="677">
        <f>CONCATENATE("Q2","-",RIGHT(O5,4))</f>
        <v/>
      </c>
      <c r="Q5" s="1128">
        <f>CONCATENATE("Q3","-",RIGHT(P5,4))</f>
        <v/>
      </c>
      <c r="R5" s="1128">
        <f>CONCATENATE("Q4","-",RIGHT(Q5,4))</f>
        <v/>
      </c>
      <c r="S5" s="1216">
        <f>CONCATENATE("FY",RIGHT(N5,4)+1)</f>
        <v/>
      </c>
      <c r="T5" s="1128">
        <f>CONCATENATE("Q1","-",RIGHT(S5,4)+1)</f>
        <v/>
      </c>
      <c r="U5" s="677">
        <f>CONCATENATE("Q2","-",RIGHT(T5,4))</f>
        <v/>
      </c>
      <c r="V5" s="1128">
        <f>CONCATENATE("Q3","-",RIGHT(U5,4))</f>
        <v/>
      </c>
      <c r="W5" s="1128">
        <f>CONCATENATE("Q4","-",RIGHT(V5,4))</f>
        <v/>
      </c>
      <c r="X5" s="1216">
        <f>CONCATENATE("FY",RIGHT(S5,4)+1)</f>
        <v/>
      </c>
      <c r="Y5" s="1128">
        <f>CONCATENATE("Q1","-",RIGHT(X5,4)+1)</f>
        <v/>
      </c>
      <c r="Z5" s="677">
        <f>CONCATENATE("Q2","-",RIGHT(Y5,4))</f>
        <v/>
      </c>
      <c r="AA5" s="1128">
        <f>CONCATENATE("Q3","-",RIGHT(Z5,4))</f>
        <v/>
      </c>
      <c r="AB5" s="1128">
        <f>CONCATENATE("Q4","-",RIGHT(AA5,4))</f>
        <v/>
      </c>
      <c r="AC5" s="1216">
        <f>CONCATENATE("FY",RIGHT(X5,4)+1)</f>
        <v/>
      </c>
      <c r="AD5" s="1128">
        <f>CONCATENATE("Q1","-",RIGHT(AC5,4)+1)</f>
        <v/>
      </c>
      <c r="AE5" s="677">
        <f>CONCATENATE("Q2","-",RIGHT(AD5,4))</f>
        <v/>
      </c>
      <c r="AF5" s="1128">
        <f>CONCATENATE("Q3","-",RIGHT(AE5,4))</f>
        <v/>
      </c>
      <c r="AG5" s="1128">
        <f>CONCATENATE("Q4","-",RIGHT(AF5,4))</f>
        <v/>
      </c>
      <c r="AH5" s="1216">
        <f>CONCATENATE("FY",RIGHT(AC5,4)+1)</f>
        <v/>
      </c>
      <c r="AI5" s="1128">
        <f>CONCATENATE("Q1","-",RIGHT(AH5,4)+1)</f>
        <v/>
      </c>
      <c r="AJ5" s="677">
        <f>CONCATENATE("Q2","-",RIGHT(AI5,4))</f>
        <v/>
      </c>
      <c r="AK5" s="1129">
        <f>CONCATENATE("Q3","-",RIGHT(AJ5,4))</f>
        <v/>
      </c>
      <c r="AL5" s="1128">
        <f>CONCATENATE("Q4","-",RIGHT(AK5,4))</f>
        <v/>
      </c>
      <c r="AM5" s="1216">
        <f>CONCATENATE("FY",RIGHT(AH5,4)+1)</f>
        <v/>
      </c>
      <c r="AN5" s="1128">
        <f>CONCATENATE("Q1","-",RIGHT(AM5,4)+1)</f>
        <v/>
      </c>
      <c r="AO5" s="1128">
        <f>CONCATENATE("Q2","-",RIGHT(AN5,4))</f>
        <v/>
      </c>
      <c r="AP5" s="1128">
        <f>CONCATENATE("Q3","-",RIGHT(AO5,4))</f>
        <v/>
      </c>
      <c r="AQ5" s="1128">
        <f>CONCATENATE("Q4","-",RIGHT(AP5,4))</f>
        <v/>
      </c>
      <c r="AR5" s="1216">
        <f>CONCATENATE("FY",RIGHT(AM5,4)+1)</f>
        <v/>
      </c>
      <c r="AS5" s="1216">
        <f>CONCATENATE("FY",RIGHT(AR5,4)+1)</f>
        <v/>
      </c>
      <c r="AT5" s="1216">
        <f>CONCATENATE("FY",RIGHT(AS5,4)+1)</f>
        <v/>
      </c>
      <c r="AU5" s="1216">
        <f>CONCATENATE("FY",RIGHT(AT5,4)+1)</f>
        <v/>
      </c>
      <c r="AV5" s="787" t="n"/>
    </row>
    <row r="6" ht="14.4" customFormat="1" customHeight="1" s="1432">
      <c r="A6" s="1433" t="inlineStr">
        <is>
          <t>Revenue Build</t>
        </is>
      </c>
      <c r="B6" s="1434" t="n"/>
      <c r="C6" s="1434" t="n"/>
      <c r="D6" s="1434" t="n"/>
      <c r="E6" s="1434" t="n"/>
      <c r="F6" s="1434" t="n"/>
      <c r="G6" s="1434" t="n"/>
      <c r="H6" s="1434" t="n"/>
      <c r="I6" s="1434" t="n"/>
      <c r="J6" s="1434" t="n"/>
      <c r="K6" s="1434" t="n"/>
      <c r="L6" s="1434" t="n"/>
      <c r="M6" s="1434" t="n"/>
      <c r="N6" s="1434" t="n"/>
      <c r="O6" s="1434" t="n"/>
      <c r="P6" s="1434" t="n"/>
      <c r="Q6" s="1434" t="n"/>
      <c r="R6" s="1434" t="n"/>
      <c r="S6" s="1434" t="n"/>
      <c r="T6" s="1434" t="n"/>
      <c r="U6" s="1434" t="n"/>
      <c r="V6" s="1434" t="n"/>
      <c r="W6" s="1434" t="n"/>
      <c r="X6" s="1434" t="n"/>
      <c r="Y6" s="1434" t="n"/>
      <c r="Z6" s="1434" t="n"/>
      <c r="AA6" s="1435" t="inlineStr">
        <is>
          <t>9 months</t>
        </is>
      </c>
      <c r="AB6" s="1434" t="n"/>
      <c r="AC6" s="1434" t="n"/>
      <c r="AD6" s="1434" t="n"/>
      <c r="AE6" s="1434" t="n"/>
      <c r="AF6" s="1434" t="n"/>
      <c r="AG6" s="1434" t="n"/>
      <c r="AH6" s="1434" t="n"/>
      <c r="AI6" s="1434" t="n"/>
      <c r="AJ6" s="1434" t="n"/>
      <c r="AK6" s="1436" t="n"/>
      <c r="AL6" s="1434" t="n"/>
      <c r="AM6" s="1434" t="n"/>
      <c r="AN6" s="1434" t="n"/>
      <c r="AO6" s="1434" t="n"/>
      <c r="AP6" s="1434" t="n"/>
      <c r="AQ6" s="1434" t="n"/>
      <c r="AR6" s="1434" t="n"/>
      <c r="AS6" s="1434" t="n"/>
      <c r="AT6" s="1434" t="n"/>
      <c r="AU6" s="1434" t="n"/>
      <c r="AV6" s="1437" t="n"/>
    </row>
    <row r="7" ht="14.4" customFormat="1" customHeight="1" s="1438">
      <c r="A7" s="1439" t="inlineStr">
        <is>
          <t>Total revenue, mm</t>
        </is>
      </c>
      <c r="B7" s="1440" t="n"/>
      <c r="C7" s="1441" t="n"/>
      <c r="D7" s="1441" t="n"/>
      <c r="E7" s="1441" t="n"/>
      <c r="F7" s="1441" t="n"/>
      <c r="G7" s="1441" t="n"/>
      <c r="H7" s="1441" t="n"/>
      <c r="I7" s="1441" t="n"/>
      <c r="J7" s="1441" t="n"/>
      <c r="K7" s="1441" t="n"/>
      <c r="L7" s="1441" t="n"/>
      <c r="M7" s="1441" t="n"/>
      <c r="N7" s="1441" t="n"/>
      <c r="O7" s="1442" t="n"/>
      <c r="P7" s="1442" t="n"/>
      <c r="Q7" s="1442" t="n"/>
      <c r="R7" s="1442" t="n"/>
      <c r="S7" s="1441" t="n"/>
      <c r="T7" s="1442" t="n"/>
      <c r="U7" s="1442" t="n"/>
      <c r="V7" s="1442" t="n"/>
      <c r="W7" s="1442" t="n"/>
      <c r="X7" s="1443">
        <f>X280</f>
        <v/>
      </c>
      <c r="Y7" s="1442" t="n"/>
      <c r="Z7" s="1442" t="n"/>
      <c r="AA7" s="1444">
        <f>AA280</f>
        <v/>
      </c>
      <c r="AB7" s="1444">
        <f>AB280</f>
        <v/>
      </c>
      <c r="AC7" s="1443">
        <f>AC280</f>
        <v/>
      </c>
      <c r="AD7" s="1444">
        <f>AD280</f>
        <v/>
      </c>
      <c r="AE7" s="1444">
        <f>AE280</f>
        <v/>
      </c>
      <c r="AF7" s="1444">
        <f>AF280</f>
        <v/>
      </c>
      <c r="AG7" s="1444">
        <f>AG280</f>
        <v/>
      </c>
      <c r="AH7" s="1443">
        <f>AH280</f>
        <v/>
      </c>
      <c r="AI7" s="1444">
        <f>AI280</f>
        <v/>
      </c>
      <c r="AJ7" s="1444">
        <f>AJ280</f>
        <v/>
      </c>
      <c r="AK7" s="1445">
        <f>AK280</f>
        <v/>
      </c>
      <c r="AL7" s="1444">
        <f>AG7*(1+AL10)</f>
        <v/>
      </c>
      <c r="AM7" s="1443">
        <f>SUM(AI7,AJ7,AK7,AL7)</f>
        <v/>
      </c>
      <c r="AN7" s="1444">
        <f>AI7*(1+AN10)</f>
        <v/>
      </c>
      <c r="AO7" s="1444">
        <f>AJ7*(1+AO10)</f>
        <v/>
      </c>
      <c r="AP7" s="1444">
        <f>AK7*(1+AP10)</f>
        <v/>
      </c>
      <c r="AQ7" s="1444">
        <f>AL7*(1+AQ10)</f>
        <v/>
      </c>
      <c r="AR7" s="1443">
        <f>SUM(AN7,AO7,AP7,AQ7)</f>
        <v/>
      </c>
      <c r="AS7" s="1443">
        <f>AR7*(1+AS10)</f>
        <v/>
      </c>
      <c r="AT7" s="1443">
        <f>AS7*(1+AT10)</f>
        <v/>
      </c>
      <c r="AU7" s="1443">
        <f>AT7*(1+AU10)</f>
        <v/>
      </c>
      <c r="AV7" s="1446" t="n"/>
    </row>
    <row r="8" ht="14.4" customFormat="1" customHeight="1" s="1447">
      <c r="A8" s="1448">
        <f>A334</f>
        <v/>
      </c>
      <c r="B8" s="1449" t="n"/>
      <c r="C8" s="1450" t="n"/>
      <c r="D8" s="1450" t="n"/>
      <c r="E8" s="1450" t="n"/>
      <c r="F8" s="1450" t="n"/>
      <c r="G8" s="1450" t="n"/>
      <c r="H8" s="1450" t="n"/>
      <c r="I8" s="1450" t="n"/>
      <c r="J8" s="1450" t="n"/>
      <c r="K8" s="1450" t="n"/>
      <c r="L8" s="1450" t="n"/>
      <c r="M8" s="1450" t="n"/>
      <c r="N8" s="1450" t="n"/>
      <c r="O8" s="1451" t="n"/>
      <c r="P8" s="1451" t="n"/>
      <c r="Q8" s="1451" t="n"/>
      <c r="R8" s="1451" t="n"/>
      <c r="S8" s="1450" t="n"/>
      <c r="T8" s="1451" t="n"/>
      <c r="U8" s="1451" t="n"/>
      <c r="V8" s="1451" t="n"/>
      <c r="W8" s="1451" t="n"/>
      <c r="X8" s="1450" t="n"/>
      <c r="Y8" s="1451" t="n"/>
      <c r="Z8" s="1451" t="n"/>
      <c r="AA8" s="1451" t="n"/>
      <c r="AB8" s="1451" t="n"/>
      <c r="AC8" s="1450" t="n"/>
      <c r="AD8" s="1451" t="n"/>
      <c r="AE8" s="1451" t="n"/>
      <c r="AF8" s="1451" t="n"/>
      <c r="AG8" s="1451" t="n"/>
      <c r="AH8" s="1450" t="n"/>
      <c r="AI8" s="1451" t="n"/>
      <c r="AJ8" s="1451" t="n"/>
      <c r="AK8" s="1452" t="n"/>
      <c r="AL8" s="1453">
        <f>AL334</f>
        <v/>
      </c>
      <c r="AM8" s="1454">
        <f>AM334</f>
        <v/>
      </c>
      <c r="AN8" s="1453">
        <f>AN334</f>
        <v/>
      </c>
      <c r="AO8" s="1453">
        <f>AO334</f>
        <v/>
      </c>
      <c r="AP8" s="1453">
        <f>AP334</f>
        <v/>
      </c>
      <c r="AQ8" s="1453">
        <f>AQ334</f>
        <v/>
      </c>
      <c r="AR8" s="1454">
        <f>AR334</f>
        <v/>
      </c>
      <c r="AS8" s="1454">
        <f>AS334</f>
        <v/>
      </c>
      <c r="AT8" s="1454">
        <f>AT334</f>
        <v/>
      </c>
      <c r="AU8" s="1454">
        <f>AU334</f>
        <v/>
      </c>
      <c r="AV8" s="1455" t="n"/>
    </row>
    <row r="9" ht="14.4" customFormat="1" customHeight="1" s="1456">
      <c r="A9" s="1457" t="inlineStr">
        <is>
          <t>Q/Q Total revenue growth, %</t>
        </is>
      </c>
      <c r="B9" s="1458" t="n"/>
      <c r="C9" s="1459" t="n"/>
      <c r="D9" s="1459" t="n"/>
      <c r="E9" s="1459" t="n"/>
      <c r="F9" s="1459" t="n"/>
      <c r="G9" s="1459" t="n"/>
      <c r="H9" s="1459" t="n"/>
      <c r="I9" s="1459" t="n"/>
      <c r="J9" s="1459" t="n"/>
      <c r="K9" s="1459" t="n"/>
      <c r="L9" s="1459" t="n"/>
      <c r="M9" s="1459" t="n"/>
      <c r="N9" s="1459" t="n"/>
      <c r="O9" s="1460" t="n"/>
      <c r="P9" s="1460" t="n"/>
      <c r="Q9" s="1460" t="n"/>
      <c r="R9" s="1460" t="n"/>
      <c r="S9" s="1459" t="n"/>
      <c r="T9" s="1460" t="n"/>
      <c r="U9" s="1460" t="n"/>
      <c r="V9" s="1460" t="n"/>
      <c r="W9" s="1460" t="n"/>
      <c r="X9" s="1459" t="n"/>
      <c r="Y9" s="1460" t="n"/>
      <c r="Z9" s="1460" t="n"/>
      <c r="AA9" s="1460" t="n"/>
      <c r="AB9" s="1460" t="n"/>
      <c r="AC9" s="1459" t="n"/>
      <c r="AD9" s="1460" t="n"/>
      <c r="AE9" s="1461">
        <f>AE7/AD7-1</f>
        <v/>
      </c>
      <c r="AF9" s="1461">
        <f>AF7/AE7-1</f>
        <v/>
      </c>
      <c r="AG9" s="1461">
        <f>AG7/AF7-1</f>
        <v/>
      </c>
      <c r="AH9" s="1459" t="n"/>
      <c r="AI9" s="1460">
        <f>AI7/AG7-1</f>
        <v/>
      </c>
      <c r="AJ9" s="1461">
        <f>AJ7/AI7-1</f>
        <v/>
      </c>
      <c r="AK9" s="1462">
        <f>AK7/AJ7-1</f>
        <v/>
      </c>
      <c r="AL9" s="1461">
        <f>AL7/AK7-1</f>
        <v/>
      </c>
      <c r="AM9" s="1459" t="n"/>
      <c r="AN9" s="1461">
        <f>AN7/AL7-1</f>
        <v/>
      </c>
      <c r="AO9" s="1461">
        <f>AO7/AN7-1</f>
        <v/>
      </c>
      <c r="AP9" s="1461">
        <f>AP7/AO7-1</f>
        <v/>
      </c>
      <c r="AQ9" s="1461">
        <f>AQ7/AP7-1</f>
        <v/>
      </c>
      <c r="AR9" s="1459" t="n"/>
      <c r="AS9" s="1459" t="n"/>
      <c r="AT9" s="1459" t="n"/>
      <c r="AU9" s="1459" t="n"/>
      <c r="AV9" s="1463" t="n"/>
    </row>
    <row r="10" ht="14.4" customFormat="1" customHeight="1" s="1456">
      <c r="A10" s="1457" t="inlineStr">
        <is>
          <t>Y/Y Total revenue growth, %</t>
        </is>
      </c>
      <c r="B10" s="1458" t="n"/>
      <c r="C10" s="1459" t="n"/>
      <c r="D10" s="1459" t="n"/>
      <c r="E10" s="1459" t="n"/>
      <c r="F10" s="1459" t="n"/>
      <c r="G10" s="1459" t="n"/>
      <c r="H10" s="1459" t="n"/>
      <c r="I10" s="1459" t="n"/>
      <c r="J10" s="1459" t="n"/>
      <c r="K10" s="1459" t="n"/>
      <c r="L10" s="1459" t="n"/>
      <c r="M10" s="1459" t="n"/>
      <c r="N10" s="1459" t="n"/>
      <c r="O10" s="1460" t="n"/>
      <c r="P10" s="1460" t="n"/>
      <c r="Q10" s="1460" t="n"/>
      <c r="R10" s="1460" t="n"/>
      <c r="S10" s="1459" t="n"/>
      <c r="T10" s="1460" t="n"/>
      <c r="U10" s="1460" t="n"/>
      <c r="V10" s="1460" t="n"/>
      <c r="W10" s="1460" t="n"/>
      <c r="X10" s="1459" t="n"/>
      <c r="Y10" s="1460" t="n"/>
      <c r="Z10" s="1460" t="n"/>
      <c r="AA10" s="1460" t="n"/>
      <c r="AB10" s="1460" t="n"/>
      <c r="AC10" s="1459">
        <f>AC7/X7-1</f>
        <v/>
      </c>
      <c r="AD10" s="1460" t="n"/>
      <c r="AE10" s="1460" t="n"/>
      <c r="AF10" s="1460" t="n"/>
      <c r="AG10" s="1460">
        <f>AG7/AB7-1</f>
        <v/>
      </c>
      <c r="AH10" s="1459">
        <f>AH7/AC7-1</f>
        <v/>
      </c>
      <c r="AI10" s="1460">
        <f>AI7/AD7-1</f>
        <v/>
      </c>
      <c r="AJ10" s="1460">
        <f>AJ7/AE7-1</f>
        <v/>
      </c>
      <c r="AK10" s="1464">
        <f>AK7/AF7-1</f>
        <v/>
      </c>
      <c r="AL10" s="1465" t="n">
        <v>1.1</v>
      </c>
      <c r="AM10" s="1459">
        <f>AM7/AH7-1</f>
        <v/>
      </c>
      <c r="AN10" s="1465" t="n">
        <v>0.3</v>
      </c>
      <c r="AO10" s="1465" t="n">
        <v>0.3</v>
      </c>
      <c r="AP10" s="1465" t="n">
        <v>0.3</v>
      </c>
      <c r="AQ10" s="1465" t="n">
        <v>1</v>
      </c>
      <c r="AR10" s="1459">
        <f>AR7/AM7-1</f>
        <v/>
      </c>
      <c r="AS10" s="1466" t="n">
        <v>0.25</v>
      </c>
      <c r="AT10" s="1466" t="n">
        <v>0.15</v>
      </c>
      <c r="AU10" s="1466" t="n">
        <v>0.08</v>
      </c>
      <c r="AV10" s="1463" t="n"/>
    </row>
    <row r="11" ht="14.4" customFormat="1" customHeight="1" s="1418">
      <c r="A11" s="1467" t="n"/>
      <c r="B11" s="1468" t="n"/>
      <c r="C11" s="1469" t="n"/>
      <c r="D11" s="1469" t="n"/>
      <c r="E11" s="1469" t="n"/>
      <c r="F11" s="1469" t="n"/>
      <c r="G11" s="1469" t="n"/>
      <c r="H11" s="1469" t="n"/>
      <c r="I11" s="1469" t="n"/>
      <c r="J11" s="1469" t="n"/>
      <c r="K11" s="1469" t="n"/>
      <c r="L11" s="1469" t="n"/>
      <c r="M11" s="1469" t="n"/>
      <c r="N11" s="1469" t="n"/>
      <c r="O11" s="1470" t="n"/>
      <c r="P11" s="1470" t="n"/>
      <c r="Q11" s="1470" t="n"/>
      <c r="R11" s="1470" t="n"/>
      <c r="S11" s="1469" t="n"/>
      <c r="T11" s="1470" t="n"/>
      <c r="U11" s="1470" t="n"/>
      <c r="V11" s="1470" t="n"/>
      <c r="W11" s="1470" t="n"/>
      <c r="X11" s="1469" t="n"/>
      <c r="Y11" s="1470" t="n"/>
      <c r="Z11" s="1470" t="n"/>
      <c r="AA11" s="1470" t="n"/>
      <c r="AB11" s="1470" t="n"/>
      <c r="AC11" s="1469" t="n"/>
      <c r="AD11" s="1470" t="n"/>
      <c r="AE11" s="1470" t="n"/>
      <c r="AF11" s="1470" t="n"/>
      <c r="AG11" s="1470" t="n"/>
      <c r="AH11" s="1469" t="n"/>
      <c r="AI11" s="1470" t="n"/>
      <c r="AJ11" s="1470" t="n"/>
      <c r="AK11" s="1471" t="n"/>
      <c r="AL11" s="1470" t="n"/>
      <c r="AM11" s="1469" t="n"/>
      <c r="AN11" s="1470" t="n"/>
      <c r="AO11" s="1470" t="n"/>
      <c r="AP11" s="1470" t="n"/>
      <c r="AQ11" s="1470" t="n"/>
      <c r="AR11" s="1469" t="n"/>
      <c r="AS11" s="1469" t="n"/>
      <c r="AT11" s="1469" t="n"/>
      <c r="AU11" s="1469" t="n"/>
      <c r="AV11" s="1422" t="n"/>
    </row>
    <row r="12" ht="14.4" customFormat="1" customHeight="1" s="1438">
      <c r="A12" s="1439" t="inlineStr">
        <is>
          <t>Non-GAAP EBITDA, mm</t>
        </is>
      </c>
      <c r="B12" s="1440" t="n"/>
      <c r="C12" s="1441" t="n"/>
      <c r="D12" s="1441" t="n"/>
      <c r="E12" s="1441" t="n"/>
      <c r="F12" s="1441" t="n"/>
      <c r="G12" s="1441" t="n"/>
      <c r="H12" s="1441" t="n"/>
      <c r="I12" s="1441" t="n"/>
      <c r="J12" s="1441" t="n"/>
      <c r="K12" s="1441" t="n"/>
      <c r="L12" s="1441" t="n"/>
      <c r="M12" s="1441" t="n"/>
      <c r="N12" s="1441" t="n"/>
      <c r="O12" s="1442" t="n"/>
      <c r="P12" s="1442" t="n"/>
      <c r="Q12" s="1442" t="n"/>
      <c r="R12" s="1442" t="n"/>
      <c r="S12" s="1441" t="n"/>
      <c r="T12" s="1442" t="n"/>
      <c r="U12" s="1442" t="n"/>
      <c r="V12" s="1442" t="n"/>
      <c r="W12" s="1442" t="n"/>
      <c r="X12" s="1443">
        <f>X364</f>
        <v/>
      </c>
      <c r="Y12" s="1442" t="n"/>
      <c r="Z12" s="1442" t="n"/>
      <c r="AA12" s="1444">
        <f>AA364</f>
        <v/>
      </c>
      <c r="AB12" s="1444">
        <f>AB364</f>
        <v/>
      </c>
      <c r="AC12" s="1443">
        <f>AC364</f>
        <v/>
      </c>
      <c r="AD12" s="1444">
        <f>AD364</f>
        <v/>
      </c>
      <c r="AE12" s="1444">
        <f>AE364</f>
        <v/>
      </c>
      <c r="AF12" s="1444">
        <f>AF364</f>
        <v/>
      </c>
      <c r="AG12" s="1444">
        <f>AG364</f>
        <v/>
      </c>
      <c r="AH12" s="1443">
        <f>AH364</f>
        <v/>
      </c>
      <c r="AI12" s="1444">
        <f>AI364</f>
        <v/>
      </c>
      <c r="AJ12" s="1444">
        <f>AJ364</f>
        <v/>
      </c>
      <c r="AK12" s="1445">
        <f>AK364</f>
        <v/>
      </c>
      <c r="AL12" s="1444">
        <f>AL364</f>
        <v/>
      </c>
      <c r="AM12" s="1443">
        <f>AM364</f>
        <v/>
      </c>
      <c r="AN12" s="1444">
        <f>AN364</f>
        <v/>
      </c>
      <c r="AO12" s="1444">
        <f>AO364</f>
        <v/>
      </c>
      <c r="AP12" s="1444">
        <f>AP364</f>
        <v/>
      </c>
      <c r="AQ12" s="1444">
        <f>AQ364</f>
        <v/>
      </c>
      <c r="AR12" s="1443">
        <f>AR364</f>
        <v/>
      </c>
      <c r="AS12" s="1443">
        <f>AS364</f>
        <v/>
      </c>
      <c r="AT12" s="1443">
        <f>AT364</f>
        <v/>
      </c>
      <c r="AU12" s="1443">
        <f>AU364</f>
        <v/>
      </c>
      <c r="AV12" s="1446" t="n"/>
    </row>
    <row r="13" ht="14.4" customFormat="1" customHeight="1" s="1447">
      <c r="A13" s="1448">
        <f>A365</f>
        <v/>
      </c>
      <c r="B13" s="1449" t="n"/>
      <c r="C13" s="1450" t="n"/>
      <c r="D13" s="1450" t="n"/>
      <c r="E13" s="1450" t="n"/>
      <c r="F13" s="1450" t="n"/>
      <c r="G13" s="1450" t="n"/>
      <c r="H13" s="1450" t="n"/>
      <c r="I13" s="1450" t="n"/>
      <c r="J13" s="1450" t="n"/>
      <c r="K13" s="1450" t="n"/>
      <c r="L13" s="1450" t="n"/>
      <c r="M13" s="1450" t="n"/>
      <c r="N13" s="1450" t="n"/>
      <c r="O13" s="1451" t="n"/>
      <c r="P13" s="1451" t="n"/>
      <c r="Q13" s="1451" t="n"/>
      <c r="R13" s="1451" t="n"/>
      <c r="S13" s="1450" t="n"/>
      <c r="T13" s="1451" t="n"/>
      <c r="U13" s="1451" t="n"/>
      <c r="V13" s="1451" t="n"/>
      <c r="W13" s="1451" t="n"/>
      <c r="X13" s="1450" t="n"/>
      <c r="Y13" s="1451" t="n"/>
      <c r="Z13" s="1451" t="n"/>
      <c r="AA13" s="1451" t="n"/>
      <c r="AB13" s="1451" t="n"/>
      <c r="AC13" s="1450" t="n"/>
      <c r="AD13" s="1451" t="n"/>
      <c r="AE13" s="1451" t="n"/>
      <c r="AF13" s="1451" t="n"/>
      <c r="AG13" s="1451" t="n"/>
      <c r="AH13" s="1450" t="n"/>
      <c r="AI13" s="1451" t="n"/>
      <c r="AJ13" s="1451" t="n"/>
      <c r="AK13" s="1452" t="n"/>
      <c r="AL13" s="1453">
        <f>AL365</f>
        <v/>
      </c>
      <c r="AM13" s="1454">
        <f>AM365</f>
        <v/>
      </c>
      <c r="AN13" s="1453">
        <f>AN365</f>
        <v/>
      </c>
      <c r="AO13" s="1453">
        <f>AO365</f>
        <v/>
      </c>
      <c r="AP13" s="1453">
        <f>AP365</f>
        <v/>
      </c>
      <c r="AQ13" s="1453">
        <f>AQ365</f>
        <v/>
      </c>
      <c r="AR13" s="1454">
        <f>AR365</f>
        <v/>
      </c>
      <c r="AS13" s="1454">
        <f>AS365</f>
        <v/>
      </c>
      <c r="AT13" s="1454">
        <f>AT365</f>
        <v/>
      </c>
      <c r="AU13" s="1454">
        <f>AU365</f>
        <v/>
      </c>
      <c r="AV13" s="1455" t="n"/>
    </row>
    <row r="14" ht="14.4" customFormat="1" customHeight="1" s="1438">
      <c r="A14" s="1448" t="inlineStr">
        <is>
          <t>Y/Y Non-GAAP EBITDA growth, %</t>
        </is>
      </c>
      <c r="B14" s="1449" t="n"/>
      <c r="C14" s="1459" t="n"/>
      <c r="D14" s="1459" t="n"/>
      <c r="E14" s="1459" t="n"/>
      <c r="F14" s="1459" t="n"/>
      <c r="G14" s="1459" t="n"/>
      <c r="H14" s="1459" t="n"/>
      <c r="I14" s="1459" t="n"/>
      <c r="J14" s="1459" t="n"/>
      <c r="K14" s="1459" t="n"/>
      <c r="L14" s="1459" t="n"/>
      <c r="M14" s="1459" t="n"/>
      <c r="N14" s="1459" t="n"/>
      <c r="O14" s="1460" t="n"/>
      <c r="P14" s="1460" t="n"/>
      <c r="Q14" s="1460" t="n"/>
      <c r="R14" s="1460" t="n"/>
      <c r="S14" s="1459" t="n"/>
      <c r="T14" s="1460" t="n"/>
      <c r="U14" s="1460" t="n"/>
      <c r="V14" s="1460" t="n"/>
      <c r="W14" s="1460" t="n"/>
      <c r="X14" s="1459" t="n"/>
      <c r="Y14" s="1460" t="n"/>
      <c r="Z14" s="1460" t="n"/>
      <c r="AA14" s="1460" t="n"/>
      <c r="AB14" s="1460" t="n"/>
      <c r="AC14" s="1472">
        <f>AC12/X12-1</f>
        <v/>
      </c>
      <c r="AD14" s="1460" t="n"/>
      <c r="AE14" s="1460" t="n"/>
      <c r="AF14" s="1460" t="n"/>
      <c r="AG14" s="1461">
        <f>AG12/AB12-1</f>
        <v/>
      </c>
      <c r="AH14" s="1472">
        <f>AH12/AC12-1</f>
        <v/>
      </c>
      <c r="AI14" s="1460">
        <f>AI12/AD12-1</f>
        <v/>
      </c>
      <c r="AJ14" s="1460">
        <f>AJ12/AE12-1</f>
        <v/>
      </c>
      <c r="AK14" s="1464">
        <f>AK12/AF12-1</f>
        <v/>
      </c>
      <c r="AL14" s="1461">
        <f>AL12/AG12-1</f>
        <v/>
      </c>
      <c r="AM14" s="1472">
        <f>AM12/AH12-1</f>
        <v/>
      </c>
      <c r="AN14" s="1461">
        <f>AN12/AI12-1</f>
        <v/>
      </c>
      <c r="AO14" s="1461">
        <f>AO12/AJ12-1</f>
        <v/>
      </c>
      <c r="AP14" s="1461">
        <f>AP12/AK12-1</f>
        <v/>
      </c>
      <c r="AQ14" s="1461">
        <f>AQ12/AL12-1</f>
        <v/>
      </c>
      <c r="AR14" s="1472">
        <f>AR12/AM12-1</f>
        <v/>
      </c>
      <c r="AS14" s="1472">
        <f>AS12/AR12-1</f>
        <v/>
      </c>
      <c r="AT14" s="1472">
        <f>AT12/AS12-1</f>
        <v/>
      </c>
      <c r="AU14" s="1472">
        <f>AU12/AT12-1</f>
        <v/>
      </c>
      <c r="AV14" s="1446" t="n"/>
    </row>
    <row r="15" ht="14.4" customFormat="1" customHeight="1" s="1432">
      <c r="A15" s="1473" t="inlineStr">
        <is>
          <t>Non-GAAP EBITDA Margin, %</t>
        </is>
      </c>
      <c r="B15" s="1474" t="n"/>
      <c r="C15" s="1475" t="n"/>
      <c r="D15" s="1475" t="n"/>
      <c r="E15" s="1475" t="n"/>
      <c r="F15" s="1475" t="n"/>
      <c r="G15" s="1475" t="n"/>
      <c r="H15" s="1475" t="n"/>
      <c r="I15" s="1475" t="n"/>
      <c r="J15" s="1475" t="n"/>
      <c r="K15" s="1475" t="n"/>
      <c r="L15" s="1475" t="n"/>
      <c r="M15" s="1475" t="n"/>
      <c r="N15" s="1475" t="n"/>
      <c r="O15" s="1476" t="n"/>
      <c r="P15" s="1476" t="n"/>
      <c r="Q15" s="1476" t="n"/>
      <c r="R15" s="1476" t="n"/>
      <c r="S15" s="1475" t="n"/>
      <c r="T15" s="1476" t="n"/>
      <c r="U15" s="1476" t="n"/>
      <c r="V15" s="1476" t="n"/>
      <c r="W15" s="1476" t="n"/>
      <c r="X15" s="1477">
        <f>X12/X7</f>
        <v/>
      </c>
      <c r="Y15" s="1476" t="n"/>
      <c r="Z15" s="1476" t="n"/>
      <c r="AA15" s="1478">
        <f>AA12/AA7</f>
        <v/>
      </c>
      <c r="AB15" s="1478">
        <f>AB12/AB7</f>
        <v/>
      </c>
      <c r="AC15" s="1477">
        <f>AC12/AC7</f>
        <v/>
      </c>
      <c r="AD15" s="1478">
        <f>AD12/AD7</f>
        <v/>
      </c>
      <c r="AE15" s="1478">
        <f>AE12/AE7</f>
        <v/>
      </c>
      <c r="AF15" s="1478">
        <f>AF12/AF7</f>
        <v/>
      </c>
      <c r="AG15" s="1478">
        <f>AG12/AG7</f>
        <v/>
      </c>
      <c r="AH15" s="1477">
        <f>AH12/AH7</f>
        <v/>
      </c>
      <c r="AI15" s="1478">
        <f>AI12/AI7</f>
        <v/>
      </c>
      <c r="AJ15" s="1478">
        <f>AJ12/AJ7</f>
        <v/>
      </c>
      <c r="AK15" s="1479">
        <f>AK12/AK7</f>
        <v/>
      </c>
      <c r="AL15" s="1478">
        <f>AL12/AL7</f>
        <v/>
      </c>
      <c r="AM15" s="1477">
        <f>AM12/AM7</f>
        <v/>
      </c>
      <c r="AN15" s="1478">
        <f>AN12/AN7</f>
        <v/>
      </c>
      <c r="AO15" s="1478">
        <f>AO12/AO7</f>
        <v/>
      </c>
      <c r="AP15" s="1478">
        <f>AP12/AP7</f>
        <v/>
      </c>
      <c r="AQ15" s="1478">
        <f>AQ12/AQ7</f>
        <v/>
      </c>
      <c r="AR15" s="1477">
        <f>AR12/AR7</f>
        <v/>
      </c>
      <c r="AS15" s="1477">
        <f>AS12/AS7</f>
        <v/>
      </c>
      <c r="AT15" s="1477">
        <f>AT12/AT7</f>
        <v/>
      </c>
      <c r="AU15" s="1477">
        <f>AU12/AU7</f>
        <v/>
      </c>
      <c r="AV15" s="1437" t="n"/>
    </row>
    <row r="16" ht="14.4" customFormat="1" customHeight="1" s="1456">
      <c r="A16" s="1457">
        <f>CONCATENATE("Consensus Estimates - ",IFERROR(LEFT(A15,FIND("(",A15)-1),A15))</f>
        <v/>
      </c>
      <c r="B16" s="1458" t="n"/>
      <c r="C16" s="1459" t="n"/>
      <c r="D16" s="1459" t="n"/>
      <c r="E16" s="1459" t="n"/>
      <c r="F16" s="1459" t="n"/>
      <c r="G16" s="1459" t="n"/>
      <c r="H16" s="1459" t="n"/>
      <c r="I16" s="1459" t="n"/>
      <c r="J16" s="1459" t="n"/>
      <c r="K16" s="1459" t="n"/>
      <c r="L16" s="1459" t="n"/>
      <c r="M16" s="1459" t="n"/>
      <c r="N16" s="1459" t="n"/>
      <c r="O16" s="1460" t="n"/>
      <c r="P16" s="1460" t="n"/>
      <c r="Q16" s="1460" t="n"/>
      <c r="R16" s="1460" t="n"/>
      <c r="S16" s="1459" t="n"/>
      <c r="T16" s="1460" t="n"/>
      <c r="U16" s="1460" t="n"/>
      <c r="V16" s="1460" t="n"/>
      <c r="W16" s="1460" t="n"/>
      <c r="X16" s="1459" t="n"/>
      <c r="Y16" s="1460" t="n"/>
      <c r="Z16" s="1460" t="n"/>
      <c r="AA16" s="1460" t="n"/>
      <c r="AB16" s="1460" t="n"/>
      <c r="AC16" s="1459" t="n"/>
      <c r="AD16" s="1460" t="n"/>
      <c r="AE16" s="1460" t="n"/>
      <c r="AF16" s="1460" t="n"/>
      <c r="AG16" s="1460" t="n"/>
      <c r="AH16" s="1459" t="n"/>
      <c r="AI16" s="1460" t="n"/>
      <c r="AJ16" s="1460" t="n"/>
      <c r="AK16" s="1464" t="n"/>
      <c r="AL16" s="1461">
        <f>IFERROR(AL13/AL8,0)</f>
        <v/>
      </c>
      <c r="AM16" s="1472">
        <f>IFERROR(AM13/AM8,0)</f>
        <v/>
      </c>
      <c r="AN16" s="1461">
        <f>IFERROR(AN13/AN8,0)</f>
        <v/>
      </c>
      <c r="AO16" s="1461">
        <f>IFERROR(AO13/AO8,0)</f>
        <v/>
      </c>
      <c r="AP16" s="1461">
        <f>IFERROR(AP13/AP8,0)</f>
        <v/>
      </c>
      <c r="AQ16" s="1461">
        <f>IFERROR(AQ13/AQ8,0)</f>
        <v/>
      </c>
      <c r="AR16" s="1472">
        <f>IFERROR(AR13/AR8,0)</f>
        <v/>
      </c>
      <c r="AS16" s="1472">
        <f>IFERROR(AS13/AS8,0)</f>
        <v/>
      </c>
      <c r="AT16" s="1472">
        <f>IFERROR(AT13/AT8,0)</f>
        <v/>
      </c>
      <c r="AU16" s="1472">
        <f>IFERROR(AU13/AU8,0)</f>
        <v/>
      </c>
      <c r="AV16" s="1463" t="n"/>
    </row>
    <row r="17" ht="14.4" customFormat="1" customHeight="1" s="1480">
      <c r="A17" s="1481" t="inlineStr">
        <is>
          <t>Y/Y Non-GAAP EBITDA Margin Improvement, bps</t>
        </is>
      </c>
      <c r="B17" s="1482" t="n"/>
      <c r="C17" s="1483" t="n"/>
      <c r="D17" s="1483" t="n"/>
      <c r="E17" s="1483" t="n"/>
      <c r="F17" s="1483" t="n"/>
      <c r="G17" s="1483" t="n"/>
      <c r="H17" s="1483" t="n"/>
      <c r="I17" s="1483" t="n"/>
      <c r="J17" s="1483" t="n"/>
      <c r="K17" s="1483" t="n"/>
      <c r="L17" s="1483" t="n"/>
      <c r="M17" s="1483" t="n"/>
      <c r="N17" s="1483" t="n"/>
      <c r="O17" s="1484" t="n"/>
      <c r="P17" s="1484" t="n"/>
      <c r="Q17" s="1484" t="n"/>
      <c r="R17" s="1484" t="n"/>
      <c r="S17" s="1483" t="n"/>
      <c r="T17" s="1484" t="n"/>
      <c r="U17" s="1484" t="n"/>
      <c r="V17" s="1484" t="n"/>
      <c r="W17" s="1484" t="n"/>
      <c r="X17" s="1483" t="n"/>
      <c r="Y17" s="1484" t="n"/>
      <c r="Z17" s="1484" t="n"/>
      <c r="AA17" s="1484" t="n"/>
      <c r="AB17" s="1484" t="n"/>
      <c r="AC17" s="1485">
        <f>(AC15-X15)*10000</f>
        <v/>
      </c>
      <c r="AD17" s="1484" t="n"/>
      <c r="AE17" s="1484" t="n"/>
      <c r="AF17" s="1484" t="n"/>
      <c r="AG17" s="1486">
        <f>(AG15-AB15)*10000</f>
        <v/>
      </c>
      <c r="AH17" s="1485">
        <f>(AH15-AC15)*10000</f>
        <v/>
      </c>
      <c r="AI17" s="1484">
        <f>(AI15-AD15)*10000</f>
        <v/>
      </c>
      <c r="AJ17" s="1484">
        <f>(AJ15-AE15)*10000</f>
        <v/>
      </c>
      <c r="AK17" s="1487">
        <f>(AK15-AF15)*10000</f>
        <v/>
      </c>
      <c r="AL17" s="1486">
        <f>(AL15-AG15)*10000</f>
        <v/>
      </c>
      <c r="AM17" s="1485">
        <f>(AM15-AH15)*10000</f>
        <v/>
      </c>
      <c r="AN17" s="1486">
        <f>(AN15-AI15)*10000</f>
        <v/>
      </c>
      <c r="AO17" s="1486">
        <f>(AO15-AJ15)*10000</f>
        <v/>
      </c>
      <c r="AP17" s="1486">
        <f>(AP15-AK15)*10000</f>
        <v/>
      </c>
      <c r="AQ17" s="1486">
        <f>(AQ15-AL15)*10000</f>
        <v/>
      </c>
      <c r="AR17" s="1485">
        <f>(AR15-AM15)*10000</f>
        <v/>
      </c>
      <c r="AS17" s="1485">
        <f>(AS15-AR15)*10000</f>
        <v/>
      </c>
      <c r="AT17" s="1485">
        <f>(AT15-AS15)*10000</f>
        <v/>
      </c>
      <c r="AU17" s="1485">
        <f>(AU15-AT15)*10000</f>
        <v/>
      </c>
      <c r="AV17" s="1488" t="n"/>
    </row>
    <row r="18" ht="14.4" customFormat="1" customHeight="1" s="1418">
      <c r="A18" s="1489" t="n"/>
      <c r="B18" s="1468" t="n"/>
      <c r="C18" s="1469" t="n"/>
      <c r="D18" s="1469" t="n"/>
      <c r="E18" s="1469" t="n"/>
      <c r="F18" s="1469" t="n"/>
      <c r="G18" s="1469" t="n"/>
      <c r="H18" s="1469" t="n"/>
      <c r="I18" s="1469" t="n"/>
      <c r="J18" s="1469" t="n"/>
      <c r="K18" s="1469" t="n"/>
      <c r="L18" s="1469" t="n"/>
      <c r="M18" s="1469" t="n"/>
      <c r="N18" s="1469" t="n"/>
      <c r="O18" s="1470" t="n"/>
      <c r="P18" s="1470" t="n"/>
      <c r="Q18" s="1470" t="n"/>
      <c r="R18" s="1470" t="n"/>
      <c r="S18" s="1469" t="n"/>
      <c r="T18" s="1470" t="n"/>
      <c r="U18" s="1470" t="n"/>
      <c r="V18" s="1470" t="n"/>
      <c r="W18" s="1470" t="n"/>
      <c r="X18" s="1469" t="n"/>
      <c r="Y18" s="1470" t="n"/>
      <c r="Z18" s="1470" t="n"/>
      <c r="AA18" s="1470" t="n"/>
      <c r="AB18" s="1470" t="n"/>
      <c r="AC18" s="1469" t="n"/>
      <c r="AD18" s="1470" t="n"/>
      <c r="AE18" s="1470" t="n"/>
      <c r="AF18" s="1470" t="n"/>
      <c r="AG18" s="1470" t="n"/>
      <c r="AH18" s="1469" t="n"/>
      <c r="AI18" s="1470" t="n"/>
      <c r="AJ18" s="1470" t="n"/>
      <c r="AK18" s="1471" t="n"/>
      <c r="AL18" s="1470" t="n"/>
      <c r="AM18" s="1469" t="n"/>
      <c r="AN18" s="1470" t="n"/>
      <c r="AO18" s="1470" t="n"/>
      <c r="AP18" s="1470" t="n"/>
      <c r="AQ18" s="1470" t="n"/>
      <c r="AR18" s="1469" t="n"/>
      <c r="AS18" s="1469" t="n"/>
      <c r="AT18" s="1469" t="n"/>
      <c r="AU18" s="1469" t="n"/>
      <c r="AV18" s="1422" t="n"/>
    </row>
    <row r="19" ht="14.4" customFormat="1" customHeight="1" s="1438">
      <c r="A19" s="1439" t="inlineStr">
        <is>
          <t>Company Reported Non-GAAP Operating Income, mm</t>
        </is>
      </c>
      <c r="B19" s="1440" t="n"/>
      <c r="C19" s="1441" t="n"/>
      <c r="D19" s="1441" t="n"/>
      <c r="E19" s="1441" t="n"/>
      <c r="F19" s="1441" t="n"/>
      <c r="G19" s="1441" t="n"/>
      <c r="H19" s="1441" t="n"/>
      <c r="I19" s="1441" t="n"/>
      <c r="J19" s="1441" t="n"/>
      <c r="K19" s="1441" t="n"/>
      <c r="L19" s="1441" t="n"/>
      <c r="M19" s="1441" t="n"/>
      <c r="N19" s="1441" t="n"/>
      <c r="O19" s="1442" t="n"/>
      <c r="P19" s="1442" t="n"/>
      <c r="Q19" s="1442" t="n"/>
      <c r="R19" s="1442" t="n"/>
      <c r="S19" s="1441" t="n"/>
      <c r="T19" s="1442" t="n"/>
      <c r="U19" s="1442" t="n"/>
      <c r="V19" s="1442" t="n"/>
      <c r="W19" s="1442" t="n"/>
      <c r="X19" s="1443">
        <f>X359</f>
        <v/>
      </c>
      <c r="Y19" s="1442" t="n"/>
      <c r="Z19" s="1442" t="n"/>
      <c r="AA19" s="1444">
        <f>AA359</f>
        <v/>
      </c>
      <c r="AB19" s="1444">
        <f>AB359</f>
        <v/>
      </c>
      <c r="AC19" s="1443">
        <f>AC359</f>
        <v/>
      </c>
      <c r="AD19" s="1444">
        <f>AD359</f>
        <v/>
      </c>
      <c r="AE19" s="1444">
        <f>AE359</f>
        <v/>
      </c>
      <c r="AF19" s="1444">
        <f>AF359</f>
        <v/>
      </c>
      <c r="AG19" s="1444">
        <f>AG359</f>
        <v/>
      </c>
      <c r="AH19" s="1443">
        <f>AH359</f>
        <v/>
      </c>
      <c r="AI19" s="1444">
        <f>AI359</f>
        <v/>
      </c>
      <c r="AJ19" s="1444">
        <f>AJ359</f>
        <v/>
      </c>
      <c r="AK19" s="1445">
        <f>AK359</f>
        <v/>
      </c>
      <c r="AL19" s="1444">
        <f>AL359</f>
        <v/>
      </c>
      <c r="AM19" s="1443">
        <f>AM359</f>
        <v/>
      </c>
      <c r="AN19" s="1444">
        <f>AN359</f>
        <v/>
      </c>
      <c r="AO19" s="1444">
        <f>AO359</f>
        <v/>
      </c>
      <c r="AP19" s="1444">
        <f>AP359</f>
        <v/>
      </c>
      <c r="AQ19" s="1444">
        <f>AQ359</f>
        <v/>
      </c>
      <c r="AR19" s="1443">
        <f>AR359</f>
        <v/>
      </c>
      <c r="AS19" s="1443">
        <f>AS359</f>
        <v/>
      </c>
      <c r="AT19" s="1443">
        <f>AT359</f>
        <v/>
      </c>
      <c r="AU19" s="1443">
        <f>AU359</f>
        <v/>
      </c>
      <c r="AV19" s="1446" t="n"/>
    </row>
    <row r="20" ht="14.4" customFormat="1" customHeight="1" s="1447">
      <c r="A20" s="1448">
        <f>A360</f>
        <v/>
      </c>
      <c r="B20" s="1449" t="n"/>
      <c r="C20" s="1450" t="n"/>
      <c r="D20" s="1450" t="n"/>
      <c r="E20" s="1450" t="n"/>
      <c r="F20" s="1450" t="n"/>
      <c r="G20" s="1450" t="n"/>
      <c r="H20" s="1450" t="n"/>
      <c r="I20" s="1450" t="n"/>
      <c r="J20" s="1450" t="n"/>
      <c r="K20" s="1450" t="n"/>
      <c r="L20" s="1450" t="n"/>
      <c r="M20" s="1450" t="n"/>
      <c r="N20" s="1450" t="n"/>
      <c r="O20" s="1451" t="n"/>
      <c r="P20" s="1451" t="n"/>
      <c r="Q20" s="1451" t="n"/>
      <c r="R20" s="1451" t="n"/>
      <c r="S20" s="1450" t="n"/>
      <c r="T20" s="1451" t="n"/>
      <c r="U20" s="1451" t="n"/>
      <c r="V20" s="1451" t="n"/>
      <c r="W20" s="1451" t="n"/>
      <c r="X20" s="1450" t="n"/>
      <c r="Y20" s="1451" t="n"/>
      <c r="Z20" s="1451" t="n"/>
      <c r="AA20" s="1451" t="n"/>
      <c r="AB20" s="1451" t="n"/>
      <c r="AC20" s="1450" t="n"/>
      <c r="AD20" s="1451" t="n"/>
      <c r="AE20" s="1451" t="n"/>
      <c r="AF20" s="1451" t="n"/>
      <c r="AG20" s="1451" t="n"/>
      <c r="AH20" s="1450" t="n"/>
      <c r="AI20" s="1451" t="n"/>
      <c r="AJ20" s="1451" t="n"/>
      <c r="AK20" s="1452" t="n"/>
      <c r="AL20" s="1453">
        <f>AL360</f>
        <v/>
      </c>
      <c r="AM20" s="1454">
        <f>AM360</f>
        <v/>
      </c>
      <c r="AN20" s="1453">
        <f>AN360</f>
        <v/>
      </c>
      <c r="AO20" s="1453">
        <f>AO360</f>
        <v/>
      </c>
      <c r="AP20" s="1453">
        <f>AP360</f>
        <v/>
      </c>
      <c r="AQ20" s="1453">
        <f>AQ360</f>
        <v/>
      </c>
      <c r="AR20" s="1454">
        <f>AR360</f>
        <v/>
      </c>
      <c r="AS20" s="1454">
        <f>AS360</f>
        <v/>
      </c>
      <c r="AT20" s="1454">
        <f>AT360</f>
        <v/>
      </c>
      <c r="AU20" s="1454">
        <f>AU360</f>
        <v/>
      </c>
      <c r="AV20" s="1455" t="n"/>
    </row>
    <row r="21" ht="14.4" customFormat="1" customHeight="1" s="1438">
      <c r="A21" s="1448" t="inlineStr">
        <is>
          <t>Y/Y Company Reported Non-GAAP Operating Income growth, %</t>
        </is>
      </c>
      <c r="B21" s="1449" t="n"/>
      <c r="C21" s="1459" t="n"/>
      <c r="D21" s="1459" t="n"/>
      <c r="E21" s="1459" t="n"/>
      <c r="F21" s="1459" t="n"/>
      <c r="G21" s="1459" t="n"/>
      <c r="H21" s="1459" t="n"/>
      <c r="I21" s="1459" t="n"/>
      <c r="J21" s="1459" t="n"/>
      <c r="K21" s="1459" t="n"/>
      <c r="L21" s="1459" t="n"/>
      <c r="M21" s="1459" t="n"/>
      <c r="N21" s="1459" t="n"/>
      <c r="O21" s="1460" t="n"/>
      <c r="P21" s="1460" t="n"/>
      <c r="Q21" s="1460" t="n"/>
      <c r="R21" s="1460" t="n"/>
      <c r="S21" s="1459" t="n"/>
      <c r="T21" s="1460" t="n"/>
      <c r="U21" s="1460" t="n"/>
      <c r="V21" s="1460" t="n"/>
      <c r="W21" s="1460" t="n"/>
      <c r="X21" s="1459" t="n"/>
      <c r="Y21" s="1460" t="n"/>
      <c r="Z21" s="1460" t="n"/>
      <c r="AA21" s="1460" t="n"/>
      <c r="AB21" s="1460" t="n"/>
      <c r="AC21" s="1472">
        <f>AC19/X19-1</f>
        <v/>
      </c>
      <c r="AD21" s="1460" t="n"/>
      <c r="AE21" s="1460" t="n"/>
      <c r="AF21" s="1460" t="n"/>
      <c r="AG21" s="1461">
        <f>AG19/AB19-1</f>
        <v/>
      </c>
      <c r="AH21" s="1472">
        <f>AH19/AC19-1</f>
        <v/>
      </c>
      <c r="AI21" s="1460">
        <f>AI19/AD19-1</f>
        <v/>
      </c>
      <c r="AJ21" s="1460">
        <f>AJ19/AE19-1</f>
        <v/>
      </c>
      <c r="AK21" s="1464">
        <f>AK19/AF19-1</f>
        <v/>
      </c>
      <c r="AL21" s="1461">
        <f>AL19/AG19-1</f>
        <v/>
      </c>
      <c r="AM21" s="1472">
        <f>AM19/AH19-1</f>
        <v/>
      </c>
      <c r="AN21" s="1461">
        <f>AN19/AI19-1</f>
        <v/>
      </c>
      <c r="AO21" s="1461">
        <f>AO19/AJ19-1</f>
        <v/>
      </c>
      <c r="AP21" s="1461">
        <f>AP19/AK19-1</f>
        <v/>
      </c>
      <c r="AQ21" s="1461">
        <f>AQ19/AL19-1</f>
        <v/>
      </c>
      <c r="AR21" s="1472">
        <f>AR19/AM19-1</f>
        <v/>
      </c>
      <c r="AS21" s="1472">
        <f>AS19/AR19-1</f>
        <v/>
      </c>
      <c r="AT21" s="1472">
        <f>AT19/AS19-1</f>
        <v/>
      </c>
      <c r="AU21" s="1472">
        <f>AU19/AT19-1</f>
        <v/>
      </c>
      <c r="AV21" s="1446" t="n"/>
    </row>
    <row r="22" ht="14.4" customFormat="1" customHeight="1" s="1438">
      <c r="A22" s="1490" t="inlineStr">
        <is>
          <t>Company Reported Non-GAAP Operating Income Margin, %</t>
        </is>
      </c>
      <c r="B22" s="1468" t="n"/>
      <c r="C22" s="1475" t="n"/>
      <c r="D22" s="1475" t="n"/>
      <c r="E22" s="1475" t="n"/>
      <c r="F22" s="1475" t="n"/>
      <c r="G22" s="1475" t="n"/>
      <c r="H22" s="1475" t="n"/>
      <c r="I22" s="1475" t="n"/>
      <c r="J22" s="1475" t="n"/>
      <c r="K22" s="1475" t="n"/>
      <c r="L22" s="1475" t="n"/>
      <c r="M22" s="1475" t="n"/>
      <c r="N22" s="1475" t="n"/>
      <c r="O22" s="1476" t="n"/>
      <c r="P22" s="1476" t="n"/>
      <c r="Q22" s="1476" t="n"/>
      <c r="R22" s="1476" t="n"/>
      <c r="S22" s="1475" t="n"/>
      <c r="T22" s="1476" t="n"/>
      <c r="U22" s="1476" t="n"/>
      <c r="V22" s="1476" t="n"/>
      <c r="W22" s="1476" t="n"/>
      <c r="X22" s="1477">
        <f>X19/X7</f>
        <v/>
      </c>
      <c r="Y22" s="1476" t="n"/>
      <c r="Z22" s="1476" t="n"/>
      <c r="AA22" s="1478">
        <f>AA19/AA7</f>
        <v/>
      </c>
      <c r="AB22" s="1478">
        <f>AB19/AB7</f>
        <v/>
      </c>
      <c r="AC22" s="1477">
        <f>AC19/AC7</f>
        <v/>
      </c>
      <c r="AD22" s="1478">
        <f>AD19/AD7</f>
        <v/>
      </c>
      <c r="AE22" s="1478">
        <f>AE19/AE7</f>
        <v/>
      </c>
      <c r="AF22" s="1478">
        <f>AF19/AF7</f>
        <v/>
      </c>
      <c r="AG22" s="1478">
        <f>AG19/AG7</f>
        <v/>
      </c>
      <c r="AH22" s="1477">
        <f>AH19/AH7</f>
        <v/>
      </c>
      <c r="AI22" s="1478">
        <f>AI19/AI7</f>
        <v/>
      </c>
      <c r="AJ22" s="1478">
        <f>AJ19/AJ7</f>
        <v/>
      </c>
      <c r="AK22" s="1479">
        <f>AK19/AK7</f>
        <v/>
      </c>
      <c r="AL22" s="1478">
        <f>AL19/AL7</f>
        <v/>
      </c>
      <c r="AM22" s="1477">
        <f>AM19/AM7</f>
        <v/>
      </c>
      <c r="AN22" s="1478">
        <f>AN19/AN7</f>
        <v/>
      </c>
      <c r="AO22" s="1478">
        <f>AO19/AO7</f>
        <v/>
      </c>
      <c r="AP22" s="1478">
        <f>AP19/AP7</f>
        <v/>
      </c>
      <c r="AQ22" s="1478">
        <f>AQ19/AQ7</f>
        <v/>
      </c>
      <c r="AR22" s="1477">
        <f>AR19/AR7</f>
        <v/>
      </c>
      <c r="AS22" s="1477">
        <f>AS19/AS7</f>
        <v/>
      </c>
      <c r="AT22" s="1477">
        <f>AT19/AT7</f>
        <v/>
      </c>
      <c r="AU22" s="1477">
        <f>AU19/AU7</f>
        <v/>
      </c>
      <c r="AV22" s="1446" t="n"/>
    </row>
    <row r="23" ht="14.4" customFormat="1" customHeight="1" s="1491">
      <c r="A23" s="1457">
        <f>A277</f>
        <v/>
      </c>
      <c r="B23" s="1458" t="n"/>
      <c r="C23" s="1459" t="n"/>
      <c r="D23" s="1459" t="n"/>
      <c r="E23" s="1459" t="n"/>
      <c r="F23" s="1459" t="n"/>
      <c r="G23" s="1459" t="n"/>
      <c r="H23" s="1459" t="n"/>
      <c r="I23" s="1459" t="n"/>
      <c r="J23" s="1459" t="n"/>
      <c r="K23" s="1459" t="n"/>
      <c r="L23" s="1459" t="n"/>
      <c r="M23" s="1459" t="n"/>
      <c r="N23" s="1459" t="n"/>
      <c r="O23" s="1460" t="n"/>
      <c r="P23" s="1460" t="n"/>
      <c r="Q23" s="1460" t="n"/>
      <c r="R23" s="1460" t="n"/>
      <c r="S23" s="1459" t="n"/>
      <c r="T23" s="1460" t="n"/>
      <c r="U23" s="1460" t="n"/>
      <c r="V23" s="1460" t="n"/>
      <c r="W23" s="1460" t="n"/>
      <c r="X23" s="1459" t="n"/>
      <c r="Y23" s="1460" t="n"/>
      <c r="Z23" s="1460" t="n"/>
      <c r="AA23" s="1460" t="n"/>
      <c r="AB23" s="1460" t="n"/>
      <c r="AC23" s="1459" t="n"/>
      <c r="AD23" s="1460" t="n"/>
      <c r="AE23" s="1460" t="n"/>
      <c r="AF23" s="1460" t="n"/>
      <c r="AG23" s="1460" t="n"/>
      <c r="AH23" s="1459" t="n"/>
      <c r="AI23" s="1460" t="n"/>
      <c r="AJ23" s="1460" t="n"/>
      <c r="AK23" s="1464" t="n"/>
      <c r="AL23" s="1461">
        <f>AL277</f>
        <v/>
      </c>
      <c r="AM23" s="1472">
        <f>AM277</f>
        <v/>
      </c>
      <c r="AN23" s="1461">
        <f>AN277</f>
        <v/>
      </c>
      <c r="AO23" s="1461">
        <f>AO277</f>
        <v/>
      </c>
      <c r="AP23" s="1461">
        <f>AP277</f>
        <v/>
      </c>
      <c r="AQ23" s="1461">
        <f>AQ277</f>
        <v/>
      </c>
      <c r="AR23" s="1472">
        <f>AR277</f>
        <v/>
      </c>
      <c r="AS23" s="1472">
        <f>AS277</f>
        <v/>
      </c>
      <c r="AT23" s="1472">
        <f>AT277</f>
        <v/>
      </c>
      <c r="AU23" s="1472">
        <f>AU277</f>
        <v/>
      </c>
      <c r="AV23" s="1492" t="n"/>
    </row>
    <row r="24" ht="14.4" customFormat="1" customHeight="1" s="1493">
      <c r="A24" s="1481" t="inlineStr">
        <is>
          <t>Y/Y Company Reported Non-GAAP Operating Income Margin Improvement, bps</t>
        </is>
      </c>
      <c r="B24" s="1482" t="n"/>
      <c r="C24" s="1483" t="n"/>
      <c r="D24" s="1483" t="n"/>
      <c r="E24" s="1483" t="n"/>
      <c r="F24" s="1483" t="n"/>
      <c r="G24" s="1483" t="n"/>
      <c r="H24" s="1483" t="n"/>
      <c r="I24" s="1483" t="n"/>
      <c r="J24" s="1483" t="n"/>
      <c r="K24" s="1483" t="n"/>
      <c r="L24" s="1483" t="n"/>
      <c r="M24" s="1483" t="n"/>
      <c r="N24" s="1483" t="n"/>
      <c r="O24" s="1484" t="n"/>
      <c r="P24" s="1484" t="n"/>
      <c r="Q24" s="1484" t="n"/>
      <c r="R24" s="1484" t="n"/>
      <c r="S24" s="1483" t="n"/>
      <c r="T24" s="1484" t="n"/>
      <c r="U24" s="1484" t="n"/>
      <c r="V24" s="1484" t="n"/>
      <c r="W24" s="1484" t="n"/>
      <c r="X24" s="1483" t="n"/>
      <c r="Y24" s="1484" t="n"/>
      <c r="Z24" s="1484" t="n"/>
      <c r="AA24" s="1484" t="n"/>
      <c r="AB24" s="1484" t="n"/>
      <c r="AC24" s="1485">
        <f>(AC22-X22)*10000</f>
        <v/>
      </c>
      <c r="AD24" s="1484" t="n"/>
      <c r="AE24" s="1484" t="n"/>
      <c r="AF24" s="1484" t="n"/>
      <c r="AG24" s="1486">
        <f>(AG22-AB22)*10000</f>
        <v/>
      </c>
      <c r="AH24" s="1485">
        <f>(AH22-AC22)*10000</f>
        <v/>
      </c>
      <c r="AI24" s="1484">
        <f>(AI22-AD22)*10000</f>
        <v/>
      </c>
      <c r="AJ24" s="1484">
        <f>(AJ22-AE22)*10000</f>
        <v/>
      </c>
      <c r="AK24" s="1487">
        <f>(AK22-AF22)*10000</f>
        <v/>
      </c>
      <c r="AL24" s="1486">
        <f>(AL22-AG22)*10000</f>
        <v/>
      </c>
      <c r="AM24" s="1485">
        <f>(AM22-AH22)*10000</f>
        <v/>
      </c>
      <c r="AN24" s="1486">
        <f>(AN22-AI22)*10000</f>
        <v/>
      </c>
      <c r="AO24" s="1486">
        <f>(AO22-AJ22)*10000</f>
        <v/>
      </c>
      <c r="AP24" s="1486">
        <f>(AP22-AK22)*10000</f>
        <v/>
      </c>
      <c r="AQ24" s="1486">
        <f>(AQ22-AL22)*10000</f>
        <v/>
      </c>
      <c r="AR24" s="1485">
        <f>(AR22-AM22)*10000</f>
        <v/>
      </c>
      <c r="AS24" s="1485">
        <f>(AS22-AR22)*10000</f>
        <v/>
      </c>
      <c r="AT24" s="1485">
        <f>(AT22-AS22)*10000</f>
        <v/>
      </c>
      <c r="AU24" s="1485">
        <f>(AU22-AT22)*10000</f>
        <v/>
      </c>
      <c r="AV24" s="1494" t="n"/>
    </row>
    <row r="25" ht="14.4" customFormat="1" customHeight="1" s="1418">
      <c r="A25" s="1489" t="n"/>
      <c r="B25" s="1468" t="n"/>
      <c r="C25" s="1469" t="n"/>
      <c r="D25" s="1469" t="n"/>
      <c r="E25" s="1469" t="n"/>
      <c r="F25" s="1469" t="n"/>
      <c r="G25" s="1469" t="n"/>
      <c r="H25" s="1469" t="n"/>
      <c r="I25" s="1469" t="n"/>
      <c r="J25" s="1469" t="n"/>
      <c r="K25" s="1469" t="n"/>
      <c r="L25" s="1469" t="n"/>
      <c r="M25" s="1469" t="n"/>
      <c r="N25" s="1469" t="n"/>
      <c r="O25" s="1470" t="n"/>
      <c r="P25" s="1470" t="n"/>
      <c r="Q25" s="1470" t="n"/>
      <c r="R25" s="1470" t="n"/>
      <c r="S25" s="1469" t="n"/>
      <c r="T25" s="1470" t="n"/>
      <c r="U25" s="1470" t="n"/>
      <c r="V25" s="1470" t="n"/>
      <c r="W25" s="1470" t="n"/>
      <c r="X25" s="1469" t="n"/>
      <c r="Y25" s="1470" t="n"/>
      <c r="Z25" s="1470" t="n"/>
      <c r="AA25" s="1470" t="n"/>
      <c r="AB25" s="1470" t="n"/>
      <c r="AC25" s="1469" t="n"/>
      <c r="AD25" s="1470" t="n"/>
      <c r="AE25" s="1470" t="n"/>
      <c r="AF25" s="1470" t="n"/>
      <c r="AG25" s="1470" t="n"/>
      <c r="AH25" s="1469" t="n"/>
      <c r="AI25" s="1470" t="n"/>
      <c r="AJ25" s="1470" t="n"/>
      <c r="AK25" s="1471" t="n"/>
      <c r="AL25" s="1470" t="n"/>
      <c r="AM25" s="1469" t="n"/>
      <c r="AN25" s="1470" t="n"/>
      <c r="AO25" s="1470" t="n"/>
      <c r="AP25" s="1470" t="n"/>
      <c r="AQ25" s="1470" t="n"/>
      <c r="AR25" s="1469" t="n"/>
      <c r="AS25" s="1469" t="n"/>
      <c r="AT25" s="1469" t="n"/>
      <c r="AU25" s="1469" t="n"/>
      <c r="AV25" s="1422" t="n"/>
    </row>
    <row r="26" ht="14.4" customFormat="1" customHeight="1" s="1438">
      <c r="A26" s="1439" t="inlineStr">
        <is>
          <t>Non-GAAP Net Income, mm</t>
        </is>
      </c>
      <c r="B26" s="1440" t="n"/>
      <c r="C26" s="1441" t="n"/>
      <c r="D26" s="1441" t="n"/>
      <c r="E26" s="1441" t="n"/>
      <c r="F26" s="1441" t="n"/>
      <c r="G26" s="1441" t="n"/>
      <c r="H26" s="1441" t="n"/>
      <c r="I26" s="1441" t="n"/>
      <c r="J26" s="1441" t="n"/>
      <c r="K26" s="1441" t="n"/>
      <c r="L26" s="1441" t="n"/>
      <c r="M26" s="1441" t="n"/>
      <c r="N26" s="1441" t="n"/>
      <c r="O26" s="1442" t="n"/>
      <c r="P26" s="1442" t="n"/>
      <c r="Q26" s="1442" t="n"/>
      <c r="R26" s="1442" t="n"/>
      <c r="S26" s="1441" t="n"/>
      <c r="T26" s="1442" t="n"/>
      <c r="U26" s="1442" t="n"/>
      <c r="V26" s="1442" t="n"/>
      <c r="W26" s="1442" t="n"/>
      <c r="X26" s="1443">
        <f>X381</f>
        <v/>
      </c>
      <c r="Y26" s="1442" t="n"/>
      <c r="Z26" s="1442" t="n"/>
      <c r="AA26" s="1444">
        <f>AA381</f>
        <v/>
      </c>
      <c r="AB26" s="1444">
        <f>AB381</f>
        <v/>
      </c>
      <c r="AC26" s="1443">
        <f>AC381</f>
        <v/>
      </c>
      <c r="AD26" s="1444">
        <f>AD381</f>
        <v/>
      </c>
      <c r="AE26" s="1444">
        <f>AE381</f>
        <v/>
      </c>
      <c r="AF26" s="1444">
        <f>AF381</f>
        <v/>
      </c>
      <c r="AG26" s="1444">
        <f>AG381</f>
        <v/>
      </c>
      <c r="AH26" s="1443">
        <f>AH381</f>
        <v/>
      </c>
      <c r="AI26" s="1444">
        <f>AI381</f>
        <v/>
      </c>
      <c r="AJ26" s="1444">
        <f>AJ381</f>
        <v/>
      </c>
      <c r="AK26" s="1445">
        <f>AK381</f>
        <v/>
      </c>
      <c r="AL26" s="1444">
        <f>AL381</f>
        <v/>
      </c>
      <c r="AM26" s="1443">
        <f>AM381</f>
        <v/>
      </c>
      <c r="AN26" s="1444">
        <f>AN381</f>
        <v/>
      </c>
      <c r="AO26" s="1444">
        <f>AO381</f>
        <v/>
      </c>
      <c r="AP26" s="1444">
        <f>AP381</f>
        <v/>
      </c>
      <c r="AQ26" s="1444">
        <f>AQ381</f>
        <v/>
      </c>
      <c r="AR26" s="1443">
        <f>AR381</f>
        <v/>
      </c>
      <c r="AS26" s="1443">
        <f>AS381</f>
        <v/>
      </c>
      <c r="AT26" s="1443">
        <f>AT381</f>
        <v/>
      </c>
      <c r="AU26" s="1443">
        <f>AU381</f>
        <v/>
      </c>
      <c r="AV26" s="1446" t="n"/>
    </row>
    <row r="27" ht="14.4" customFormat="1" customHeight="1" s="1438">
      <c r="A27" s="1448" t="inlineStr">
        <is>
          <t>Y/Y Non-GAAP Net Income growth, %</t>
        </is>
      </c>
      <c r="B27" s="1449" t="n"/>
      <c r="C27" s="1459" t="n"/>
      <c r="D27" s="1459" t="n"/>
      <c r="E27" s="1459" t="n"/>
      <c r="F27" s="1459" t="n"/>
      <c r="G27" s="1459" t="n"/>
      <c r="H27" s="1459" t="n"/>
      <c r="I27" s="1459" t="n"/>
      <c r="J27" s="1459" t="n"/>
      <c r="K27" s="1459" t="n"/>
      <c r="L27" s="1459" t="n"/>
      <c r="M27" s="1459" t="n"/>
      <c r="N27" s="1459" t="n"/>
      <c r="O27" s="1460" t="n"/>
      <c r="P27" s="1460" t="n"/>
      <c r="Q27" s="1460" t="n"/>
      <c r="R27" s="1460" t="n"/>
      <c r="S27" s="1459" t="n"/>
      <c r="T27" s="1460" t="n"/>
      <c r="U27" s="1460" t="n"/>
      <c r="V27" s="1460" t="n"/>
      <c r="W27" s="1460" t="n"/>
      <c r="X27" s="1459" t="n"/>
      <c r="Y27" s="1460" t="n"/>
      <c r="Z27" s="1460" t="n"/>
      <c r="AA27" s="1460" t="n"/>
      <c r="AB27" s="1460" t="n"/>
      <c r="AC27" s="1472">
        <f>AC26/X26-1</f>
        <v/>
      </c>
      <c r="AD27" s="1460" t="n"/>
      <c r="AE27" s="1460" t="n"/>
      <c r="AF27" s="1460" t="n"/>
      <c r="AG27" s="1461">
        <f>AG26/AB26-1</f>
        <v/>
      </c>
      <c r="AH27" s="1472">
        <f>AH26/AC26-1</f>
        <v/>
      </c>
      <c r="AI27" s="1460">
        <f>AI26/AD26-1</f>
        <v/>
      </c>
      <c r="AJ27" s="1460">
        <f>AJ26/AE26-1</f>
        <v/>
      </c>
      <c r="AK27" s="1464">
        <f>AK26/AF26-1</f>
        <v/>
      </c>
      <c r="AL27" s="1461">
        <f>AL26/AG26-1</f>
        <v/>
      </c>
      <c r="AM27" s="1472">
        <f>AM26/AH26-1</f>
        <v/>
      </c>
      <c r="AN27" s="1461">
        <f>AN26/AI26-1</f>
        <v/>
      </c>
      <c r="AO27" s="1461">
        <f>AO26/AJ26-1</f>
        <v/>
      </c>
      <c r="AP27" s="1461">
        <f>AP26/AK26-1</f>
        <v/>
      </c>
      <c r="AQ27" s="1461">
        <f>AQ26/AL26-1</f>
        <v/>
      </c>
      <c r="AR27" s="1472">
        <f>AR26/AM26-1</f>
        <v/>
      </c>
      <c r="AS27" s="1472">
        <f>AS26/AR26-1</f>
        <v/>
      </c>
      <c r="AT27" s="1472">
        <f>AT26/AS26-1</f>
        <v/>
      </c>
      <c r="AU27" s="1472">
        <f>AU26/AT26-1</f>
        <v/>
      </c>
      <c r="AV27" s="1446" t="n"/>
    </row>
    <row r="28" ht="14.4" customFormat="1" customHeight="1" s="1432">
      <c r="A28" s="1473" t="inlineStr">
        <is>
          <t>Non-GAAP Net Income Margin, %</t>
        </is>
      </c>
      <c r="B28" s="1474" t="n"/>
      <c r="C28" s="1475" t="n"/>
      <c r="D28" s="1475" t="n"/>
      <c r="E28" s="1475" t="n"/>
      <c r="F28" s="1475" t="n"/>
      <c r="G28" s="1475" t="n"/>
      <c r="H28" s="1475" t="n"/>
      <c r="I28" s="1475" t="n"/>
      <c r="J28" s="1475" t="n"/>
      <c r="K28" s="1475" t="n"/>
      <c r="L28" s="1475" t="n"/>
      <c r="M28" s="1475" t="n"/>
      <c r="N28" s="1475" t="n"/>
      <c r="O28" s="1476" t="n"/>
      <c r="P28" s="1476" t="n"/>
      <c r="Q28" s="1476" t="n"/>
      <c r="R28" s="1476" t="n"/>
      <c r="S28" s="1475" t="n"/>
      <c r="T28" s="1476" t="n"/>
      <c r="U28" s="1476" t="n"/>
      <c r="V28" s="1476" t="n"/>
      <c r="W28" s="1476" t="n"/>
      <c r="X28" s="1477">
        <f>X26/X7</f>
        <v/>
      </c>
      <c r="Y28" s="1476" t="n"/>
      <c r="Z28" s="1476" t="n"/>
      <c r="AA28" s="1478">
        <f>AA26/AA7</f>
        <v/>
      </c>
      <c r="AB28" s="1478">
        <f>AB26/AB7</f>
        <v/>
      </c>
      <c r="AC28" s="1477">
        <f>AC26/AC7</f>
        <v/>
      </c>
      <c r="AD28" s="1478">
        <f>AD26/AD7</f>
        <v/>
      </c>
      <c r="AE28" s="1478">
        <f>AE26/AE7</f>
        <v/>
      </c>
      <c r="AF28" s="1478">
        <f>AF26/AF7</f>
        <v/>
      </c>
      <c r="AG28" s="1478">
        <f>AG26/AG7</f>
        <v/>
      </c>
      <c r="AH28" s="1477">
        <f>AH26/AH7</f>
        <v/>
      </c>
      <c r="AI28" s="1478">
        <f>AI26/AI7</f>
        <v/>
      </c>
      <c r="AJ28" s="1478">
        <f>AJ26/AJ7</f>
        <v/>
      </c>
      <c r="AK28" s="1479">
        <f>AK26/AK7</f>
        <v/>
      </c>
      <c r="AL28" s="1478">
        <f>AL26/AL7</f>
        <v/>
      </c>
      <c r="AM28" s="1477">
        <f>AM26/AM7</f>
        <v/>
      </c>
      <c r="AN28" s="1478">
        <f>AN26/AN7</f>
        <v/>
      </c>
      <c r="AO28" s="1478">
        <f>AO26/AO7</f>
        <v/>
      </c>
      <c r="AP28" s="1478">
        <f>AP26/AP7</f>
        <v/>
      </c>
      <c r="AQ28" s="1478">
        <f>AQ26/AQ7</f>
        <v/>
      </c>
      <c r="AR28" s="1477">
        <f>AR26/AR7</f>
        <v/>
      </c>
      <c r="AS28" s="1477">
        <f>AS26/AS7</f>
        <v/>
      </c>
      <c r="AT28" s="1477">
        <f>AT26/AT7</f>
        <v/>
      </c>
      <c r="AU28" s="1477">
        <f>AU26/AU7</f>
        <v/>
      </c>
      <c r="AV28" s="1437" t="n"/>
    </row>
    <row r="29" ht="14.4" customFormat="1" customHeight="1" s="1480">
      <c r="A29" s="1481" t="inlineStr">
        <is>
          <t>Y/Y Non-GAAP Net Income Margin Improvement, bps</t>
        </is>
      </c>
      <c r="B29" s="1482" t="n"/>
      <c r="C29" s="1483" t="n"/>
      <c r="D29" s="1483" t="n"/>
      <c r="E29" s="1483" t="n"/>
      <c r="F29" s="1483" t="n"/>
      <c r="G29" s="1483" t="n"/>
      <c r="H29" s="1483" t="n"/>
      <c r="I29" s="1483" t="n"/>
      <c r="J29" s="1483" t="n"/>
      <c r="K29" s="1483" t="n"/>
      <c r="L29" s="1483" t="n"/>
      <c r="M29" s="1483" t="n"/>
      <c r="N29" s="1483" t="n"/>
      <c r="O29" s="1484" t="n"/>
      <c r="P29" s="1484" t="n"/>
      <c r="Q29" s="1484" t="n"/>
      <c r="R29" s="1484" t="n"/>
      <c r="S29" s="1483" t="n"/>
      <c r="T29" s="1484" t="n"/>
      <c r="U29" s="1484" t="n"/>
      <c r="V29" s="1484" t="n"/>
      <c r="W29" s="1484" t="n"/>
      <c r="X29" s="1483" t="n"/>
      <c r="Y29" s="1484" t="n"/>
      <c r="Z29" s="1484" t="n"/>
      <c r="AA29" s="1484" t="n"/>
      <c r="AB29" s="1484" t="n"/>
      <c r="AC29" s="1485">
        <f>(AC28-X28)*10000</f>
        <v/>
      </c>
      <c r="AD29" s="1484" t="n"/>
      <c r="AE29" s="1484" t="n"/>
      <c r="AF29" s="1484" t="n"/>
      <c r="AG29" s="1486">
        <f>(AG28-AB28)*10000</f>
        <v/>
      </c>
      <c r="AH29" s="1485">
        <f>(AH28-AC28)*10000</f>
        <v/>
      </c>
      <c r="AI29" s="1484">
        <f>(AI28-AD28)*10000</f>
        <v/>
      </c>
      <c r="AJ29" s="1484">
        <f>(AJ28-AE28)*10000</f>
        <v/>
      </c>
      <c r="AK29" s="1487">
        <f>(AK28-AF28)*10000</f>
        <v/>
      </c>
      <c r="AL29" s="1486">
        <f>(AL28-AG28)*10000</f>
        <v/>
      </c>
      <c r="AM29" s="1485">
        <f>(AM28-AH28)*10000</f>
        <v/>
      </c>
      <c r="AN29" s="1486">
        <f>(AN28-AI28)*10000</f>
        <v/>
      </c>
      <c r="AO29" s="1486">
        <f>(AO28-AJ28)*10000</f>
        <v/>
      </c>
      <c r="AP29" s="1486">
        <f>(AP28-AK28)*10000</f>
        <v/>
      </c>
      <c r="AQ29" s="1486">
        <f>(AQ28-AL28)*10000</f>
        <v/>
      </c>
      <c r="AR29" s="1485">
        <f>(AR28-AM28)*10000</f>
        <v/>
      </c>
      <c r="AS29" s="1485">
        <f>(AS28-AR28)*10000</f>
        <v/>
      </c>
      <c r="AT29" s="1485">
        <f>(AT28-AS28)*10000</f>
        <v/>
      </c>
      <c r="AU29" s="1485">
        <f>(AU28-AT28)*10000</f>
        <v/>
      </c>
      <c r="AV29" s="1488" t="n"/>
    </row>
    <row r="30" ht="14.4" customFormat="1" customHeight="1" s="1418">
      <c r="A30" s="1489" t="n"/>
      <c r="B30" s="1468" t="n"/>
      <c r="C30" s="1469" t="n"/>
      <c r="D30" s="1469" t="n"/>
      <c r="E30" s="1469" t="n"/>
      <c r="F30" s="1469" t="n"/>
      <c r="G30" s="1469" t="n"/>
      <c r="H30" s="1469" t="n"/>
      <c r="I30" s="1469" t="n"/>
      <c r="J30" s="1469" t="n"/>
      <c r="K30" s="1469" t="n"/>
      <c r="L30" s="1469" t="n"/>
      <c r="M30" s="1469" t="n"/>
      <c r="N30" s="1469" t="n"/>
      <c r="O30" s="1470" t="n"/>
      <c r="P30" s="1470" t="n"/>
      <c r="Q30" s="1470" t="n"/>
      <c r="R30" s="1470" t="n"/>
      <c r="S30" s="1469" t="n"/>
      <c r="T30" s="1470" t="n"/>
      <c r="U30" s="1470" t="n"/>
      <c r="V30" s="1470" t="n"/>
      <c r="W30" s="1470" t="n"/>
      <c r="X30" s="1469" t="n"/>
      <c r="Y30" s="1470" t="n"/>
      <c r="Z30" s="1470" t="n"/>
      <c r="AA30" s="1470" t="n"/>
      <c r="AB30" s="1470" t="n"/>
      <c r="AC30" s="1469" t="n"/>
      <c r="AD30" s="1470" t="n"/>
      <c r="AE30" s="1470" t="n"/>
      <c r="AF30" s="1470" t="n"/>
      <c r="AG30" s="1470" t="n"/>
      <c r="AH30" s="1469" t="n"/>
      <c r="AI30" s="1470" t="n"/>
      <c r="AJ30" s="1470" t="n"/>
      <c r="AK30" s="1471" t="n"/>
      <c r="AL30" s="1470" t="n"/>
      <c r="AM30" s="1469" t="n"/>
      <c r="AN30" s="1470" t="n"/>
      <c r="AO30" s="1470" t="n"/>
      <c r="AP30" s="1470" t="n"/>
      <c r="AQ30" s="1470" t="n"/>
      <c r="AR30" s="1469" t="n"/>
      <c r="AS30" s="1469" t="n"/>
      <c r="AT30" s="1469" t="n"/>
      <c r="AU30" s="1469" t="n"/>
      <c r="AV30" s="1422" t="n"/>
    </row>
    <row r="31" ht="14.4" customFormat="1" customHeight="1" s="1495">
      <c r="A31" s="1496" t="inlineStr">
        <is>
          <t>Non-GAAP Earnings Per Share - WAD, USD/share</t>
        </is>
      </c>
      <c r="B31" s="1497" t="n"/>
      <c r="C31" s="1498" t="n"/>
      <c r="D31" s="1498" t="n"/>
      <c r="E31" s="1498" t="n"/>
      <c r="F31" s="1498" t="n"/>
      <c r="G31" s="1498" t="n"/>
      <c r="H31" s="1498" t="n"/>
      <c r="I31" s="1498" t="n"/>
      <c r="J31" s="1498" t="n"/>
      <c r="K31" s="1498" t="n"/>
      <c r="L31" s="1498" t="n"/>
      <c r="M31" s="1498" t="n"/>
      <c r="N31" s="1498" t="n"/>
      <c r="O31" s="1499" t="n"/>
      <c r="P31" s="1499" t="n"/>
      <c r="Q31" s="1499" t="n"/>
      <c r="R31" s="1499" t="n"/>
      <c r="S31" s="1498" t="n"/>
      <c r="T31" s="1499" t="n"/>
      <c r="U31" s="1499" t="n"/>
      <c r="V31" s="1499" t="n"/>
      <c r="W31" s="1499" t="n"/>
      <c r="X31" s="1500">
        <f>X401</f>
        <v/>
      </c>
      <c r="Y31" s="1499" t="n"/>
      <c r="Z31" s="1499" t="n"/>
      <c r="AA31" s="1501">
        <f>AA401</f>
        <v/>
      </c>
      <c r="AB31" s="1501">
        <f>AB401</f>
        <v/>
      </c>
      <c r="AC31" s="1500">
        <f>AC401</f>
        <v/>
      </c>
      <c r="AD31" s="1499">
        <f>AD401</f>
        <v/>
      </c>
      <c r="AE31" s="1499">
        <f>AE401</f>
        <v/>
      </c>
      <c r="AF31" s="1501">
        <f>AF401</f>
        <v/>
      </c>
      <c r="AG31" s="1501">
        <f>AG401</f>
        <v/>
      </c>
      <c r="AH31" s="1500">
        <f>AH401</f>
        <v/>
      </c>
      <c r="AI31" s="1499">
        <f>AI401</f>
        <v/>
      </c>
      <c r="AJ31" s="1499">
        <f>AJ401</f>
        <v/>
      </c>
      <c r="AK31" s="1502">
        <f>AK401</f>
        <v/>
      </c>
      <c r="AL31" s="1501">
        <f>AL401</f>
        <v/>
      </c>
      <c r="AM31" s="1500">
        <f>AM401</f>
        <v/>
      </c>
      <c r="AN31" s="1501">
        <f>AN401</f>
        <v/>
      </c>
      <c r="AO31" s="1501">
        <f>AO401</f>
        <v/>
      </c>
      <c r="AP31" s="1501">
        <f>AP401</f>
        <v/>
      </c>
      <c r="AQ31" s="1501">
        <f>AQ401</f>
        <v/>
      </c>
      <c r="AR31" s="1500">
        <f>AR401</f>
        <v/>
      </c>
      <c r="AS31" s="1500">
        <f>AS401</f>
        <v/>
      </c>
      <c r="AT31" s="1500">
        <f>AT401</f>
        <v/>
      </c>
      <c r="AU31" s="1500">
        <f>AU401</f>
        <v/>
      </c>
      <c r="AV31" s="1503" t="n"/>
    </row>
    <row r="32" ht="14.4" customFormat="1" customHeight="1" s="1504">
      <c r="A32" s="1505">
        <f>CONCATENATE("Consensus Estimates - ",IFERROR(LEFT(A31,FIND("(",A31)-1),A31))</f>
        <v/>
      </c>
      <c r="B32" s="1506" t="n"/>
      <c r="C32" s="1507" t="n"/>
      <c r="D32" s="1507" t="n"/>
      <c r="E32" s="1507" t="n"/>
      <c r="F32" s="1507" t="n"/>
      <c r="G32" s="1507" t="n"/>
      <c r="H32" s="1507" t="n"/>
      <c r="I32" s="1507" t="n"/>
      <c r="J32" s="1507" t="n"/>
      <c r="K32" s="1507" t="n"/>
      <c r="L32" s="1507" t="n"/>
      <c r="M32" s="1507" t="n"/>
      <c r="N32" s="1507" t="n"/>
      <c r="O32" s="1508" t="n"/>
      <c r="P32" s="1508" t="n"/>
      <c r="Q32" s="1508" t="n"/>
      <c r="R32" s="1508" t="n"/>
      <c r="S32" s="1507" t="n"/>
      <c r="T32" s="1508" t="n"/>
      <c r="U32" s="1508" t="n"/>
      <c r="V32" s="1508" t="n"/>
      <c r="W32" s="1508" t="n"/>
      <c r="X32" s="1507" t="n"/>
      <c r="Y32" s="1508" t="n"/>
      <c r="Z32" s="1508" t="n"/>
      <c r="AA32" s="1508" t="n"/>
      <c r="AB32" s="1508" t="n"/>
      <c r="AC32" s="1507" t="n"/>
      <c r="AD32" s="1508" t="n"/>
      <c r="AE32" s="1508" t="n"/>
      <c r="AF32" s="1508" t="n"/>
      <c r="AG32" s="1508" t="n"/>
      <c r="AH32" s="1507" t="n"/>
      <c r="AI32" s="1508" t="n"/>
      <c r="AJ32" s="1508" t="n"/>
      <c r="AK32" s="1509" t="n"/>
      <c r="AL32" s="1510">
        <f>AL402</f>
        <v/>
      </c>
      <c r="AM32" s="1511">
        <f>AM402</f>
        <v/>
      </c>
      <c r="AN32" s="1510">
        <f>AN402</f>
        <v/>
      </c>
      <c r="AO32" s="1510">
        <f>AO402</f>
        <v/>
      </c>
      <c r="AP32" s="1510">
        <f>AP402</f>
        <v/>
      </c>
      <c r="AQ32" s="1510">
        <f>AQ402</f>
        <v/>
      </c>
      <c r="AR32" s="1511">
        <f>AR402</f>
        <v/>
      </c>
      <c r="AS32" s="1511">
        <f>AS402</f>
        <v/>
      </c>
      <c r="AT32" s="1511">
        <f>AT402</f>
        <v/>
      </c>
      <c r="AU32" s="1511">
        <f>AU402</f>
        <v/>
      </c>
      <c r="AV32" s="1512" t="n"/>
    </row>
    <row r="33" ht="14.4" customFormat="1" customHeight="1" s="1438">
      <c r="A33" s="1513" t="n"/>
      <c r="B33" s="1440" t="n"/>
      <c r="C33" s="1441" t="n"/>
      <c r="D33" s="1441" t="n"/>
      <c r="E33" s="1441" t="n"/>
      <c r="F33" s="1441" t="n"/>
      <c r="G33" s="1441" t="n"/>
      <c r="H33" s="1441" t="n"/>
      <c r="I33" s="1441" t="n"/>
      <c r="J33" s="1441" t="n"/>
      <c r="K33" s="1441" t="n"/>
      <c r="L33" s="1441" t="n"/>
      <c r="M33" s="1441" t="n"/>
      <c r="N33" s="1441" t="n"/>
      <c r="O33" s="1442" t="n"/>
      <c r="P33" s="1442" t="n"/>
      <c r="Q33" s="1442" t="n"/>
      <c r="R33" s="1442" t="n"/>
      <c r="S33" s="1441" t="n"/>
      <c r="T33" s="1442" t="n"/>
      <c r="U33" s="1442" t="n"/>
      <c r="V33" s="1442" t="n"/>
      <c r="W33" s="1442" t="n"/>
      <c r="X33" s="1441" t="n"/>
      <c r="Y33" s="1442" t="n"/>
      <c r="Z33" s="1442" t="n"/>
      <c r="AA33" s="1442" t="n"/>
      <c r="AB33" s="1442" t="n"/>
      <c r="AC33" s="1441" t="n"/>
      <c r="AD33" s="1442" t="n"/>
      <c r="AE33" s="1442" t="n"/>
      <c r="AF33" s="1442" t="n"/>
      <c r="AG33" s="1442" t="n"/>
      <c r="AH33" s="1441" t="n"/>
      <c r="AI33" s="1442" t="n"/>
      <c r="AJ33" s="1442" t="n"/>
      <c r="AK33" s="1514" t="n"/>
      <c r="AL33" s="1442" t="n"/>
      <c r="AM33" s="1441" t="n"/>
      <c r="AN33" s="1442" t="n"/>
      <c r="AO33" s="1442" t="n"/>
      <c r="AP33" s="1442" t="n"/>
      <c r="AQ33" s="1442" t="n"/>
      <c r="AR33" s="1441" t="n"/>
      <c r="AS33" s="1441" t="n"/>
      <c r="AT33" s="1441" t="n"/>
      <c r="AU33" s="1441" t="n"/>
      <c r="AV33" s="1446" t="n"/>
    </row>
    <row r="34" ht="14.4" customFormat="1" customHeight="1" s="1493">
      <c r="A34" s="1515" t="inlineStr">
        <is>
          <t>RPO, mm</t>
        </is>
      </c>
      <c r="B34" s="1516" t="n"/>
      <c r="C34" s="1517" t="n"/>
      <c r="D34" s="1517" t="n"/>
      <c r="E34" s="1517" t="n"/>
      <c r="F34" s="1517" t="n"/>
      <c r="G34" s="1517" t="n"/>
      <c r="H34" s="1517" t="n"/>
      <c r="I34" s="1517" t="n"/>
      <c r="J34" s="1517" t="n"/>
      <c r="K34" s="1517" t="n"/>
      <c r="L34" s="1517" t="n"/>
      <c r="M34" s="1517" t="n"/>
      <c r="N34" s="1517" t="n"/>
      <c r="O34" s="1518" t="n"/>
      <c r="P34" s="1518" t="n"/>
      <c r="Q34" s="1518" t="n"/>
      <c r="R34" s="1518" t="n"/>
      <c r="S34" s="1517" t="n"/>
      <c r="T34" s="1518" t="n"/>
      <c r="U34" s="1518" t="n"/>
      <c r="V34" s="1518" t="n"/>
      <c r="W34" s="1518" t="n"/>
      <c r="X34" s="1517" t="n"/>
      <c r="Y34" s="1518" t="n"/>
      <c r="Z34" s="1518" t="n"/>
      <c r="AA34" s="1518" t="n"/>
      <c r="AB34" s="1518" t="n"/>
      <c r="AC34" s="1519" t="n">
        <v>9900</v>
      </c>
      <c r="AD34" s="1518" t="n"/>
      <c r="AE34" s="1520" t="n">
        <v>16200</v>
      </c>
      <c r="AF34" s="1520" t="n">
        <v>15000</v>
      </c>
      <c r="AG34" s="1521">
        <f>AH34</f>
        <v/>
      </c>
      <c r="AH34" s="1519" t="n">
        <v>15100</v>
      </c>
      <c r="AI34" s="1520" t="n">
        <v>14700</v>
      </c>
      <c r="AJ34" s="1520" t="n">
        <v>30100</v>
      </c>
      <c r="AK34" s="1522" t="n">
        <v>50000</v>
      </c>
      <c r="AL34" s="1518" t="n"/>
      <c r="AM34" s="1517" t="n"/>
      <c r="AN34" s="1518" t="n"/>
      <c r="AO34" s="1518" t="n"/>
      <c r="AP34" s="1518" t="n"/>
      <c r="AQ34" s="1518" t="n"/>
      <c r="AR34" s="1517" t="n"/>
      <c r="AS34" s="1517" t="n"/>
      <c r="AT34" s="1517" t="n"/>
      <c r="AU34" s="1517" t="n"/>
      <c r="AV34" s="1494" t="n"/>
    </row>
    <row r="35" ht="14.4" customFormat="1" customHeight="1" s="1432">
      <c r="A35" s="1523" t="inlineStr">
        <is>
          <t>% of RPO to be recognized over the initial 24 months, %</t>
        </is>
      </c>
      <c r="B35" s="1474" t="n"/>
      <c r="C35" s="1475" t="n"/>
      <c r="D35" s="1475" t="n"/>
      <c r="E35" s="1475" t="n"/>
      <c r="F35" s="1475" t="n"/>
      <c r="G35" s="1475" t="n"/>
      <c r="H35" s="1475" t="n"/>
      <c r="I35" s="1475" t="n"/>
      <c r="J35" s="1475" t="n"/>
      <c r="K35" s="1475" t="n"/>
      <c r="L35" s="1475" t="n"/>
      <c r="M35" s="1475" t="n"/>
      <c r="N35" s="1475" t="n"/>
      <c r="O35" s="1476" t="n"/>
      <c r="P35" s="1476" t="n"/>
      <c r="Q35" s="1476" t="n"/>
      <c r="R35" s="1476" t="n"/>
      <c r="S35" s="1475" t="n"/>
      <c r="T35" s="1476" t="n"/>
      <c r="U35" s="1476" t="n"/>
      <c r="V35" s="1476" t="n"/>
      <c r="W35" s="1476" t="n"/>
      <c r="X35" s="1475" t="n"/>
      <c r="Y35" s="1476" t="n"/>
      <c r="Z35" s="1476" t="n"/>
      <c r="AA35" s="1476" t="n"/>
      <c r="AB35" s="1476" t="n"/>
      <c r="AC35" s="1524" t="n">
        <v>0.41</v>
      </c>
      <c r="AD35" s="1476" t="n"/>
      <c r="AE35" s="1525" t="n">
        <v>0.45</v>
      </c>
      <c r="AF35" s="1525" t="n">
        <v>0.5</v>
      </c>
      <c r="AG35" s="1478">
        <f>AH35</f>
        <v/>
      </c>
      <c r="AH35" s="1524" t="n">
        <v>0.54</v>
      </c>
      <c r="AI35" s="1525" t="n">
        <v>0.58</v>
      </c>
      <c r="AJ35" s="1525" t="n">
        <v>0.5</v>
      </c>
      <c r="AK35" s="1526" t="n">
        <v>0.42</v>
      </c>
      <c r="AL35" s="1476" t="n"/>
      <c r="AM35" s="1475" t="n"/>
      <c r="AN35" s="1476" t="n"/>
      <c r="AO35" s="1476" t="n"/>
      <c r="AP35" s="1476" t="n"/>
      <c r="AQ35" s="1476" t="n"/>
      <c r="AR35" s="1475" t="n"/>
      <c r="AS35" s="1475" t="n"/>
      <c r="AT35" s="1475" t="n"/>
      <c r="AU35" s="1475" t="n"/>
      <c r="AV35" s="1437" t="n"/>
    </row>
    <row r="36" ht="14.4" customFormat="1" customHeight="1" s="1432">
      <c r="A36" s="1523" t="inlineStr">
        <is>
          <t>% of RPO to be recognized between months 25 and 48 months, %</t>
        </is>
      </c>
      <c r="B36" s="1474" t="n"/>
      <c r="C36" s="1475" t="n"/>
      <c r="D36" s="1475" t="n"/>
      <c r="E36" s="1475" t="n"/>
      <c r="F36" s="1475" t="n"/>
      <c r="G36" s="1475" t="n"/>
      <c r="H36" s="1475" t="n"/>
      <c r="I36" s="1475" t="n"/>
      <c r="J36" s="1475" t="n"/>
      <c r="K36" s="1475" t="n"/>
      <c r="L36" s="1475" t="n"/>
      <c r="M36" s="1475" t="n"/>
      <c r="N36" s="1475" t="n"/>
      <c r="O36" s="1476" t="n"/>
      <c r="P36" s="1476" t="n"/>
      <c r="Q36" s="1476" t="n"/>
      <c r="R36" s="1476" t="n"/>
      <c r="S36" s="1475" t="n"/>
      <c r="T36" s="1476" t="n"/>
      <c r="U36" s="1476" t="n"/>
      <c r="V36" s="1476" t="n"/>
      <c r="W36" s="1476" t="n"/>
      <c r="X36" s="1475" t="n"/>
      <c r="Y36" s="1476" t="n"/>
      <c r="Z36" s="1476" t="n"/>
      <c r="AA36" s="1476" t="n"/>
      <c r="AB36" s="1476" t="n"/>
      <c r="AC36" s="1524" t="n">
        <v>0.4</v>
      </c>
      <c r="AD36" s="1476" t="n"/>
      <c r="AE36" s="1525" t="n">
        <v>0.4</v>
      </c>
      <c r="AF36" s="1476" t="n"/>
      <c r="AG36" s="1478">
        <f>AH36</f>
        <v/>
      </c>
      <c r="AH36" s="1524" t="n">
        <v>0.42</v>
      </c>
      <c r="AI36" s="1525" t="n">
        <v>0.4</v>
      </c>
      <c r="AJ36" s="1525" t="n">
        <v>0.4</v>
      </c>
      <c r="AK36" s="1526" t="n">
        <v>0.39</v>
      </c>
      <c r="AL36" s="1476" t="n"/>
      <c r="AM36" s="1475" t="n"/>
      <c r="AN36" s="1476" t="n"/>
      <c r="AO36" s="1476" t="n"/>
      <c r="AP36" s="1476" t="n"/>
      <c r="AQ36" s="1476" t="n"/>
      <c r="AR36" s="1475" t="n"/>
      <c r="AS36" s="1475" t="n"/>
      <c r="AT36" s="1475" t="n"/>
      <c r="AU36" s="1475" t="n"/>
      <c r="AV36" s="1437" t="n"/>
    </row>
    <row r="37" ht="14.4" customFormat="1" customHeight="1" s="1432">
      <c r="A37" s="1523" t="inlineStr">
        <is>
          <t>% of RPO to be recognized between months 49 and 72 months, %</t>
        </is>
      </c>
      <c r="B37" s="1474" t="n"/>
      <c r="C37" s="1475" t="n"/>
      <c r="D37" s="1475" t="n"/>
      <c r="E37" s="1475" t="n"/>
      <c r="F37" s="1475" t="n"/>
      <c r="G37" s="1475" t="n"/>
      <c r="H37" s="1475" t="n"/>
      <c r="I37" s="1475" t="n"/>
      <c r="J37" s="1475" t="n"/>
      <c r="K37" s="1475" t="n"/>
      <c r="L37" s="1475" t="n"/>
      <c r="M37" s="1475" t="n"/>
      <c r="N37" s="1475" t="n"/>
      <c r="O37" s="1476" t="n"/>
      <c r="P37" s="1476" t="n"/>
      <c r="Q37" s="1476" t="n"/>
      <c r="R37" s="1476" t="n"/>
      <c r="S37" s="1475" t="n"/>
      <c r="T37" s="1476" t="n"/>
      <c r="U37" s="1476" t="n"/>
      <c r="V37" s="1476" t="n"/>
      <c r="W37" s="1476" t="n"/>
      <c r="X37" s="1475" t="n"/>
      <c r="Y37" s="1476" t="n"/>
      <c r="Z37" s="1476" t="n"/>
      <c r="AA37" s="1476" t="n"/>
      <c r="AB37" s="1476" t="n"/>
      <c r="AC37" s="1477">
        <f>1-AC36-AC35</f>
        <v/>
      </c>
      <c r="AD37" s="1476" t="n"/>
      <c r="AE37" s="1525" t="n">
        <v>0.15</v>
      </c>
      <c r="AF37" s="1476" t="n"/>
      <c r="AG37" s="1478">
        <f>AH37</f>
        <v/>
      </c>
      <c r="AH37" s="1477">
        <f>1-AH36-AH35</f>
        <v/>
      </c>
      <c r="AI37" s="1476">
        <f>1-AI36-AI35</f>
        <v/>
      </c>
      <c r="AJ37" s="1476">
        <f>1-AJ36-AJ35</f>
        <v/>
      </c>
      <c r="AK37" s="1527">
        <f>1-AK36-AK35</f>
        <v/>
      </c>
      <c r="AL37" s="1476" t="n"/>
      <c r="AM37" s="1475" t="n"/>
      <c r="AN37" s="1476" t="n"/>
      <c r="AO37" s="1476" t="n"/>
      <c r="AP37" s="1476" t="n"/>
      <c r="AQ37" s="1476" t="n"/>
      <c r="AR37" s="1475" t="n"/>
      <c r="AS37" s="1475" t="n"/>
      <c r="AT37" s="1475" t="n"/>
      <c r="AU37" s="1475" t="n"/>
      <c r="AV37" s="1437" t="n"/>
    </row>
    <row r="38" ht="14.4" customFormat="1" customHeight="1" s="1418">
      <c r="A38" s="1467" t="n"/>
      <c r="B38" s="1528" t="n"/>
      <c r="C38" s="1529" t="n"/>
      <c r="D38" s="1529" t="n"/>
      <c r="E38" s="1529" t="n"/>
      <c r="F38" s="1529" t="n"/>
      <c r="G38" s="1529" t="n"/>
      <c r="H38" s="1529" t="n"/>
      <c r="I38" s="1529" t="n"/>
      <c r="J38" s="1529" t="n"/>
      <c r="K38" s="1529" t="n"/>
      <c r="L38" s="1529" t="n"/>
      <c r="M38" s="1529" t="n"/>
      <c r="N38" s="1529" t="n"/>
      <c r="O38" s="1420" t="n"/>
      <c r="P38" s="1420" t="n"/>
      <c r="Q38" s="1420" t="n"/>
      <c r="R38" s="1420" t="n"/>
      <c r="S38" s="1529" t="n"/>
      <c r="T38" s="1420" t="n"/>
      <c r="U38" s="1420" t="n"/>
      <c r="V38" s="1420" t="n"/>
      <c r="W38" s="1420" t="n"/>
      <c r="X38" s="1529" t="n"/>
      <c r="Y38" s="1420" t="n"/>
      <c r="Z38" s="1420" t="n"/>
      <c r="AA38" s="1420" t="n"/>
      <c r="AB38" s="1420" t="n"/>
      <c r="AC38" s="1529" t="n"/>
      <c r="AD38" s="1420" t="n"/>
      <c r="AE38" s="1420" t="n"/>
      <c r="AF38" s="1420" t="n"/>
      <c r="AG38" s="1420" t="n"/>
      <c r="AH38" s="1529" t="n"/>
      <c r="AI38" s="1420" t="n"/>
      <c r="AJ38" s="1420" t="n"/>
      <c r="AK38" s="1421" t="n"/>
      <c r="AL38" s="1420" t="n"/>
      <c r="AM38" s="1529" t="n"/>
      <c r="AN38" s="1420" t="n"/>
      <c r="AO38" s="1420" t="n"/>
      <c r="AP38" s="1420" t="n"/>
      <c r="AQ38" s="1420" t="n"/>
      <c r="AR38" s="1529" t="n"/>
      <c r="AS38" s="1529" t="n"/>
      <c r="AT38" s="1529" t="n"/>
      <c r="AU38" s="1529" t="n"/>
      <c r="AV38" s="1422" t="n"/>
    </row>
    <row r="39" ht="14.4" customFormat="1" customHeight="1" s="1418">
      <c r="A39" s="1530" t="inlineStr">
        <is>
          <t>Operating Expense Forecasting</t>
        </is>
      </c>
      <c r="B39" s="1531" t="n"/>
      <c r="C39" s="1531" t="n"/>
      <c r="D39" s="1531" t="n"/>
      <c r="E39" s="1531" t="n"/>
      <c r="F39" s="1531" t="n"/>
      <c r="G39" s="1531" t="n"/>
      <c r="H39" s="1531" t="n"/>
      <c r="I39" s="1531" t="n"/>
      <c r="J39" s="1531" t="n"/>
      <c r="K39" s="1531" t="n"/>
      <c r="L39" s="1531" t="n"/>
      <c r="M39" s="1531" t="n"/>
      <c r="N39" s="1531" t="n"/>
      <c r="O39" s="1531" t="n"/>
      <c r="P39" s="1531" t="n"/>
      <c r="Q39" s="1531" t="n"/>
      <c r="R39" s="1531" t="n"/>
      <c r="S39" s="1531" t="n"/>
      <c r="T39" s="1531" t="n"/>
      <c r="U39" s="1531" t="n"/>
      <c r="V39" s="1531" t="n"/>
      <c r="W39" s="1531" t="n"/>
      <c r="X39" s="1531" t="n"/>
      <c r="Y39" s="1531" t="n"/>
      <c r="Z39" s="1531" t="n"/>
      <c r="AA39" s="1532" t="inlineStr">
        <is>
          <t>9 months</t>
        </is>
      </c>
      <c r="AB39" s="1531" t="n"/>
      <c r="AC39" s="1531" t="n"/>
      <c r="AD39" s="1531" t="n"/>
      <c r="AE39" s="1531" t="n"/>
      <c r="AF39" s="1531" t="n"/>
      <c r="AG39" s="1531" t="n"/>
      <c r="AH39" s="1531" t="n"/>
      <c r="AI39" s="1531" t="n"/>
      <c r="AJ39" s="1531" t="n"/>
      <c r="AK39" s="1533" t="n"/>
      <c r="AL39" s="1531" t="n"/>
      <c r="AM39" s="1531" t="n"/>
      <c r="AN39" s="1531" t="n"/>
      <c r="AO39" s="1531" t="n"/>
      <c r="AP39" s="1531" t="n"/>
      <c r="AQ39" s="1531" t="n"/>
      <c r="AR39" s="1531" t="n"/>
      <c r="AS39" s="1531" t="n"/>
      <c r="AT39" s="1531" t="n"/>
      <c r="AU39" s="1531" t="n"/>
      <c r="AV39" s="1422" t="n"/>
    </row>
    <row r="40" hidden="1" outlineLevel="1" ht="14.4" customFormat="1" customHeight="1" s="1438">
      <c r="A40" s="1439" t="inlineStr">
        <is>
          <t>Revenue, mm</t>
        </is>
      </c>
      <c r="B40" s="1534" t="n"/>
      <c r="C40" s="1535" t="n"/>
      <c r="D40" s="1535" t="n"/>
      <c r="E40" s="1535" t="n"/>
      <c r="F40" s="1535" t="n"/>
      <c r="G40" s="1535" t="n"/>
      <c r="H40" s="1535" t="n"/>
      <c r="I40" s="1535" t="n"/>
      <c r="J40" s="1535" t="n"/>
      <c r="K40" s="1535" t="n"/>
      <c r="L40" s="1535" t="n"/>
      <c r="M40" s="1535" t="n"/>
      <c r="N40" s="1535" t="n"/>
      <c r="O40" s="1536" t="n"/>
      <c r="P40" s="1536" t="n"/>
      <c r="Q40" s="1536" t="n"/>
      <c r="R40" s="1536" t="n"/>
      <c r="S40" s="1535" t="n"/>
      <c r="T40" s="1536" t="n"/>
      <c r="U40" s="1536" t="n"/>
      <c r="V40" s="1536" t="n"/>
      <c r="W40" s="1536" t="n"/>
      <c r="X40" s="1537">
        <f>X333</f>
        <v/>
      </c>
      <c r="Y40" s="1536" t="n"/>
      <c r="Z40" s="1536" t="n"/>
      <c r="AA40" s="1446">
        <f>AA333</f>
        <v/>
      </c>
      <c r="AB40" s="1446">
        <f>AB333</f>
        <v/>
      </c>
      <c r="AC40" s="1537">
        <f>AC333</f>
        <v/>
      </c>
      <c r="AD40" s="1446">
        <f>AD333</f>
        <v/>
      </c>
      <c r="AE40" s="1446">
        <f>AE333</f>
        <v/>
      </c>
      <c r="AF40" s="1446">
        <f>AF333</f>
        <v/>
      </c>
      <c r="AG40" s="1446">
        <f>AG333</f>
        <v/>
      </c>
      <c r="AH40" s="1537">
        <f>AH333</f>
        <v/>
      </c>
      <c r="AI40" s="1446">
        <f>AI333</f>
        <v/>
      </c>
      <c r="AJ40" s="1446">
        <f>AJ333</f>
        <v/>
      </c>
      <c r="AK40" s="1538">
        <f>AK333</f>
        <v/>
      </c>
      <c r="AL40" s="1536">
        <f>AL7</f>
        <v/>
      </c>
      <c r="AM40" s="1535">
        <f>SUM(AI40,AJ40,AK40,AL40)</f>
        <v/>
      </c>
      <c r="AN40" s="1536">
        <f>AN7</f>
        <v/>
      </c>
      <c r="AO40" s="1536">
        <f>AO7</f>
        <v/>
      </c>
      <c r="AP40" s="1536">
        <f>AP7</f>
        <v/>
      </c>
      <c r="AQ40" s="1536">
        <f>AQ7</f>
        <v/>
      </c>
      <c r="AR40" s="1535">
        <f>SUM(AN40,AO40,AP40,AQ40)</f>
        <v/>
      </c>
      <c r="AS40" s="1535">
        <f>AS7</f>
        <v/>
      </c>
      <c r="AT40" s="1535">
        <f>AT7</f>
        <v/>
      </c>
      <c r="AU40" s="1535">
        <f>AU7</f>
        <v/>
      </c>
      <c r="AV40" s="1446" t="n"/>
    </row>
    <row r="41" hidden="1" outlineLevel="1" ht="14.4" customFormat="1" customHeight="1" s="1418">
      <c r="A41" s="1539" t="inlineStr">
        <is>
          <t>GAAP COGS, mm</t>
        </is>
      </c>
      <c r="B41" s="1528" t="n"/>
      <c r="C41" s="1529" t="n"/>
      <c r="D41" s="1529" t="n"/>
      <c r="E41" s="1529" t="n"/>
      <c r="F41" s="1529" t="n"/>
      <c r="G41" s="1529" t="n"/>
      <c r="H41" s="1529" t="n"/>
      <c r="I41" s="1529" t="n"/>
      <c r="J41" s="1529" t="n"/>
      <c r="K41" s="1529" t="n"/>
      <c r="L41" s="1529" t="n"/>
      <c r="M41" s="1529" t="n"/>
      <c r="N41" s="1529" t="n"/>
      <c r="O41" s="1420" t="n"/>
      <c r="P41" s="1420" t="n"/>
      <c r="Q41" s="1420" t="n"/>
      <c r="R41" s="1420" t="n"/>
      <c r="S41" s="1529" t="n"/>
      <c r="T41" s="1420" t="n"/>
      <c r="U41" s="1420" t="n"/>
      <c r="V41" s="1420" t="n"/>
      <c r="W41" s="1420" t="n"/>
      <c r="X41" s="1540">
        <f>X336</f>
        <v/>
      </c>
      <c r="Y41" s="1420" t="n"/>
      <c r="Z41" s="1420" t="n"/>
      <c r="AA41" s="1422">
        <f>AA336</f>
        <v/>
      </c>
      <c r="AB41" s="1422">
        <f>AB336</f>
        <v/>
      </c>
      <c r="AC41" s="1540">
        <f>AC336</f>
        <v/>
      </c>
      <c r="AD41" s="1422">
        <f>AD336</f>
        <v/>
      </c>
      <c r="AE41" s="1422">
        <f>AE336</f>
        <v/>
      </c>
      <c r="AF41" s="1422">
        <f>AF336</f>
        <v/>
      </c>
      <c r="AG41" s="1422">
        <f>AG336</f>
        <v/>
      </c>
      <c r="AH41" s="1540">
        <f>AH336</f>
        <v/>
      </c>
      <c r="AI41" s="1422">
        <f>AI336</f>
        <v/>
      </c>
      <c r="AJ41" s="1422">
        <f>AJ336</f>
        <v/>
      </c>
      <c r="AK41" s="1541">
        <f>AK336</f>
        <v/>
      </c>
      <c r="AL41" s="1422">
        <f>AL40-AL42</f>
        <v/>
      </c>
      <c r="AM41" s="1540">
        <f>SUM(AI41,AJ41,AK41,AL41)</f>
        <v/>
      </c>
      <c r="AN41" s="1422">
        <f>AN40-AN42</f>
        <v/>
      </c>
      <c r="AO41" s="1422">
        <f>AO40-AO42</f>
        <v/>
      </c>
      <c r="AP41" s="1422">
        <f>AP40-AP42</f>
        <v/>
      </c>
      <c r="AQ41" s="1422">
        <f>AQ40-AQ42</f>
        <v/>
      </c>
      <c r="AR41" s="1540">
        <f>SUM(AN41,AO41,AP41,AQ41)</f>
        <v/>
      </c>
      <c r="AS41" s="1540">
        <f>AS40-AS42</f>
        <v/>
      </c>
      <c r="AT41" s="1540">
        <f>AT40-AT42</f>
        <v/>
      </c>
      <c r="AU41" s="1540">
        <f>AU40-AU42</f>
        <v/>
      </c>
      <c r="AV41" s="1422" t="n"/>
    </row>
    <row r="42" hidden="1" outlineLevel="1" ht="14.4" customFormat="1" customHeight="1" s="1438">
      <c r="A42" s="1542" t="inlineStr">
        <is>
          <t>GAAP Gross Profit, mm</t>
        </is>
      </c>
      <c r="B42" s="1543" t="n"/>
      <c r="C42" s="1544" t="n"/>
      <c r="D42" s="1544" t="n"/>
      <c r="E42" s="1544" t="n"/>
      <c r="F42" s="1544" t="n"/>
      <c r="G42" s="1544" t="n"/>
      <c r="H42" s="1544" t="n"/>
      <c r="I42" s="1544" t="n"/>
      <c r="J42" s="1544" t="n"/>
      <c r="K42" s="1544" t="n"/>
      <c r="L42" s="1544" t="n"/>
      <c r="M42" s="1544" t="n"/>
      <c r="N42" s="1544" t="n"/>
      <c r="O42" s="1545" t="n"/>
      <c r="P42" s="1545" t="n"/>
      <c r="Q42" s="1545" t="n"/>
      <c r="R42" s="1545" t="n"/>
      <c r="S42" s="1544" t="n"/>
      <c r="T42" s="1545" t="n"/>
      <c r="U42" s="1545" t="n"/>
      <c r="V42" s="1545" t="n"/>
      <c r="W42" s="1545" t="n"/>
      <c r="X42" s="1546">
        <f>X40-X41</f>
        <v/>
      </c>
      <c r="Y42" s="1545" t="n"/>
      <c r="Z42" s="1545" t="n"/>
      <c r="AA42" s="1547">
        <f>AA40-AA41</f>
        <v/>
      </c>
      <c r="AB42" s="1547">
        <f>AB40-AB41</f>
        <v/>
      </c>
      <c r="AC42" s="1546">
        <f>AC40-AC41</f>
        <v/>
      </c>
      <c r="AD42" s="1547">
        <f>AD40-AD41</f>
        <v/>
      </c>
      <c r="AE42" s="1547">
        <f>AE40-AE41</f>
        <v/>
      </c>
      <c r="AF42" s="1547">
        <f>AF40-AF41</f>
        <v/>
      </c>
      <c r="AG42" s="1547">
        <f>AG40-AG41</f>
        <v/>
      </c>
      <c r="AH42" s="1546">
        <f>AH40-AH41</f>
        <v/>
      </c>
      <c r="AI42" s="1547">
        <f>AI40-AI41</f>
        <v/>
      </c>
      <c r="AJ42" s="1547">
        <f>AJ40-AJ41</f>
        <v/>
      </c>
      <c r="AK42" s="1548">
        <f>AK40-AK41</f>
        <v/>
      </c>
      <c r="AL42" s="1547">
        <f>+AL51+AL47+AL49+AL50</f>
        <v/>
      </c>
      <c r="AM42" s="1546">
        <f>AM40-AM41</f>
        <v/>
      </c>
      <c r="AN42" s="1547">
        <f>+AN51+AN47+AN49+AN50</f>
        <v/>
      </c>
      <c r="AO42" s="1547">
        <f>+AO51+AO47+AO49+AO50</f>
        <v/>
      </c>
      <c r="AP42" s="1547">
        <f>+AP51+AP47+AP49+AP50</f>
        <v/>
      </c>
      <c r="AQ42" s="1547">
        <f>+AQ51+AQ47+AQ49+AQ50</f>
        <v/>
      </c>
      <c r="AR42" s="1546">
        <f>AR40-AR41</f>
        <v/>
      </c>
      <c r="AS42" s="1546">
        <f>+AS51+AS47+AS49+AS50</f>
        <v/>
      </c>
      <c r="AT42" s="1546">
        <f>+AT51+AT47+AT49+AT50</f>
        <v/>
      </c>
      <c r="AU42" s="1546">
        <f>+AU51+AU47+AU49+AU50</f>
        <v/>
      </c>
      <c r="AV42" s="1446" t="n"/>
    </row>
    <row r="43" hidden="1" outlineLevel="1" ht="14.4" customFormat="1" customHeight="1" s="1456">
      <c r="A43" s="1457" t="inlineStr">
        <is>
          <t>Y/Y growth in GAAP Gross Profit, %</t>
        </is>
      </c>
      <c r="B43" s="1549" t="n"/>
      <c r="C43" s="1550" t="n"/>
      <c r="D43" s="1550" t="n"/>
      <c r="E43" s="1550" t="n"/>
      <c r="F43" s="1550" t="n"/>
      <c r="G43" s="1550" t="n"/>
      <c r="H43" s="1550" t="n"/>
      <c r="I43" s="1550" t="n"/>
      <c r="J43" s="1550" t="n"/>
      <c r="K43" s="1550" t="n"/>
      <c r="L43" s="1550" t="n"/>
      <c r="M43" s="1550" t="n"/>
      <c r="N43" s="1550" t="n"/>
      <c r="O43" s="1551" t="n"/>
      <c r="P43" s="1551" t="n"/>
      <c r="Q43" s="1551" t="n"/>
      <c r="R43" s="1551" t="n"/>
      <c r="S43" s="1550" t="n"/>
      <c r="T43" s="1551" t="n"/>
      <c r="U43" s="1551" t="n"/>
      <c r="V43" s="1551" t="n"/>
      <c r="W43" s="1551" t="n"/>
      <c r="X43" s="1550" t="n"/>
      <c r="Y43" s="1551" t="n"/>
      <c r="Z43" s="1551" t="n"/>
      <c r="AA43" s="1551" t="n"/>
      <c r="AB43" s="1551" t="n"/>
      <c r="AC43" s="1552">
        <f>AC42/X42-1</f>
        <v/>
      </c>
      <c r="AD43" s="1551" t="n"/>
      <c r="AE43" s="1551" t="n"/>
      <c r="AF43" s="1551" t="n"/>
      <c r="AG43" s="1463">
        <f>AG42/AB42-1</f>
        <v/>
      </c>
      <c r="AH43" s="1552">
        <f>AH42/AC42-1</f>
        <v/>
      </c>
      <c r="AI43" s="1551">
        <f>AI42/AD42-1</f>
        <v/>
      </c>
      <c r="AJ43" s="1551">
        <f>AJ42/AE42-1</f>
        <v/>
      </c>
      <c r="AK43" s="1553">
        <f>AK42/AF42-1</f>
        <v/>
      </c>
      <c r="AL43" s="1463">
        <f>AL42/AG42-1</f>
        <v/>
      </c>
      <c r="AM43" s="1552">
        <f>AM42/AH42-1</f>
        <v/>
      </c>
      <c r="AN43" s="1463">
        <f>AN42/AI42-1</f>
        <v/>
      </c>
      <c r="AO43" s="1463">
        <f>AO42/AJ42-1</f>
        <v/>
      </c>
      <c r="AP43" s="1463">
        <f>AP42/AK42-1</f>
        <v/>
      </c>
      <c r="AQ43" s="1463">
        <f>AQ42/AL42-1</f>
        <v/>
      </c>
      <c r="AR43" s="1552">
        <f>AR42/AM42-1</f>
        <v/>
      </c>
      <c r="AS43" s="1552">
        <f>AS42/AR42-1</f>
        <v/>
      </c>
      <c r="AT43" s="1552">
        <f>AT42/AS42-1</f>
        <v/>
      </c>
      <c r="AU43" s="1552">
        <f>AU42/AT42-1</f>
        <v/>
      </c>
      <c r="AV43" s="1463" t="n"/>
    </row>
    <row r="44" hidden="1" outlineLevel="1" ht="14.4" customFormat="1" customHeight="1" s="1432">
      <c r="A44" s="1473" t="inlineStr">
        <is>
          <t>GAAP Gross Margin, %</t>
        </is>
      </c>
      <c r="B44" s="1554" t="n"/>
      <c r="C44" s="1555" t="n"/>
      <c r="D44" s="1555" t="n"/>
      <c r="E44" s="1555" t="n"/>
      <c r="F44" s="1555" t="n"/>
      <c r="G44" s="1555" t="n"/>
      <c r="H44" s="1555" t="n"/>
      <c r="I44" s="1555" t="n"/>
      <c r="J44" s="1555" t="n"/>
      <c r="K44" s="1555" t="n"/>
      <c r="L44" s="1555" t="n"/>
      <c r="M44" s="1555" t="n"/>
      <c r="N44" s="1555" t="n"/>
      <c r="O44" s="1556" t="n"/>
      <c r="P44" s="1556" t="n"/>
      <c r="Q44" s="1556" t="n"/>
      <c r="R44" s="1556" t="n"/>
      <c r="S44" s="1555" t="n"/>
      <c r="T44" s="1556" t="n"/>
      <c r="U44" s="1556" t="n"/>
      <c r="V44" s="1556" t="n"/>
      <c r="W44" s="1556" t="n"/>
      <c r="X44" s="1557">
        <f>X42/X40</f>
        <v/>
      </c>
      <c r="Y44" s="1556" t="n"/>
      <c r="Z44" s="1556" t="n"/>
      <c r="AA44" s="1437">
        <f>AA42/AA40</f>
        <v/>
      </c>
      <c r="AB44" s="1437">
        <f>AB42/AB40</f>
        <v/>
      </c>
      <c r="AC44" s="1557">
        <f>AC42/AC40</f>
        <v/>
      </c>
      <c r="AD44" s="1437">
        <f>AD42/AD40</f>
        <v/>
      </c>
      <c r="AE44" s="1437">
        <f>AE42/AE40</f>
        <v/>
      </c>
      <c r="AF44" s="1437">
        <f>AF42/AF40</f>
        <v/>
      </c>
      <c r="AG44" s="1437">
        <f>AG42/AG40</f>
        <v/>
      </c>
      <c r="AH44" s="1557">
        <f>AH42/AH40</f>
        <v/>
      </c>
      <c r="AI44" s="1437">
        <f>AI42/AI40</f>
        <v/>
      </c>
      <c r="AJ44" s="1437">
        <f>AJ42/AJ40</f>
        <v/>
      </c>
      <c r="AK44" s="1558">
        <f>AK42/AK40</f>
        <v/>
      </c>
      <c r="AL44" s="1437">
        <f>AL42/AL40</f>
        <v/>
      </c>
      <c r="AM44" s="1557">
        <f>AM42/AM40</f>
        <v/>
      </c>
      <c r="AN44" s="1437">
        <f>AN42/AN40</f>
        <v/>
      </c>
      <c r="AO44" s="1437">
        <f>AO42/AO40</f>
        <v/>
      </c>
      <c r="AP44" s="1437">
        <f>AP42/AP40</f>
        <v/>
      </c>
      <c r="AQ44" s="1437">
        <f>AQ42/AQ40</f>
        <v/>
      </c>
      <c r="AR44" s="1557">
        <f>AR42/AR40</f>
        <v/>
      </c>
      <c r="AS44" s="1557">
        <f>AS42/AS40</f>
        <v/>
      </c>
      <c r="AT44" s="1557">
        <f>AT42/AT40</f>
        <v/>
      </c>
      <c r="AU44" s="1557">
        <f>AU42/AU40</f>
        <v/>
      </c>
      <c r="AV44" s="1437" t="n"/>
    </row>
    <row r="45" hidden="1" outlineLevel="1" ht="14.4" customFormat="1" customHeight="1" s="1480">
      <c r="A45" s="1559" t="inlineStr">
        <is>
          <t>Y/Y improvement in GAAP Gross Margin, bps</t>
        </is>
      </c>
      <c r="B45" s="1560" t="n"/>
      <c r="C45" s="1561" t="n"/>
      <c r="D45" s="1561" t="n"/>
      <c r="E45" s="1561" t="n"/>
      <c r="F45" s="1561" t="n"/>
      <c r="G45" s="1561" t="n"/>
      <c r="H45" s="1561" t="n"/>
      <c r="I45" s="1561" t="n"/>
      <c r="J45" s="1561" t="n"/>
      <c r="K45" s="1561" t="n"/>
      <c r="L45" s="1561" t="n"/>
      <c r="M45" s="1561" t="n"/>
      <c r="N45" s="1561" t="n"/>
      <c r="O45" s="1562" t="n"/>
      <c r="P45" s="1562" t="n"/>
      <c r="Q45" s="1562" t="n"/>
      <c r="R45" s="1562" t="n"/>
      <c r="S45" s="1561" t="n"/>
      <c r="T45" s="1562" t="n"/>
      <c r="U45" s="1562" t="n"/>
      <c r="V45" s="1562" t="n"/>
      <c r="W45" s="1562" t="n"/>
      <c r="X45" s="1561" t="n"/>
      <c r="Y45" s="1562" t="n"/>
      <c r="Z45" s="1562" t="n"/>
      <c r="AA45" s="1562" t="n"/>
      <c r="AB45" s="1562" t="n"/>
      <c r="AC45" s="1561">
        <f>(AC44-X44)*10000</f>
        <v/>
      </c>
      <c r="AD45" s="1562" t="n"/>
      <c r="AE45" s="1562" t="n"/>
      <c r="AF45" s="1562" t="n"/>
      <c r="AG45" s="1562">
        <f>(AG44-AB44)*10000</f>
        <v/>
      </c>
      <c r="AH45" s="1561">
        <f>(AH44-AC44)*10000</f>
        <v/>
      </c>
      <c r="AI45" s="1562">
        <f>(AI44-AD44)*10000</f>
        <v/>
      </c>
      <c r="AJ45" s="1562">
        <f>(AJ44-AE44)*10000</f>
        <v/>
      </c>
      <c r="AK45" s="1563">
        <f>(AK44-AF44)*10000</f>
        <v/>
      </c>
      <c r="AL45" s="1562">
        <f>(AL44-AG44)*10000</f>
        <v/>
      </c>
      <c r="AM45" s="1561">
        <f>(AM44-AH44)*10000</f>
        <v/>
      </c>
      <c r="AN45" s="1562">
        <f>(AN44-AI44)*10000</f>
        <v/>
      </c>
      <c r="AO45" s="1562">
        <f>(AO44-AJ44)*10000</f>
        <v/>
      </c>
      <c r="AP45" s="1562">
        <f>(AP44-AK44)*10000</f>
        <v/>
      </c>
      <c r="AQ45" s="1562">
        <f>(AQ44-AL44)*10000</f>
        <v/>
      </c>
      <c r="AR45" s="1561">
        <f>(AR44-AM44)*10000</f>
        <v/>
      </c>
      <c r="AS45" s="1561">
        <f>(AS44-AR44)*10000</f>
        <v/>
      </c>
      <c r="AT45" s="1561">
        <f>(AT44-AS44)*10000</f>
        <v/>
      </c>
      <c r="AU45" s="1561">
        <f>(AU44-AT44)*10000</f>
        <v/>
      </c>
      <c r="AV45" s="1488" t="n"/>
    </row>
    <row r="46" hidden="1" outlineLevel="1" ht="14.4" customFormat="1" customHeight="1" s="1418">
      <c r="A46" s="1467" t="n"/>
      <c r="B46" s="1528" t="n"/>
      <c r="C46" s="1529" t="n"/>
      <c r="D46" s="1529" t="n"/>
      <c r="E46" s="1529" t="n"/>
      <c r="F46" s="1529" t="n"/>
      <c r="G46" s="1529" t="n"/>
      <c r="H46" s="1529" t="n"/>
      <c r="I46" s="1529" t="n"/>
      <c r="J46" s="1529" t="n"/>
      <c r="K46" s="1529" t="n"/>
      <c r="L46" s="1529" t="n"/>
      <c r="M46" s="1529" t="n"/>
      <c r="N46" s="1529" t="n"/>
      <c r="O46" s="1420" t="n"/>
      <c r="P46" s="1420" t="n"/>
      <c r="Q46" s="1420" t="n"/>
      <c r="R46" s="1420" t="n"/>
      <c r="S46" s="1529" t="n"/>
      <c r="T46" s="1420" t="n"/>
      <c r="U46" s="1420" t="n"/>
      <c r="V46" s="1420" t="n"/>
      <c r="W46" s="1420" t="n"/>
      <c r="X46" s="1529" t="n"/>
      <c r="Y46" s="1420" t="n"/>
      <c r="Z46" s="1420" t="n"/>
      <c r="AA46" s="1420" t="n"/>
      <c r="AB46" s="1420" t="n"/>
      <c r="AC46" s="1529" t="n"/>
      <c r="AD46" s="1420" t="n"/>
      <c r="AE46" s="1420" t="n"/>
      <c r="AF46" s="1420" t="n"/>
      <c r="AG46" s="1420" t="n"/>
      <c r="AH46" s="1529" t="n"/>
      <c r="AI46" s="1420" t="n"/>
      <c r="AJ46" s="1420" t="n"/>
      <c r="AK46" s="1421" t="n"/>
      <c r="AL46" s="1420" t="n"/>
      <c r="AM46" s="1529" t="n"/>
      <c r="AN46" s="1420" t="n"/>
      <c r="AO46" s="1420" t="n"/>
      <c r="AP46" s="1420" t="n"/>
      <c r="AQ46" s="1420" t="n"/>
      <c r="AR46" s="1529" t="n"/>
      <c r="AS46" s="1529" t="n"/>
      <c r="AT46" s="1529" t="n"/>
      <c r="AU46" s="1529" t="n"/>
      <c r="AV46" s="1422" t="n"/>
    </row>
    <row r="47" hidden="1" outlineLevel="1" ht="14.4" customFormat="1" customHeight="1" s="1418">
      <c r="A47" s="1467" t="inlineStr">
        <is>
          <t>SBC COGS, mm</t>
        </is>
      </c>
      <c r="B47" s="1528" t="n"/>
      <c r="C47" s="1529" t="n"/>
      <c r="D47" s="1529" t="n"/>
      <c r="E47" s="1529" t="n"/>
      <c r="F47" s="1529" t="n"/>
      <c r="G47" s="1529" t="n"/>
      <c r="H47" s="1529" t="n"/>
      <c r="I47" s="1529" t="n"/>
      <c r="J47" s="1529" t="n"/>
      <c r="K47" s="1529" t="n"/>
      <c r="L47" s="1529" t="n"/>
      <c r="M47" s="1529" t="n"/>
      <c r="N47" s="1529" t="n"/>
      <c r="O47" s="1420" t="n"/>
      <c r="P47" s="1420" t="n"/>
      <c r="Q47" s="1420" t="n"/>
      <c r="R47" s="1420" t="n"/>
      <c r="S47" s="1529" t="n"/>
      <c r="T47" s="1420" t="n"/>
      <c r="U47" s="1420" t="n"/>
      <c r="V47" s="1420" t="n"/>
      <c r="W47" s="1420" t="n"/>
      <c r="X47" s="1540">
        <f>X337</f>
        <v/>
      </c>
      <c r="Y47" s="1420" t="n"/>
      <c r="Z47" s="1420" t="n"/>
      <c r="AA47" s="1422">
        <f>AA337</f>
        <v/>
      </c>
      <c r="AB47" s="1422">
        <f>AB337</f>
        <v/>
      </c>
      <c r="AC47" s="1540">
        <f>AC337</f>
        <v/>
      </c>
      <c r="AD47" s="1422">
        <f>AD337</f>
        <v/>
      </c>
      <c r="AE47" s="1422">
        <f>AE337</f>
        <v/>
      </c>
      <c r="AF47" s="1422">
        <f>AF337</f>
        <v/>
      </c>
      <c r="AG47" s="1422">
        <f>AG337</f>
        <v/>
      </c>
      <c r="AH47" s="1540">
        <f>AH337</f>
        <v/>
      </c>
      <c r="AI47" s="1422">
        <f>AI337</f>
        <v/>
      </c>
      <c r="AJ47" s="1422">
        <f>AJ337</f>
        <v/>
      </c>
      <c r="AK47" s="1541">
        <f>AK337</f>
        <v/>
      </c>
      <c r="AL47" s="1422">
        <f>-AL48*AL40</f>
        <v/>
      </c>
      <c r="AM47" s="1540">
        <f>SUM(AI47,AJ47,AK47,AL47)</f>
        <v/>
      </c>
      <c r="AN47" s="1422">
        <f>-AN48*AN40</f>
        <v/>
      </c>
      <c r="AO47" s="1422">
        <f>-AO48*AO40</f>
        <v/>
      </c>
      <c r="AP47" s="1422">
        <f>-AP48*AP40</f>
        <v/>
      </c>
      <c r="AQ47" s="1422">
        <f>-AQ48*AQ40</f>
        <v/>
      </c>
      <c r="AR47" s="1540">
        <f>SUM(AN47,AO47,AP47,AQ47)</f>
        <v/>
      </c>
      <c r="AS47" s="1540">
        <f>-AS48*AS40</f>
        <v/>
      </c>
      <c r="AT47" s="1540">
        <f>-AT48*AT40</f>
        <v/>
      </c>
      <c r="AU47" s="1540">
        <f>-AU48*AU40</f>
        <v/>
      </c>
      <c r="AV47" s="1422" t="n"/>
    </row>
    <row r="48" hidden="1" outlineLevel="1" ht="14.4" customFormat="1" customHeight="1" s="1432">
      <c r="A48" s="1564" t="inlineStr">
        <is>
          <t>SBC COGS as % of revenue, %</t>
        </is>
      </c>
      <c r="B48" s="1554" t="n"/>
      <c r="C48" s="1555" t="n"/>
      <c r="D48" s="1555" t="n"/>
      <c r="E48" s="1555" t="n"/>
      <c r="F48" s="1555" t="n"/>
      <c r="G48" s="1555" t="n"/>
      <c r="H48" s="1555" t="n"/>
      <c r="I48" s="1555" t="n"/>
      <c r="J48" s="1555" t="n"/>
      <c r="K48" s="1555" t="n"/>
      <c r="L48" s="1555" t="n"/>
      <c r="M48" s="1555" t="n"/>
      <c r="N48" s="1555" t="n"/>
      <c r="O48" s="1556" t="n"/>
      <c r="P48" s="1556" t="n"/>
      <c r="Q48" s="1556" t="n"/>
      <c r="R48" s="1556" t="n"/>
      <c r="S48" s="1555" t="n"/>
      <c r="T48" s="1556" t="n"/>
      <c r="U48" s="1556" t="n"/>
      <c r="V48" s="1556" t="n"/>
      <c r="W48" s="1556" t="n"/>
      <c r="X48" s="1555">
        <f>-X47/X40</f>
        <v/>
      </c>
      <c r="Y48" s="1556" t="n"/>
      <c r="Z48" s="1556" t="n"/>
      <c r="AA48" s="1556">
        <f>-AA47/AA40</f>
        <v/>
      </c>
      <c r="AB48" s="1556">
        <f>-AB47/AB40</f>
        <v/>
      </c>
      <c r="AC48" s="1555">
        <f>-AC47/AC40</f>
        <v/>
      </c>
      <c r="AD48" s="1556">
        <f>-AD47/AD40</f>
        <v/>
      </c>
      <c r="AE48" s="1556">
        <f>-AE47/AE40</f>
        <v/>
      </c>
      <c r="AF48" s="1556">
        <f>-AF47/AF40</f>
        <v/>
      </c>
      <c r="AG48" s="1556">
        <f>-AG47/AG40</f>
        <v/>
      </c>
      <c r="AH48" s="1555">
        <f>-AH47/AH40</f>
        <v/>
      </c>
      <c r="AI48" s="1556">
        <f>-AI47/AI40</f>
        <v/>
      </c>
      <c r="AJ48" s="1556">
        <f>-AJ47/AJ40</f>
        <v/>
      </c>
      <c r="AK48" s="1565">
        <f>-AK47/AK40</f>
        <v/>
      </c>
      <c r="AL48" s="1566" t="n">
        <v>0.003</v>
      </c>
      <c r="AM48" s="1555">
        <f>-AM47/AM40</f>
        <v/>
      </c>
      <c r="AN48" s="1566" t="n">
        <v>0.003</v>
      </c>
      <c r="AO48" s="1566" t="n">
        <v>0.003</v>
      </c>
      <c r="AP48" s="1566" t="n">
        <v>0.003</v>
      </c>
      <c r="AQ48" s="1566" t="n">
        <v>0.003</v>
      </c>
      <c r="AR48" s="1555">
        <f>-AR47/AR40</f>
        <v/>
      </c>
      <c r="AS48" s="1567" t="n">
        <v>0.003</v>
      </c>
      <c r="AT48" s="1567" t="n">
        <v>0.003</v>
      </c>
      <c r="AU48" s="1567" t="n">
        <v>0.003</v>
      </c>
      <c r="AV48" s="1437" t="n"/>
    </row>
    <row r="49" hidden="1" outlineLevel="1" ht="14.4" customFormat="1" customHeight="1" s="1418">
      <c r="A49" s="1467" t="inlineStr">
        <is>
          <t>Amortization of Intangibles COGS, mm</t>
        </is>
      </c>
      <c r="B49" s="1528" t="n"/>
      <c r="C49" s="1529" t="n"/>
      <c r="D49" s="1529" t="n"/>
      <c r="E49" s="1529" t="n"/>
      <c r="F49" s="1529" t="n"/>
      <c r="G49" s="1529" t="n"/>
      <c r="H49" s="1529" t="n"/>
      <c r="I49" s="1529" t="n"/>
      <c r="J49" s="1529" t="n"/>
      <c r="K49" s="1529" t="n"/>
      <c r="L49" s="1529" t="n"/>
      <c r="M49" s="1529" t="n"/>
      <c r="N49" s="1529" t="n"/>
      <c r="O49" s="1420" t="n"/>
      <c r="P49" s="1420" t="n"/>
      <c r="Q49" s="1420" t="n"/>
      <c r="R49" s="1420" t="n"/>
      <c r="S49" s="1529" t="n"/>
      <c r="T49" s="1420" t="n"/>
      <c r="U49" s="1420" t="n"/>
      <c r="V49" s="1420" t="n"/>
      <c r="W49" s="1420" t="n"/>
      <c r="X49" s="1529" t="n"/>
      <c r="Y49" s="1420" t="n"/>
      <c r="Z49" s="1420" t="n"/>
      <c r="AA49" s="1420" t="n"/>
      <c r="AB49" s="1420" t="n"/>
      <c r="AC49" s="1529" t="n"/>
      <c r="AD49" s="1420" t="n"/>
      <c r="AE49" s="1420" t="n"/>
      <c r="AF49" s="1420" t="n"/>
      <c r="AG49" s="1420" t="n"/>
      <c r="AH49" s="1529" t="n"/>
      <c r="AI49" s="1420" t="n"/>
      <c r="AJ49" s="1420" t="n"/>
      <c r="AK49" s="1421" t="n"/>
      <c r="AL49" s="1420" t="n"/>
      <c r="AM49" s="1529">
        <f>SUM(AI49,AJ49,AK49,AL49)</f>
        <v/>
      </c>
      <c r="AN49" s="1420" t="n"/>
      <c r="AO49" s="1420" t="n"/>
      <c r="AP49" s="1420" t="n"/>
      <c r="AQ49" s="1420" t="n"/>
      <c r="AR49" s="1529">
        <f>SUM(AN49,AO49,AP49,AQ49)</f>
        <v/>
      </c>
      <c r="AS49" s="1529" t="n"/>
      <c r="AT49" s="1529" t="n"/>
      <c r="AU49" s="1529" t="n"/>
      <c r="AV49" s="1422" t="n"/>
    </row>
    <row r="50" hidden="1" outlineLevel="1" ht="14.4" customFormat="1" customHeight="1" s="1418">
      <c r="A50" s="1467" t="inlineStr">
        <is>
          <t>Other Adjustments COGS, mm</t>
        </is>
      </c>
      <c r="B50" s="1528" t="n"/>
      <c r="C50" s="1529" t="n"/>
      <c r="D50" s="1529" t="n"/>
      <c r="E50" s="1529" t="n"/>
      <c r="F50" s="1529" t="n"/>
      <c r="G50" s="1529" t="n"/>
      <c r="H50" s="1529" t="n"/>
      <c r="I50" s="1529" t="n"/>
      <c r="J50" s="1529" t="n"/>
      <c r="K50" s="1529" t="n"/>
      <c r="L50" s="1529" t="n"/>
      <c r="M50" s="1529" t="n"/>
      <c r="N50" s="1529" t="n"/>
      <c r="O50" s="1420" t="n"/>
      <c r="P50" s="1420" t="n"/>
      <c r="Q50" s="1420" t="n"/>
      <c r="R50" s="1420" t="n"/>
      <c r="S50" s="1529" t="n"/>
      <c r="T50" s="1420" t="n"/>
      <c r="U50" s="1420" t="n"/>
      <c r="V50" s="1420" t="n"/>
      <c r="W50" s="1420" t="n"/>
      <c r="X50" s="1529" t="n"/>
      <c r="Y50" s="1420" t="n"/>
      <c r="Z50" s="1420" t="n"/>
      <c r="AA50" s="1420" t="n"/>
      <c r="AB50" s="1420" t="n"/>
      <c r="AC50" s="1529" t="n"/>
      <c r="AD50" s="1420" t="n"/>
      <c r="AE50" s="1420" t="n"/>
      <c r="AF50" s="1420" t="n"/>
      <c r="AG50" s="1420" t="n"/>
      <c r="AH50" s="1529" t="n"/>
      <c r="AI50" s="1420" t="n"/>
      <c r="AJ50" s="1420" t="n"/>
      <c r="AK50" s="1421" t="n"/>
      <c r="AL50" s="1420" t="n"/>
      <c r="AM50" s="1529">
        <f>SUM(AI50,AJ50,AK50,AL50)</f>
        <v/>
      </c>
      <c r="AN50" s="1420" t="n"/>
      <c r="AO50" s="1420" t="n"/>
      <c r="AP50" s="1420" t="n"/>
      <c r="AQ50" s="1420" t="n"/>
      <c r="AR50" s="1529">
        <f>SUM(AN50,AO50,AP50,AQ50)</f>
        <v/>
      </c>
      <c r="AS50" s="1529" t="n"/>
      <c r="AT50" s="1529" t="n"/>
      <c r="AU50" s="1529" t="n"/>
      <c r="AV50" s="1422" t="n"/>
    </row>
    <row r="51" collapsed="1" ht="14.4" customFormat="1" customHeight="1" s="1438">
      <c r="A51" s="1568" t="inlineStr">
        <is>
          <t>Non-GAAP Gross Profit, mm</t>
        </is>
      </c>
      <c r="B51" s="1543" t="n"/>
      <c r="C51" s="1544" t="n"/>
      <c r="D51" s="1544" t="n"/>
      <c r="E51" s="1544" t="n"/>
      <c r="F51" s="1544" t="n"/>
      <c r="G51" s="1544" t="n"/>
      <c r="H51" s="1544" t="n"/>
      <c r="I51" s="1544" t="n"/>
      <c r="J51" s="1544" t="n"/>
      <c r="K51" s="1544" t="n"/>
      <c r="L51" s="1544" t="n"/>
      <c r="M51" s="1544" t="n"/>
      <c r="N51" s="1544" t="n"/>
      <c r="O51" s="1545" t="n"/>
      <c r="P51" s="1545" t="n"/>
      <c r="Q51" s="1545" t="n"/>
      <c r="R51" s="1545" t="n"/>
      <c r="S51" s="1544" t="n"/>
      <c r="T51" s="1545" t="n"/>
      <c r="U51" s="1545" t="n"/>
      <c r="V51" s="1545" t="n"/>
      <c r="W51" s="1545" t="n"/>
      <c r="X51" s="1546">
        <f>X42-X47-X49-X50</f>
        <v/>
      </c>
      <c r="Y51" s="1545" t="n"/>
      <c r="Z51" s="1545" t="n"/>
      <c r="AA51" s="1547">
        <f>AA42-AA47-AA49-AA50</f>
        <v/>
      </c>
      <c r="AB51" s="1547">
        <f>AB42-AB47-AB49-AB50</f>
        <v/>
      </c>
      <c r="AC51" s="1546">
        <f>AC42-AC47-AC49-AC50</f>
        <v/>
      </c>
      <c r="AD51" s="1547">
        <f>AD42-AD47-AD49-AD50</f>
        <v/>
      </c>
      <c r="AE51" s="1547">
        <f>AE42-AE47-AE49-AE50</f>
        <v/>
      </c>
      <c r="AF51" s="1547">
        <f>AF42-AF47-AF49-AF50</f>
        <v/>
      </c>
      <c r="AG51" s="1547">
        <f>AG42-AG47-AG49-AG50</f>
        <v/>
      </c>
      <c r="AH51" s="1546">
        <f>AH42-AH47-AH49-AH50</f>
        <v/>
      </c>
      <c r="AI51" s="1547">
        <f>AI42-AI47-AI49-AI50</f>
        <v/>
      </c>
      <c r="AJ51" s="1547">
        <f>AJ42-AJ47-AJ49-AJ50</f>
        <v/>
      </c>
      <c r="AK51" s="1548">
        <f>AK42-AK47-AK49-AK50</f>
        <v/>
      </c>
      <c r="AL51" s="1547">
        <f>AL53*AL40</f>
        <v/>
      </c>
      <c r="AM51" s="1546">
        <f>AM42-AM47-AM49-AM50</f>
        <v/>
      </c>
      <c r="AN51" s="1547">
        <f>AN53*AN40</f>
        <v/>
      </c>
      <c r="AO51" s="1547">
        <f>AO53*AO40</f>
        <v/>
      </c>
      <c r="AP51" s="1547">
        <f>AP53*AP40</f>
        <v/>
      </c>
      <c r="AQ51" s="1547">
        <f>AQ53*AQ40</f>
        <v/>
      </c>
      <c r="AR51" s="1546">
        <f>AR42-AR47-AR49-AR50</f>
        <v/>
      </c>
      <c r="AS51" s="1546">
        <f>AS53*AS40</f>
        <v/>
      </c>
      <c r="AT51" s="1546">
        <f>AT53*AT40</f>
        <v/>
      </c>
      <c r="AU51" s="1546">
        <f>AU53*AU40</f>
        <v/>
      </c>
      <c r="AV51" s="1446" t="n"/>
    </row>
    <row r="52" ht="14.4" customFormat="1" customHeight="1" s="1438">
      <c r="A52" s="1569" t="inlineStr">
        <is>
          <t>Y/Y Non-GAAP Gross Profit growth, %</t>
        </is>
      </c>
      <c r="B52" s="1570" t="n"/>
      <c r="C52" s="1550" t="n"/>
      <c r="D52" s="1550" t="n"/>
      <c r="E52" s="1550" t="n"/>
      <c r="F52" s="1550" t="n"/>
      <c r="G52" s="1550" t="n"/>
      <c r="H52" s="1550" t="n"/>
      <c r="I52" s="1550" t="n"/>
      <c r="J52" s="1550" t="n"/>
      <c r="K52" s="1550" t="n"/>
      <c r="L52" s="1550" t="n"/>
      <c r="M52" s="1550" t="n"/>
      <c r="N52" s="1550" t="n"/>
      <c r="O52" s="1551" t="n"/>
      <c r="P52" s="1551" t="n"/>
      <c r="Q52" s="1551" t="n"/>
      <c r="R52" s="1551" t="n"/>
      <c r="S52" s="1550" t="n"/>
      <c r="T52" s="1551" t="n"/>
      <c r="U52" s="1551" t="n"/>
      <c r="V52" s="1551" t="n"/>
      <c r="W52" s="1551" t="n"/>
      <c r="X52" s="1550" t="n"/>
      <c r="Y52" s="1551" t="n"/>
      <c r="Z52" s="1551" t="n"/>
      <c r="AA52" s="1551" t="n"/>
      <c r="AB52" s="1551" t="n"/>
      <c r="AC52" s="1552">
        <f>AC51/X51-1</f>
        <v/>
      </c>
      <c r="AD52" s="1551" t="n"/>
      <c r="AE52" s="1551" t="n"/>
      <c r="AF52" s="1551" t="n"/>
      <c r="AG52" s="1463">
        <f>AG51/AB51-1</f>
        <v/>
      </c>
      <c r="AH52" s="1552">
        <f>AH51/AC51-1</f>
        <v/>
      </c>
      <c r="AI52" s="1551">
        <f>AI51/AD51-1</f>
        <v/>
      </c>
      <c r="AJ52" s="1551">
        <f>AJ51/AE51-1</f>
        <v/>
      </c>
      <c r="AK52" s="1553">
        <f>AK51/AF51-1</f>
        <v/>
      </c>
      <c r="AL52" s="1463">
        <f>AL51/AG51-1</f>
        <v/>
      </c>
      <c r="AM52" s="1552">
        <f>AM51/AH51-1</f>
        <v/>
      </c>
      <c r="AN52" s="1463">
        <f>AN51/AI51-1</f>
        <v/>
      </c>
      <c r="AO52" s="1463">
        <f>AO51/AJ51-1</f>
        <v/>
      </c>
      <c r="AP52" s="1463">
        <f>AP51/AK51-1</f>
        <v/>
      </c>
      <c r="AQ52" s="1463">
        <f>AQ51/AL51-1</f>
        <v/>
      </c>
      <c r="AR52" s="1552">
        <f>AR51/AM51-1</f>
        <v/>
      </c>
      <c r="AS52" s="1552">
        <f>AS51/AR51-1</f>
        <v/>
      </c>
      <c r="AT52" s="1552">
        <f>AT51/AS51-1</f>
        <v/>
      </c>
      <c r="AU52" s="1552">
        <f>AU51/AT51-1</f>
        <v/>
      </c>
      <c r="AV52" s="1446" t="n"/>
    </row>
    <row r="53" ht="14.4" customFormat="1" customHeight="1" s="1432">
      <c r="A53" s="1571" t="inlineStr">
        <is>
          <t>Non-GAAP Gross Margin, %</t>
        </is>
      </c>
      <c r="B53" s="1554" t="n"/>
      <c r="C53" s="1555" t="n"/>
      <c r="D53" s="1555" t="n"/>
      <c r="E53" s="1555" t="n"/>
      <c r="F53" s="1555" t="n"/>
      <c r="G53" s="1555" t="n"/>
      <c r="H53" s="1555" t="n"/>
      <c r="I53" s="1555" t="n"/>
      <c r="J53" s="1555" t="n"/>
      <c r="K53" s="1555" t="n"/>
      <c r="L53" s="1555" t="n"/>
      <c r="M53" s="1555" t="n"/>
      <c r="N53" s="1555" t="n"/>
      <c r="O53" s="1556" t="n"/>
      <c r="P53" s="1556" t="n"/>
      <c r="Q53" s="1556" t="n"/>
      <c r="R53" s="1556" t="n"/>
      <c r="S53" s="1555" t="n"/>
      <c r="T53" s="1556" t="n"/>
      <c r="U53" s="1556" t="n"/>
      <c r="V53" s="1556" t="n"/>
      <c r="W53" s="1556" t="n"/>
      <c r="X53" s="1557">
        <f>X51/X40</f>
        <v/>
      </c>
      <c r="Y53" s="1556" t="n"/>
      <c r="Z53" s="1556" t="n"/>
      <c r="AA53" s="1437">
        <f>AA51/AA40</f>
        <v/>
      </c>
      <c r="AB53" s="1437">
        <f>AB51/AB40</f>
        <v/>
      </c>
      <c r="AC53" s="1557">
        <f>AC51/AC40</f>
        <v/>
      </c>
      <c r="AD53" s="1437">
        <f>AD51/AD40</f>
        <v/>
      </c>
      <c r="AE53" s="1437">
        <f>AE51/AE40</f>
        <v/>
      </c>
      <c r="AF53" s="1437">
        <f>AF51/AF40</f>
        <v/>
      </c>
      <c r="AG53" s="1437">
        <f>AG51/AG40</f>
        <v/>
      </c>
      <c r="AH53" s="1557">
        <f>AH51/AH40</f>
        <v/>
      </c>
      <c r="AI53" s="1437">
        <f>AI51/AI40</f>
        <v/>
      </c>
      <c r="AJ53" s="1437">
        <f>AJ51/AJ40</f>
        <v/>
      </c>
      <c r="AK53" s="1558">
        <f>AK51/AK40</f>
        <v/>
      </c>
      <c r="AL53" s="1437">
        <f>AG53+AL55/10000</f>
        <v/>
      </c>
      <c r="AM53" s="1557">
        <f>AM51/AM40</f>
        <v/>
      </c>
      <c r="AN53" s="1437">
        <f>AI53+AN55/10000</f>
        <v/>
      </c>
      <c r="AO53" s="1437">
        <f>AJ53+AO55/10000</f>
        <v/>
      </c>
      <c r="AP53" s="1437">
        <f>AK53+AP55/10000</f>
        <v/>
      </c>
      <c r="AQ53" s="1437">
        <f>AL53+AQ55/10000</f>
        <v/>
      </c>
      <c r="AR53" s="1557">
        <f>AR51/AR40</f>
        <v/>
      </c>
      <c r="AS53" s="1557">
        <f>AR53+AS55/10000</f>
        <v/>
      </c>
      <c r="AT53" s="1557">
        <f>AS53+AT55/10000</f>
        <v/>
      </c>
      <c r="AU53" s="1557">
        <f>AT53+AU55/10000</f>
        <v/>
      </c>
      <c r="AV53" s="1437" t="n"/>
    </row>
    <row r="54" ht="14.4" customFormat="1" customHeight="1" s="1456">
      <c r="A54" s="1572" t="inlineStr">
        <is>
          <t>Consensus Estimates - Non-GAAP Gross Margin, %</t>
        </is>
      </c>
      <c r="B54" s="1549" t="n"/>
      <c r="C54" s="1550" t="n"/>
      <c r="D54" s="1550" t="n"/>
      <c r="E54" s="1550" t="n"/>
      <c r="F54" s="1550" t="n"/>
      <c r="G54" s="1550" t="n"/>
      <c r="H54" s="1550" t="n"/>
      <c r="I54" s="1550" t="n"/>
      <c r="J54" s="1550" t="n"/>
      <c r="K54" s="1550" t="n"/>
      <c r="L54" s="1550" t="n"/>
      <c r="M54" s="1550" t="n"/>
      <c r="N54" s="1550" t="n"/>
      <c r="O54" s="1551" t="n"/>
      <c r="P54" s="1551" t="n"/>
      <c r="Q54" s="1551" t="n"/>
      <c r="R54" s="1551" t="n"/>
      <c r="S54" s="1550" t="n"/>
      <c r="T54" s="1551" t="n"/>
      <c r="U54" s="1551" t="n"/>
      <c r="V54" s="1551" t="n"/>
      <c r="W54" s="1551" t="n"/>
      <c r="X54" s="1550" t="n"/>
      <c r="Y54" s="1551" t="n"/>
      <c r="Z54" s="1551" t="n"/>
      <c r="AA54" s="1551" t="n"/>
      <c r="AB54" s="1551" t="n"/>
      <c r="AC54" s="1550" t="n"/>
      <c r="AD54" s="1551" t="n"/>
      <c r="AE54" s="1551" t="n"/>
      <c r="AF54" s="1551" t="n"/>
      <c r="AG54" s="1551" t="n"/>
      <c r="AH54" s="1550" t="n"/>
      <c r="AI54" s="1551" t="n"/>
      <c r="AJ54" s="1551" t="n"/>
      <c r="AK54" s="1553" t="n"/>
      <c r="AL54" s="1551" t="n"/>
      <c r="AM54" s="1550" t="n"/>
      <c r="AN54" s="1551" t="n"/>
      <c r="AO54" s="1551" t="n"/>
      <c r="AP54" s="1551" t="n"/>
      <c r="AQ54" s="1551" t="n"/>
      <c r="AR54" s="1550" t="n"/>
      <c r="AS54" s="1550" t="n"/>
      <c r="AT54" s="1550" t="n"/>
      <c r="AU54" s="1550" t="n"/>
      <c r="AV54" s="1463" t="n"/>
    </row>
    <row r="55" ht="14.4" customFormat="1" customHeight="1" s="1480">
      <c r="A55" s="1559" t="inlineStr">
        <is>
          <t>Y/Y improvement in Non-GAAP Gross Margin, bps</t>
        </is>
      </c>
      <c r="B55" s="1560" t="n"/>
      <c r="C55" s="1561" t="n"/>
      <c r="D55" s="1561" t="n"/>
      <c r="E55" s="1561" t="n"/>
      <c r="F55" s="1561" t="n"/>
      <c r="G55" s="1561" t="n"/>
      <c r="H55" s="1561" t="n"/>
      <c r="I55" s="1561" t="n"/>
      <c r="J55" s="1561" t="n"/>
      <c r="K55" s="1561" t="n"/>
      <c r="L55" s="1561" t="n"/>
      <c r="M55" s="1561" t="n"/>
      <c r="N55" s="1561" t="n"/>
      <c r="O55" s="1562" t="n"/>
      <c r="P55" s="1562" t="n"/>
      <c r="Q55" s="1562" t="n"/>
      <c r="R55" s="1562" t="n"/>
      <c r="S55" s="1561" t="n"/>
      <c r="T55" s="1562" t="n"/>
      <c r="U55" s="1562" t="n"/>
      <c r="V55" s="1562" t="n"/>
      <c r="W55" s="1562" t="n"/>
      <c r="X55" s="1561" t="n"/>
      <c r="Y55" s="1562" t="n"/>
      <c r="Z55" s="1562" t="n"/>
      <c r="AA55" s="1562" t="n"/>
      <c r="AB55" s="1562" t="n"/>
      <c r="AC55" s="1561">
        <f>(AC53-X53)*10000</f>
        <v/>
      </c>
      <c r="AD55" s="1562" t="n"/>
      <c r="AE55" s="1562" t="n"/>
      <c r="AF55" s="1562" t="n"/>
      <c r="AG55" s="1562">
        <f>(AG53-AB53)*10000</f>
        <v/>
      </c>
      <c r="AH55" s="1561">
        <f>(AH53-AC53)*10000</f>
        <v/>
      </c>
      <c r="AI55" s="1562">
        <f>(AI53-AD53)*10000</f>
        <v/>
      </c>
      <c r="AJ55" s="1562">
        <f>(AJ53-AE53)*10000</f>
        <v/>
      </c>
      <c r="AK55" s="1563">
        <f>(AK53-AF53)*10000</f>
        <v/>
      </c>
      <c r="AL55" s="1573" t="n">
        <v>-450</v>
      </c>
      <c r="AM55" s="1561">
        <f>(AM53-AH53)*10000</f>
        <v/>
      </c>
      <c r="AN55" s="1573" t="n">
        <v>500</v>
      </c>
      <c r="AO55" s="1573" t="n">
        <v>200</v>
      </c>
      <c r="AP55" s="1573" t="n">
        <v>100</v>
      </c>
      <c r="AQ55" s="1573" t="n">
        <v>601</v>
      </c>
      <c r="AR55" s="1561">
        <f>(AR53-AM53)*10000</f>
        <v/>
      </c>
      <c r="AS55" s="1574" t="n">
        <v>260</v>
      </c>
      <c r="AT55" s="1574" t="n">
        <v>100</v>
      </c>
      <c r="AU55" s="1574" t="n">
        <v>200</v>
      </c>
      <c r="AV55" s="1488" t="n"/>
    </row>
    <row r="56" ht="14.4" customFormat="1" customHeight="1" s="1418">
      <c r="A56" s="1467" t="n"/>
      <c r="B56" s="1528" t="n"/>
      <c r="C56" s="1529" t="n"/>
      <c r="D56" s="1529" t="n"/>
      <c r="E56" s="1529" t="n"/>
      <c r="F56" s="1529" t="n"/>
      <c r="G56" s="1529" t="n"/>
      <c r="H56" s="1529" t="n"/>
      <c r="I56" s="1529" t="n"/>
      <c r="J56" s="1529" t="n"/>
      <c r="K56" s="1529" t="n"/>
      <c r="L56" s="1529" t="n"/>
      <c r="M56" s="1529" t="n"/>
      <c r="N56" s="1529" t="n"/>
      <c r="O56" s="1420" t="n"/>
      <c r="P56" s="1420" t="n"/>
      <c r="Q56" s="1420" t="n"/>
      <c r="R56" s="1420" t="n"/>
      <c r="S56" s="1529" t="n"/>
      <c r="T56" s="1420" t="n"/>
      <c r="U56" s="1420" t="n"/>
      <c r="V56" s="1420" t="n"/>
      <c r="W56" s="1420" t="n"/>
      <c r="X56" s="1529" t="n"/>
      <c r="Y56" s="1420" t="n"/>
      <c r="Z56" s="1420" t="n"/>
      <c r="AA56" s="1420" t="n"/>
      <c r="AB56" s="1420" t="n"/>
      <c r="AC56" s="1529" t="n"/>
      <c r="AD56" s="1420" t="n"/>
      <c r="AE56" s="1420" t="n"/>
      <c r="AF56" s="1420" t="n"/>
      <c r="AG56" s="1420" t="n"/>
      <c r="AH56" s="1529" t="n"/>
      <c r="AI56" s="1420" t="n"/>
      <c r="AJ56" s="1420" t="n"/>
      <c r="AK56" s="1421" t="n"/>
      <c r="AL56" s="1420" t="n"/>
      <c r="AM56" s="1529" t="n"/>
      <c r="AN56" s="1420" t="n"/>
      <c r="AO56" s="1420" t="n"/>
      <c r="AP56" s="1420" t="n"/>
      <c r="AQ56" s="1420" t="n"/>
      <c r="AR56" s="1529" t="n"/>
      <c r="AS56" s="1529" t="n"/>
      <c r="AT56" s="1529" t="n"/>
      <c r="AU56" s="1529" t="n"/>
      <c r="AV56" s="1422" t="n"/>
    </row>
    <row r="57" hidden="1" outlineLevel="1" ht="14.4" customFormat="1" customHeight="1" s="1418">
      <c r="A57" s="1490" t="inlineStr">
        <is>
          <t>GAAP R&amp;D Expense, mm</t>
        </is>
      </c>
      <c r="B57" s="1528" t="n"/>
      <c r="C57" s="1529" t="n"/>
      <c r="D57" s="1529" t="n"/>
      <c r="E57" s="1529" t="n"/>
      <c r="F57" s="1529" t="n"/>
      <c r="G57" s="1529" t="n"/>
      <c r="H57" s="1529" t="n"/>
      <c r="I57" s="1529" t="n"/>
      <c r="J57" s="1529" t="n"/>
      <c r="K57" s="1529" t="n"/>
      <c r="L57" s="1529" t="n"/>
      <c r="M57" s="1529" t="n"/>
      <c r="N57" s="1529" t="n"/>
      <c r="O57" s="1420" t="n"/>
      <c r="P57" s="1420" t="n"/>
      <c r="Q57" s="1420" t="n"/>
      <c r="R57" s="1420" t="n"/>
      <c r="S57" s="1529" t="n"/>
      <c r="T57" s="1420" t="n"/>
      <c r="U57" s="1420" t="n"/>
      <c r="V57" s="1420" t="n"/>
      <c r="W57" s="1420" t="n"/>
      <c r="X57" s="1540">
        <f>X352</f>
        <v/>
      </c>
      <c r="Y57" s="1420" t="n"/>
      <c r="Z57" s="1420" t="n"/>
      <c r="AA57" s="1422">
        <f>AA352</f>
        <v/>
      </c>
      <c r="AB57" s="1422">
        <f>AB352</f>
        <v/>
      </c>
      <c r="AC57" s="1540">
        <f>AC352</f>
        <v/>
      </c>
      <c r="AD57" s="1422">
        <f>AD352</f>
        <v/>
      </c>
      <c r="AE57" s="1422">
        <f>AE352</f>
        <v/>
      </c>
      <c r="AF57" s="1422">
        <f>AF352</f>
        <v/>
      </c>
      <c r="AG57" s="1422">
        <f>AG352</f>
        <v/>
      </c>
      <c r="AH57" s="1540">
        <f>AH352</f>
        <v/>
      </c>
      <c r="AI57" s="1422">
        <f>AI352</f>
        <v/>
      </c>
      <c r="AJ57" s="1422">
        <f>AJ352</f>
        <v/>
      </c>
      <c r="AK57" s="1541">
        <f>AK352</f>
        <v/>
      </c>
      <c r="AL57" s="1422">
        <f>AL66+AL64+AL65+AL62</f>
        <v/>
      </c>
      <c r="AM57" s="1540">
        <f>SUM(AI57,AJ57,AK57,AL57)</f>
        <v/>
      </c>
      <c r="AN57" s="1422">
        <f>AN66+AN64+AN65+AN62</f>
        <v/>
      </c>
      <c r="AO57" s="1422">
        <f>AO66+AO64+AO65+AO62</f>
        <v/>
      </c>
      <c r="AP57" s="1422">
        <f>AP66+AP64+AP65+AP62</f>
        <v/>
      </c>
      <c r="AQ57" s="1422">
        <f>AQ66+AQ64+AQ65+AQ62</f>
        <v/>
      </c>
      <c r="AR57" s="1540">
        <f>SUM(AN57,AO57,AP57,AQ57)</f>
        <v/>
      </c>
      <c r="AS57" s="1540">
        <f>AS66+AS64+AS65+AS62</f>
        <v/>
      </c>
      <c r="AT57" s="1540">
        <f>AT66+AT64+AT65+AT62</f>
        <v/>
      </c>
      <c r="AU57" s="1540">
        <f>AU66+AU64+AU65+AU62</f>
        <v/>
      </c>
      <c r="AV57" s="1422" t="n"/>
    </row>
    <row r="58" hidden="1" outlineLevel="1" ht="14.4" customFormat="1" customHeight="1" s="1456">
      <c r="A58" s="1457" t="inlineStr">
        <is>
          <t>Y/Y growth in GAAP R&amp;D Expense, %</t>
        </is>
      </c>
      <c r="B58" s="1549" t="n"/>
      <c r="C58" s="1550" t="n"/>
      <c r="D58" s="1550" t="n"/>
      <c r="E58" s="1550" t="n"/>
      <c r="F58" s="1550" t="n"/>
      <c r="G58" s="1550" t="n"/>
      <c r="H58" s="1550" t="n"/>
      <c r="I58" s="1550" t="n"/>
      <c r="J58" s="1550" t="n"/>
      <c r="K58" s="1550" t="n"/>
      <c r="L58" s="1550" t="n"/>
      <c r="M58" s="1550" t="n"/>
      <c r="N58" s="1550" t="n"/>
      <c r="O58" s="1551" t="n"/>
      <c r="P58" s="1551" t="n"/>
      <c r="Q58" s="1551" t="n"/>
      <c r="R58" s="1551" t="n"/>
      <c r="S58" s="1550" t="n"/>
      <c r="T58" s="1551" t="n"/>
      <c r="U58" s="1551" t="n"/>
      <c r="V58" s="1551" t="n"/>
      <c r="W58" s="1551" t="n"/>
      <c r="X58" s="1550" t="n"/>
      <c r="Y58" s="1551" t="n"/>
      <c r="Z58" s="1551" t="n"/>
      <c r="AA58" s="1551" t="n"/>
      <c r="AB58" s="1551" t="n"/>
      <c r="AC58" s="1552">
        <f>AC57/X57-1</f>
        <v/>
      </c>
      <c r="AD58" s="1551" t="n"/>
      <c r="AE58" s="1551" t="n"/>
      <c r="AF58" s="1551" t="n"/>
      <c r="AG58" s="1463">
        <f>AG57/AB57-1</f>
        <v/>
      </c>
      <c r="AH58" s="1552">
        <f>AH57/AC57-1</f>
        <v/>
      </c>
      <c r="AI58" s="1551">
        <f>AI57/AD57-1</f>
        <v/>
      </c>
      <c r="AJ58" s="1551">
        <f>AJ57/AE57-1</f>
        <v/>
      </c>
      <c r="AK58" s="1553">
        <f>AK57/AF57-1</f>
        <v/>
      </c>
      <c r="AL58" s="1463">
        <f>AL57/AG57-1</f>
        <v/>
      </c>
      <c r="AM58" s="1552">
        <f>AM57/AH57-1</f>
        <v/>
      </c>
      <c r="AN58" s="1463">
        <f>AN57/AI57-1</f>
        <v/>
      </c>
      <c r="AO58" s="1463">
        <f>AO57/AJ57-1</f>
        <v/>
      </c>
      <c r="AP58" s="1463">
        <f>AP57/AK57-1</f>
        <v/>
      </c>
      <c r="AQ58" s="1463">
        <f>AQ57/AL57-1</f>
        <v/>
      </c>
      <c r="AR58" s="1552">
        <f>AR57/AM57-1</f>
        <v/>
      </c>
      <c r="AS58" s="1552">
        <f>AS57/AR57-1</f>
        <v/>
      </c>
      <c r="AT58" s="1552">
        <f>AT57/AS57-1</f>
        <v/>
      </c>
      <c r="AU58" s="1552">
        <f>AU57/AT57-1</f>
        <v/>
      </c>
      <c r="AV58" s="1463" t="n"/>
    </row>
    <row r="59" hidden="1" outlineLevel="1" ht="14.4" customFormat="1" customHeight="1" s="1432">
      <c r="A59" s="1473" t="inlineStr">
        <is>
          <t>GAAP R&amp;D Margin, %</t>
        </is>
      </c>
      <c r="B59" s="1554" t="n"/>
      <c r="C59" s="1555" t="n"/>
      <c r="D59" s="1555" t="n"/>
      <c r="E59" s="1555" t="n"/>
      <c r="F59" s="1555" t="n"/>
      <c r="G59" s="1555" t="n"/>
      <c r="H59" s="1555" t="n"/>
      <c r="I59" s="1555" t="n"/>
      <c r="J59" s="1555" t="n"/>
      <c r="K59" s="1555" t="n"/>
      <c r="L59" s="1555" t="n"/>
      <c r="M59" s="1555" t="n"/>
      <c r="N59" s="1555" t="n"/>
      <c r="O59" s="1556" t="n"/>
      <c r="P59" s="1556" t="n"/>
      <c r="Q59" s="1556" t="n"/>
      <c r="R59" s="1556" t="n"/>
      <c r="S59" s="1555" t="n"/>
      <c r="T59" s="1556" t="n"/>
      <c r="U59" s="1556" t="n"/>
      <c r="V59" s="1556" t="n"/>
      <c r="W59" s="1556" t="n"/>
      <c r="X59" s="1557">
        <f>X57/X$40</f>
        <v/>
      </c>
      <c r="Y59" s="1556" t="n"/>
      <c r="Z59" s="1556" t="n"/>
      <c r="AA59" s="1437">
        <f>AA57/AA$40</f>
        <v/>
      </c>
      <c r="AB59" s="1437">
        <f>AB57/AB$40</f>
        <v/>
      </c>
      <c r="AC59" s="1557">
        <f>AC57/AC$40</f>
        <v/>
      </c>
      <c r="AD59" s="1437">
        <f>AD57/AD$40</f>
        <v/>
      </c>
      <c r="AE59" s="1437">
        <f>AE57/AE$40</f>
        <v/>
      </c>
      <c r="AF59" s="1437">
        <f>AF57/AF$40</f>
        <v/>
      </c>
      <c r="AG59" s="1437">
        <f>AG57/AG$40</f>
        <v/>
      </c>
      <c r="AH59" s="1557">
        <f>AH57/AH$40</f>
        <v/>
      </c>
      <c r="AI59" s="1437">
        <f>AI57/AI$40</f>
        <v/>
      </c>
      <c r="AJ59" s="1437">
        <f>AJ57/AJ$40</f>
        <v/>
      </c>
      <c r="AK59" s="1558">
        <f>AK57/AK$40</f>
        <v/>
      </c>
      <c r="AL59" s="1437">
        <f>AL57/AL$40</f>
        <v/>
      </c>
      <c r="AM59" s="1557">
        <f>AM57/AM$40</f>
        <v/>
      </c>
      <c r="AN59" s="1437">
        <f>AN57/AN$40</f>
        <v/>
      </c>
      <c r="AO59" s="1437">
        <f>AO57/AO$40</f>
        <v/>
      </c>
      <c r="AP59" s="1437">
        <f>AP57/AP$40</f>
        <v/>
      </c>
      <c r="AQ59" s="1437">
        <f>AQ57/AQ$40</f>
        <v/>
      </c>
      <c r="AR59" s="1557">
        <f>AR57/AR$40</f>
        <v/>
      </c>
      <c r="AS59" s="1557">
        <f>AS57/AS$40</f>
        <v/>
      </c>
      <c r="AT59" s="1557">
        <f>AT57/AT$40</f>
        <v/>
      </c>
      <c r="AU59" s="1557">
        <f>AU57/AU$40</f>
        <v/>
      </c>
      <c r="AV59" s="1437" t="n"/>
    </row>
    <row r="60" hidden="1" outlineLevel="1" ht="14.4" customFormat="1" customHeight="1" s="1480">
      <c r="A60" s="1559" t="inlineStr">
        <is>
          <t>Y/Y improvement in GAAP R&amp;D Margin, bps</t>
        </is>
      </c>
      <c r="B60" s="1560" t="n"/>
      <c r="C60" s="1561" t="n"/>
      <c r="D60" s="1561" t="n"/>
      <c r="E60" s="1561" t="n"/>
      <c r="F60" s="1561" t="n"/>
      <c r="G60" s="1561" t="n"/>
      <c r="H60" s="1561" t="n"/>
      <c r="I60" s="1561" t="n"/>
      <c r="J60" s="1561" t="n"/>
      <c r="K60" s="1561" t="n"/>
      <c r="L60" s="1561" t="n"/>
      <c r="M60" s="1561" t="n"/>
      <c r="N60" s="1561" t="n"/>
      <c r="O60" s="1562" t="n"/>
      <c r="P60" s="1562" t="n"/>
      <c r="Q60" s="1562" t="n"/>
      <c r="R60" s="1562" t="n"/>
      <c r="S60" s="1561" t="n"/>
      <c r="T60" s="1562" t="n"/>
      <c r="U60" s="1562" t="n"/>
      <c r="V60" s="1562" t="n"/>
      <c r="W60" s="1562" t="n"/>
      <c r="X60" s="1561" t="n"/>
      <c r="Y60" s="1562" t="n"/>
      <c r="Z60" s="1562" t="n"/>
      <c r="AA60" s="1562" t="n"/>
      <c r="AB60" s="1562" t="n"/>
      <c r="AC60" s="1561">
        <f>-(AC59-X59)*10000</f>
        <v/>
      </c>
      <c r="AD60" s="1562" t="n"/>
      <c r="AE60" s="1562" t="n"/>
      <c r="AF60" s="1562" t="n"/>
      <c r="AG60" s="1562">
        <f>-(AG59-AB59)*10000</f>
        <v/>
      </c>
      <c r="AH60" s="1561">
        <f>-(AH59-AC59)*10000</f>
        <v/>
      </c>
      <c r="AI60" s="1562">
        <f>-(AI59-AD59)*10000</f>
        <v/>
      </c>
      <c r="AJ60" s="1562">
        <f>-(AJ59-AE59)*10000</f>
        <v/>
      </c>
      <c r="AK60" s="1563">
        <f>-(AK59-AF59)*10000</f>
        <v/>
      </c>
      <c r="AL60" s="1562">
        <f>-(AL59-AG59)*10000</f>
        <v/>
      </c>
      <c r="AM60" s="1561">
        <f>-(AM59-AH59)*10000</f>
        <v/>
      </c>
      <c r="AN60" s="1562">
        <f>-(AN59-AI59)*10000</f>
        <v/>
      </c>
      <c r="AO60" s="1562">
        <f>-(AO59-AJ59)*10000</f>
        <v/>
      </c>
      <c r="AP60" s="1562">
        <f>-(AP59-AK59)*10000</f>
        <v/>
      </c>
      <c r="AQ60" s="1562">
        <f>-(AQ59-AL59)*10000</f>
        <v/>
      </c>
      <c r="AR60" s="1561">
        <f>-(AR59-AM59)*10000</f>
        <v/>
      </c>
      <c r="AS60" s="1561">
        <f>-(AS59-AR59)*10000</f>
        <v/>
      </c>
      <c r="AT60" s="1561">
        <f>-(AT59-AS59)*10000</f>
        <v/>
      </c>
      <c r="AU60" s="1561">
        <f>-(AU59-AT59)*10000</f>
        <v/>
      </c>
      <c r="AV60" s="1488" t="n"/>
    </row>
    <row r="61" hidden="1" outlineLevel="1" ht="14.4" customFormat="1" customHeight="1" s="1480">
      <c r="A61" s="1559" t="n"/>
      <c r="B61" s="1560" t="n"/>
      <c r="C61" s="1561" t="n"/>
      <c r="D61" s="1561" t="n"/>
      <c r="E61" s="1561" t="n"/>
      <c r="F61" s="1561" t="n"/>
      <c r="G61" s="1561" t="n"/>
      <c r="H61" s="1561" t="n"/>
      <c r="I61" s="1561" t="n"/>
      <c r="J61" s="1561" t="n"/>
      <c r="K61" s="1561" t="n"/>
      <c r="L61" s="1561" t="n"/>
      <c r="M61" s="1561" t="n"/>
      <c r="N61" s="1561" t="n"/>
      <c r="O61" s="1562" t="n"/>
      <c r="P61" s="1562" t="n"/>
      <c r="Q61" s="1562" t="n"/>
      <c r="R61" s="1562" t="n"/>
      <c r="S61" s="1561" t="n"/>
      <c r="T61" s="1562" t="n"/>
      <c r="U61" s="1562" t="n"/>
      <c r="V61" s="1562" t="n"/>
      <c r="W61" s="1562" t="n"/>
      <c r="X61" s="1561" t="n"/>
      <c r="Y61" s="1562" t="n"/>
      <c r="Z61" s="1562" t="n"/>
      <c r="AA61" s="1562" t="n"/>
      <c r="AB61" s="1562" t="n"/>
      <c r="AC61" s="1561" t="n"/>
      <c r="AD61" s="1562" t="n"/>
      <c r="AE61" s="1562" t="n"/>
      <c r="AF61" s="1562" t="n"/>
      <c r="AG61" s="1562" t="n"/>
      <c r="AH61" s="1561" t="n"/>
      <c r="AI61" s="1562" t="n"/>
      <c r="AJ61" s="1562" t="n"/>
      <c r="AK61" s="1563" t="n"/>
      <c r="AL61" s="1562" t="n"/>
      <c r="AM61" s="1561" t="n"/>
      <c r="AN61" s="1562" t="n"/>
      <c r="AO61" s="1562" t="n"/>
      <c r="AP61" s="1562" t="n"/>
      <c r="AQ61" s="1562" t="n"/>
      <c r="AR61" s="1561" t="n"/>
      <c r="AS61" s="1561" t="n"/>
      <c r="AT61" s="1561" t="n"/>
      <c r="AU61" s="1561" t="n"/>
      <c r="AV61" s="1488" t="n"/>
    </row>
    <row r="62" hidden="1" outlineLevel="1" ht="14.4" customFormat="1" customHeight="1" s="1418">
      <c r="A62" s="1467" t="inlineStr">
        <is>
          <t>SBC R&amp;D, mm</t>
        </is>
      </c>
      <c r="B62" s="1528" t="n"/>
      <c r="C62" s="1529" t="n"/>
      <c r="D62" s="1529" t="n"/>
      <c r="E62" s="1529" t="n"/>
      <c r="F62" s="1529" t="n"/>
      <c r="G62" s="1529" t="n"/>
      <c r="H62" s="1529" t="n"/>
      <c r="I62" s="1529" t="n"/>
      <c r="J62" s="1529" t="n"/>
      <c r="K62" s="1529" t="n"/>
      <c r="L62" s="1529" t="n"/>
      <c r="M62" s="1529" t="n"/>
      <c r="N62" s="1529" t="n"/>
      <c r="O62" s="1420" t="n"/>
      <c r="P62" s="1420" t="n"/>
      <c r="Q62" s="1420" t="n"/>
      <c r="R62" s="1420" t="n"/>
      <c r="S62" s="1529" t="n"/>
      <c r="T62" s="1420" t="n"/>
      <c r="U62" s="1420" t="n"/>
      <c r="V62" s="1420" t="n"/>
      <c r="W62" s="1420" t="n"/>
      <c r="X62" s="1529">
        <f>X353</f>
        <v/>
      </c>
      <c r="Y62" s="1420" t="n"/>
      <c r="Z62" s="1420" t="n"/>
      <c r="AA62" s="1420">
        <f>AA353</f>
        <v/>
      </c>
      <c r="AB62" s="1420">
        <f>AB353</f>
        <v/>
      </c>
      <c r="AC62" s="1529">
        <f>AC353</f>
        <v/>
      </c>
      <c r="AD62" s="1420">
        <f>AD353</f>
        <v/>
      </c>
      <c r="AE62" s="1420">
        <f>AE353</f>
        <v/>
      </c>
      <c r="AF62" s="1420">
        <f>AF353</f>
        <v/>
      </c>
      <c r="AG62" s="1420">
        <f>AG353</f>
        <v/>
      </c>
      <c r="AH62" s="1529">
        <f>AH353</f>
        <v/>
      </c>
      <c r="AI62" s="1420">
        <f>AI353</f>
        <v/>
      </c>
      <c r="AJ62" s="1420">
        <f>AJ353</f>
        <v/>
      </c>
      <c r="AK62" s="1421">
        <f>AK353</f>
        <v/>
      </c>
      <c r="AL62" s="1420">
        <f>AL63*AL40</f>
        <v/>
      </c>
      <c r="AM62" s="1529">
        <f>SUM(AI62,AJ62,AK62,AL62)</f>
        <v/>
      </c>
      <c r="AN62" s="1420">
        <f>AN63*AN40</f>
        <v/>
      </c>
      <c r="AO62" s="1420">
        <f>AO63*AO40</f>
        <v/>
      </c>
      <c r="AP62" s="1420">
        <f>AP63*AP40</f>
        <v/>
      </c>
      <c r="AQ62" s="1420">
        <f>AQ63*AQ40</f>
        <v/>
      </c>
      <c r="AR62" s="1529">
        <f>SUM(AN62,AO62,AP62,AQ62)</f>
        <v/>
      </c>
      <c r="AS62" s="1529">
        <f>AS63*AS40</f>
        <v/>
      </c>
      <c r="AT62" s="1529">
        <f>AT63*AT40</f>
        <v/>
      </c>
      <c r="AU62" s="1529">
        <f>AU63*AU40</f>
        <v/>
      </c>
      <c r="AV62" s="1422" t="n"/>
    </row>
    <row r="63" hidden="1" outlineLevel="1" ht="14.4" customFormat="1" customHeight="1" s="1432">
      <c r="A63" s="1564" t="inlineStr">
        <is>
          <t>SBC R&amp;D as % of revenue, %</t>
        </is>
      </c>
      <c r="B63" s="1554" t="n"/>
      <c r="C63" s="1555" t="n"/>
      <c r="D63" s="1555" t="n"/>
      <c r="E63" s="1555" t="n"/>
      <c r="F63" s="1555" t="n"/>
      <c r="G63" s="1555" t="n"/>
      <c r="H63" s="1555" t="n"/>
      <c r="I63" s="1555" t="n"/>
      <c r="J63" s="1555" t="n"/>
      <c r="K63" s="1555" t="n"/>
      <c r="L63" s="1555" t="n"/>
      <c r="M63" s="1555" t="n"/>
      <c r="N63" s="1555" t="n"/>
      <c r="O63" s="1556" t="n"/>
      <c r="P63" s="1556" t="n"/>
      <c r="Q63" s="1556" t="n"/>
      <c r="R63" s="1556" t="n"/>
      <c r="S63" s="1555" t="n"/>
      <c r="T63" s="1556" t="n"/>
      <c r="U63" s="1556" t="n"/>
      <c r="V63" s="1556" t="n"/>
      <c r="W63" s="1556" t="n"/>
      <c r="X63" s="1555">
        <f>X62/X40</f>
        <v/>
      </c>
      <c r="Y63" s="1556" t="n"/>
      <c r="Z63" s="1556" t="n"/>
      <c r="AA63" s="1556">
        <f>AA62/AA40</f>
        <v/>
      </c>
      <c r="AB63" s="1556">
        <f>AB62/AB40</f>
        <v/>
      </c>
      <c r="AC63" s="1555">
        <f>AC62/AC40</f>
        <v/>
      </c>
      <c r="AD63" s="1556">
        <f>AD62/AD40</f>
        <v/>
      </c>
      <c r="AE63" s="1556">
        <f>AE62/AE40</f>
        <v/>
      </c>
      <c r="AF63" s="1556">
        <f>AF62/AF40</f>
        <v/>
      </c>
      <c r="AG63" s="1556">
        <f>AG62/AG40</f>
        <v/>
      </c>
      <c r="AH63" s="1555">
        <f>AH62/AH40</f>
        <v/>
      </c>
      <c r="AI63" s="1556">
        <f>AI62/AI40</f>
        <v/>
      </c>
      <c r="AJ63" s="1556">
        <f>AJ62/AJ40</f>
        <v/>
      </c>
      <c r="AK63" s="1565">
        <f>AK62/AK40</f>
        <v/>
      </c>
      <c r="AL63" s="1566" t="n">
        <v>0.055</v>
      </c>
      <c r="AM63" s="1555">
        <f>AM62/AM40</f>
        <v/>
      </c>
      <c r="AN63" s="1566" t="n">
        <v>0.055</v>
      </c>
      <c r="AO63" s="1566" t="n">
        <v>0.055</v>
      </c>
      <c r="AP63" s="1566" t="n">
        <v>0.055</v>
      </c>
      <c r="AQ63" s="1566" t="n">
        <v>0.055</v>
      </c>
      <c r="AR63" s="1555">
        <f>AR62/AR40</f>
        <v/>
      </c>
      <c r="AS63" s="1567" t="n">
        <v>0.055</v>
      </c>
      <c r="AT63" s="1567" t="n">
        <v>0.055</v>
      </c>
      <c r="AU63" s="1567" t="n">
        <v>0.055</v>
      </c>
      <c r="AV63" s="1437" t="n"/>
    </row>
    <row r="64" hidden="1" outlineLevel="1" ht="14.4" customFormat="1" customHeight="1" s="1418">
      <c r="A64" s="1467" t="inlineStr">
        <is>
          <t>Amortization of Intangibles R&amp;D, mm</t>
        </is>
      </c>
      <c r="B64" s="1528" t="n"/>
      <c r="C64" s="1529" t="n"/>
      <c r="D64" s="1529" t="n"/>
      <c r="E64" s="1529" t="n"/>
      <c r="F64" s="1529" t="n"/>
      <c r="G64" s="1529" t="n"/>
      <c r="H64" s="1529" t="n"/>
      <c r="I64" s="1529" t="n"/>
      <c r="J64" s="1529" t="n"/>
      <c r="K64" s="1529" t="n"/>
      <c r="L64" s="1529" t="n"/>
      <c r="M64" s="1529" t="n"/>
      <c r="N64" s="1529" t="n"/>
      <c r="O64" s="1420" t="n"/>
      <c r="P64" s="1420" t="n"/>
      <c r="Q64" s="1420" t="n"/>
      <c r="R64" s="1420" t="n"/>
      <c r="S64" s="1529" t="n"/>
      <c r="T64" s="1420" t="n"/>
      <c r="U64" s="1420" t="n"/>
      <c r="V64" s="1420" t="n"/>
      <c r="W64" s="1420" t="n"/>
      <c r="X64" s="1529" t="n"/>
      <c r="Y64" s="1420" t="n"/>
      <c r="Z64" s="1420" t="n"/>
      <c r="AA64" s="1420" t="n"/>
      <c r="AB64" s="1420" t="n"/>
      <c r="AC64" s="1529" t="n"/>
      <c r="AD64" s="1420" t="n"/>
      <c r="AE64" s="1420" t="n"/>
      <c r="AF64" s="1420" t="n"/>
      <c r="AG64" s="1420" t="n"/>
      <c r="AH64" s="1529" t="n"/>
      <c r="AI64" s="1420" t="n"/>
      <c r="AJ64" s="1420" t="n"/>
      <c r="AK64" s="1421" t="n"/>
      <c r="AL64" s="1420" t="n"/>
      <c r="AM64" s="1529">
        <f>SUM(AI64,AJ64,AK64,AL64)</f>
        <v/>
      </c>
      <c r="AN64" s="1420" t="n"/>
      <c r="AO64" s="1420" t="n"/>
      <c r="AP64" s="1420" t="n"/>
      <c r="AQ64" s="1420" t="n"/>
      <c r="AR64" s="1529">
        <f>SUM(AN64,AO64,AP64,AQ64)</f>
        <v/>
      </c>
      <c r="AS64" s="1529" t="n"/>
      <c r="AT64" s="1529" t="n"/>
      <c r="AU64" s="1529" t="n"/>
      <c r="AV64" s="1422" t="n"/>
    </row>
    <row r="65" hidden="1" outlineLevel="1" ht="14.4" customFormat="1" customHeight="1" s="1418">
      <c r="A65" s="1467" t="inlineStr">
        <is>
          <t>Other Adjustments R&amp;D, mm</t>
        </is>
      </c>
      <c r="B65" s="1528" t="n"/>
      <c r="C65" s="1529" t="n"/>
      <c r="D65" s="1529" t="n"/>
      <c r="E65" s="1529" t="n"/>
      <c r="F65" s="1529" t="n"/>
      <c r="G65" s="1529" t="n"/>
      <c r="H65" s="1529" t="n"/>
      <c r="I65" s="1529" t="n"/>
      <c r="J65" s="1529" t="n"/>
      <c r="K65" s="1529" t="n"/>
      <c r="L65" s="1529" t="n"/>
      <c r="M65" s="1529" t="n"/>
      <c r="N65" s="1529" t="n"/>
      <c r="O65" s="1420" t="n"/>
      <c r="P65" s="1420" t="n"/>
      <c r="Q65" s="1420" t="n"/>
      <c r="R65" s="1420" t="n"/>
      <c r="S65" s="1529" t="n"/>
      <c r="T65" s="1420" t="n"/>
      <c r="U65" s="1420" t="n"/>
      <c r="V65" s="1420" t="n"/>
      <c r="W65" s="1420" t="n"/>
      <c r="X65" s="1529" t="n"/>
      <c r="Y65" s="1420" t="n"/>
      <c r="Z65" s="1420" t="n"/>
      <c r="AA65" s="1420" t="n"/>
      <c r="AB65" s="1420" t="n"/>
      <c r="AC65" s="1529" t="n"/>
      <c r="AD65" s="1420" t="n"/>
      <c r="AE65" s="1420" t="n"/>
      <c r="AF65" s="1420" t="n"/>
      <c r="AG65" s="1420" t="n"/>
      <c r="AH65" s="1529" t="n"/>
      <c r="AI65" s="1420" t="n"/>
      <c r="AJ65" s="1420" t="n"/>
      <c r="AK65" s="1421" t="n"/>
      <c r="AL65" s="1420" t="n"/>
      <c r="AM65" s="1529">
        <f>SUM(AI65,AJ65,AK65,AL65)</f>
        <v/>
      </c>
      <c r="AN65" s="1420" t="n"/>
      <c r="AO65" s="1420" t="n"/>
      <c r="AP65" s="1420" t="n"/>
      <c r="AQ65" s="1420" t="n"/>
      <c r="AR65" s="1529">
        <f>SUM(AN65,AO65,AP65,AQ65)</f>
        <v/>
      </c>
      <c r="AS65" s="1529" t="n"/>
      <c r="AT65" s="1529" t="n"/>
      <c r="AU65" s="1529" t="n"/>
      <c r="AV65" s="1422" t="n"/>
    </row>
    <row r="66" collapsed="1" ht="14.4" customFormat="1" customHeight="1" s="1418">
      <c r="A66" s="1575" t="inlineStr">
        <is>
          <t>Non-GAAP R&amp;D Expense, mm</t>
        </is>
      </c>
      <c r="B66" s="1576" t="n"/>
      <c r="C66" s="1577" t="n"/>
      <c r="D66" s="1577" t="n"/>
      <c r="E66" s="1577" t="n"/>
      <c r="F66" s="1577" t="n"/>
      <c r="G66" s="1577" t="n"/>
      <c r="H66" s="1577" t="n"/>
      <c r="I66" s="1577" t="n"/>
      <c r="J66" s="1577" t="n"/>
      <c r="K66" s="1577" t="n"/>
      <c r="L66" s="1577" t="n"/>
      <c r="M66" s="1577" t="n"/>
      <c r="N66" s="1577" t="n"/>
      <c r="O66" s="1578" t="n"/>
      <c r="P66" s="1578" t="n"/>
      <c r="Q66" s="1578" t="n"/>
      <c r="R66" s="1578" t="n"/>
      <c r="S66" s="1577" t="n"/>
      <c r="T66" s="1578" t="n"/>
      <c r="U66" s="1578" t="n"/>
      <c r="V66" s="1578" t="n"/>
      <c r="W66" s="1578" t="n"/>
      <c r="X66" s="1577">
        <f>X57-X62-X64-X65</f>
        <v/>
      </c>
      <c r="Y66" s="1578" t="n"/>
      <c r="Z66" s="1578" t="n"/>
      <c r="AA66" s="1578">
        <f>AA57-AA62-AA64-AA65</f>
        <v/>
      </c>
      <c r="AB66" s="1578">
        <f>AB57-AB62-AB64-AB65</f>
        <v/>
      </c>
      <c r="AC66" s="1577">
        <f>AC57-AC62-AC64-AC65</f>
        <v/>
      </c>
      <c r="AD66" s="1578">
        <f>AD57-AD62-AD64-AD65</f>
        <v/>
      </c>
      <c r="AE66" s="1578">
        <f>AE57-AE62-AE64-AE65</f>
        <v/>
      </c>
      <c r="AF66" s="1578">
        <f>AF57-AF62-AF64-AF65</f>
        <v/>
      </c>
      <c r="AG66" s="1578">
        <f>AG57-AG62-AG64-AG65</f>
        <v/>
      </c>
      <c r="AH66" s="1577">
        <f>AH57-AH62-AH64-AH65</f>
        <v/>
      </c>
      <c r="AI66" s="1578">
        <f>AI57-AI62-AI64-AI65</f>
        <v/>
      </c>
      <c r="AJ66" s="1578">
        <f>AJ57-AJ62-AJ64-AJ65</f>
        <v/>
      </c>
      <c r="AK66" s="1579">
        <f>AK57-AK62-AK64-AK65</f>
        <v/>
      </c>
      <c r="AL66" s="1578">
        <f>AL68*AL40</f>
        <v/>
      </c>
      <c r="AM66" s="1577">
        <f>AM57-AM62-AM64-AM65</f>
        <v/>
      </c>
      <c r="AN66" s="1578">
        <f>AN68*AN40</f>
        <v/>
      </c>
      <c r="AO66" s="1578">
        <f>AO68*AO40</f>
        <v/>
      </c>
      <c r="AP66" s="1578">
        <f>AP68*AP40</f>
        <v/>
      </c>
      <c r="AQ66" s="1578">
        <f>AQ68*AQ40</f>
        <v/>
      </c>
      <c r="AR66" s="1577">
        <f>AR57-AR62-AR64-AR65</f>
        <v/>
      </c>
      <c r="AS66" s="1577">
        <f>AS68*AS40</f>
        <v/>
      </c>
      <c r="AT66" s="1577">
        <f>AT68*AT40</f>
        <v/>
      </c>
      <c r="AU66" s="1577">
        <f>AU68*AU40</f>
        <v/>
      </c>
      <c r="AV66" s="1422" t="n"/>
    </row>
    <row r="67" ht="14.4" customFormat="1" customHeight="1" s="1418">
      <c r="A67" s="1569" t="inlineStr">
        <is>
          <t>Y/Y Non-GAAP R&amp;D Expense growth, %</t>
        </is>
      </c>
      <c r="B67" s="1570" t="n"/>
      <c r="C67" s="1550" t="n"/>
      <c r="D67" s="1550" t="n"/>
      <c r="E67" s="1550" t="n"/>
      <c r="F67" s="1550" t="n"/>
      <c r="G67" s="1550" t="n"/>
      <c r="H67" s="1550" t="n"/>
      <c r="I67" s="1550" t="n"/>
      <c r="J67" s="1550" t="n"/>
      <c r="K67" s="1550" t="n"/>
      <c r="L67" s="1550" t="n"/>
      <c r="M67" s="1550" t="n"/>
      <c r="N67" s="1550" t="n"/>
      <c r="O67" s="1551" t="n"/>
      <c r="P67" s="1551" t="n"/>
      <c r="Q67" s="1551" t="n"/>
      <c r="R67" s="1551" t="n"/>
      <c r="S67" s="1550" t="n"/>
      <c r="T67" s="1551" t="n"/>
      <c r="U67" s="1551" t="n"/>
      <c r="V67" s="1551" t="n"/>
      <c r="W67" s="1551" t="n"/>
      <c r="X67" s="1550" t="n"/>
      <c r="Y67" s="1551" t="n"/>
      <c r="Z67" s="1551" t="n"/>
      <c r="AA67" s="1551" t="n"/>
      <c r="AB67" s="1551" t="n"/>
      <c r="AC67" s="1550">
        <f>AC66/X66-1</f>
        <v/>
      </c>
      <c r="AD67" s="1551" t="n"/>
      <c r="AE67" s="1551" t="n"/>
      <c r="AF67" s="1551" t="n"/>
      <c r="AG67" s="1551">
        <f>AG66/AB66-1</f>
        <v/>
      </c>
      <c r="AH67" s="1550">
        <f>AH66/AC66-1</f>
        <v/>
      </c>
      <c r="AI67" s="1551">
        <f>AI66/AD66-1</f>
        <v/>
      </c>
      <c r="AJ67" s="1551">
        <f>AJ66/AE66-1</f>
        <v/>
      </c>
      <c r="AK67" s="1553">
        <f>AK66/AF66-1</f>
        <v/>
      </c>
      <c r="AL67" s="1551">
        <f>AL66/AG66-1</f>
        <v/>
      </c>
      <c r="AM67" s="1550">
        <f>AM66/AH66-1</f>
        <v/>
      </c>
      <c r="AN67" s="1551">
        <f>AN66/AI66-1</f>
        <v/>
      </c>
      <c r="AO67" s="1551">
        <f>AO66/AJ66-1</f>
        <v/>
      </c>
      <c r="AP67" s="1551">
        <f>AP66/AK66-1</f>
        <v/>
      </c>
      <c r="AQ67" s="1551">
        <f>AQ66/AL66-1</f>
        <v/>
      </c>
      <c r="AR67" s="1550">
        <f>AR66/AM66-1</f>
        <v/>
      </c>
      <c r="AS67" s="1550">
        <f>AS66/AR66-1</f>
        <v/>
      </c>
      <c r="AT67" s="1550">
        <f>AT66/AS66-1</f>
        <v/>
      </c>
      <c r="AU67" s="1550">
        <f>AU66/AT66-1</f>
        <v/>
      </c>
      <c r="AV67" s="1422" t="n"/>
    </row>
    <row r="68" ht="14.4" customFormat="1" customHeight="1" s="1432">
      <c r="A68" s="1571" t="inlineStr">
        <is>
          <t>Non-GAAP R&amp;D Margin, %</t>
        </is>
      </c>
      <c r="B68" s="1554" t="n"/>
      <c r="C68" s="1555" t="n"/>
      <c r="D68" s="1555" t="n"/>
      <c r="E68" s="1555" t="n"/>
      <c r="F68" s="1555" t="n"/>
      <c r="G68" s="1555" t="n"/>
      <c r="H68" s="1555" t="n"/>
      <c r="I68" s="1555" t="n"/>
      <c r="J68" s="1555" t="n"/>
      <c r="K68" s="1555" t="n"/>
      <c r="L68" s="1555" t="n"/>
      <c r="M68" s="1555" t="n"/>
      <c r="N68" s="1555" t="n"/>
      <c r="O68" s="1556" t="n"/>
      <c r="P68" s="1556" t="n"/>
      <c r="Q68" s="1556" t="n"/>
      <c r="R68" s="1556" t="n"/>
      <c r="S68" s="1555" t="n"/>
      <c r="T68" s="1556" t="n"/>
      <c r="U68" s="1556" t="n"/>
      <c r="V68" s="1556" t="n"/>
      <c r="W68" s="1556" t="n"/>
      <c r="X68" s="1555">
        <f>X66/X40</f>
        <v/>
      </c>
      <c r="Y68" s="1556" t="n"/>
      <c r="Z68" s="1556" t="n"/>
      <c r="AA68" s="1556">
        <f>AA66/AA40</f>
        <v/>
      </c>
      <c r="AB68" s="1556">
        <f>AB66/AB40</f>
        <v/>
      </c>
      <c r="AC68" s="1555">
        <f>AC66/AC40</f>
        <v/>
      </c>
      <c r="AD68" s="1556">
        <f>AD66/AD40</f>
        <v/>
      </c>
      <c r="AE68" s="1556">
        <f>AE66/AE40</f>
        <v/>
      </c>
      <c r="AF68" s="1556">
        <f>AF66/AF40</f>
        <v/>
      </c>
      <c r="AG68" s="1556">
        <f>AG66/AG40</f>
        <v/>
      </c>
      <c r="AH68" s="1555">
        <f>AH66/AH40</f>
        <v/>
      </c>
      <c r="AI68" s="1556">
        <f>AI66/AI40</f>
        <v/>
      </c>
      <c r="AJ68" s="1556">
        <f>AJ66/AJ40</f>
        <v/>
      </c>
      <c r="AK68" s="1565">
        <f>AK66/AK40</f>
        <v/>
      </c>
      <c r="AL68" s="1556">
        <f>AG68-AL69/10000</f>
        <v/>
      </c>
      <c r="AM68" s="1555">
        <f>AM66/AM40</f>
        <v/>
      </c>
      <c r="AN68" s="1556">
        <f>AI68-AN69/10000</f>
        <v/>
      </c>
      <c r="AO68" s="1556">
        <f>AJ68-AO69/10000</f>
        <v/>
      </c>
      <c r="AP68" s="1556">
        <f>AK68-AP69/10000</f>
        <v/>
      </c>
      <c r="AQ68" s="1556">
        <f>AL68-AQ69/10000</f>
        <v/>
      </c>
      <c r="AR68" s="1555">
        <f>AR66/AR40</f>
        <v/>
      </c>
      <c r="AS68" s="1555">
        <f>AR68-AS69/10000</f>
        <v/>
      </c>
      <c r="AT68" s="1555">
        <f>AS68-AT69/10000</f>
        <v/>
      </c>
      <c r="AU68" s="1555">
        <f>AT68-AU69/10000</f>
        <v/>
      </c>
      <c r="AV68" s="1437" t="n"/>
    </row>
    <row r="69" ht="14.4" customFormat="1" customHeight="1" s="1480">
      <c r="A69" s="1559" t="inlineStr">
        <is>
          <t>Y/Y improvement in Non-GAAP R&amp;D Margin, bps</t>
        </is>
      </c>
      <c r="B69" s="1560" t="n"/>
      <c r="C69" s="1561" t="n"/>
      <c r="D69" s="1561" t="n"/>
      <c r="E69" s="1561" t="n"/>
      <c r="F69" s="1561" t="n"/>
      <c r="G69" s="1561" t="n"/>
      <c r="H69" s="1561" t="n"/>
      <c r="I69" s="1561" t="n"/>
      <c r="J69" s="1561" t="n"/>
      <c r="K69" s="1561" t="n"/>
      <c r="L69" s="1561" t="n"/>
      <c r="M69" s="1561" t="n"/>
      <c r="N69" s="1561" t="n"/>
      <c r="O69" s="1562" t="n"/>
      <c r="P69" s="1562" t="n"/>
      <c r="Q69" s="1562" t="n"/>
      <c r="R69" s="1562" t="n"/>
      <c r="S69" s="1561" t="n"/>
      <c r="T69" s="1562" t="n"/>
      <c r="U69" s="1562" t="n"/>
      <c r="V69" s="1562" t="n"/>
      <c r="W69" s="1562" t="n"/>
      <c r="X69" s="1561" t="n"/>
      <c r="Y69" s="1562" t="n"/>
      <c r="Z69" s="1562" t="n"/>
      <c r="AA69" s="1562" t="n"/>
      <c r="AB69" s="1562" t="n"/>
      <c r="AC69" s="1561">
        <f>-(AC68-X68)*10000</f>
        <v/>
      </c>
      <c r="AD69" s="1562" t="n"/>
      <c r="AE69" s="1562" t="n"/>
      <c r="AF69" s="1562" t="n"/>
      <c r="AG69" s="1562">
        <f>-(AG68-AB68)*10000</f>
        <v/>
      </c>
      <c r="AH69" s="1561">
        <f>-(AH68-AC68)*10000</f>
        <v/>
      </c>
      <c r="AI69" s="1562">
        <f>-(AI68-AD68)*10000</f>
        <v/>
      </c>
      <c r="AJ69" s="1562">
        <f>-(AJ68-AE68)*10000</f>
        <v/>
      </c>
      <c r="AK69" s="1563">
        <f>-(AK68-AF68)*10000</f>
        <v/>
      </c>
      <c r="AL69" s="1573" t="n">
        <v>-250</v>
      </c>
      <c r="AM69" s="1561">
        <f>-(AM68-AH68)*10000</f>
        <v/>
      </c>
      <c r="AN69" s="1573" t="n">
        <v>100</v>
      </c>
      <c r="AO69" s="1573" t="n">
        <v>300</v>
      </c>
      <c r="AP69" s="1573" t="n">
        <v>100</v>
      </c>
      <c r="AQ69" s="1573" t="n">
        <v>100</v>
      </c>
      <c r="AR69" s="1561">
        <f>-(AR68-AM68)*10000</f>
        <v/>
      </c>
      <c r="AS69" s="1574" t="n">
        <v>100</v>
      </c>
      <c r="AT69" s="1574" t="n">
        <v>100</v>
      </c>
      <c r="AU69" s="1574" t="n">
        <v>100</v>
      </c>
      <c r="AV69" s="1488" t="n"/>
    </row>
    <row r="70" ht="7.5" customFormat="1" customHeight="1" s="1418">
      <c r="A70" s="1489" t="n"/>
      <c r="B70" s="1528" t="n"/>
      <c r="C70" s="1529" t="n"/>
      <c r="D70" s="1529" t="n"/>
      <c r="E70" s="1529" t="n"/>
      <c r="F70" s="1529" t="n"/>
      <c r="G70" s="1529" t="n"/>
      <c r="H70" s="1529" t="n"/>
      <c r="I70" s="1529" t="n"/>
      <c r="J70" s="1529" t="n"/>
      <c r="K70" s="1529" t="n"/>
      <c r="L70" s="1529" t="n"/>
      <c r="M70" s="1529" t="n"/>
      <c r="N70" s="1529" t="n"/>
      <c r="O70" s="1420" t="n"/>
      <c r="P70" s="1420" t="n"/>
      <c r="Q70" s="1420" t="n"/>
      <c r="R70" s="1420" t="n"/>
      <c r="S70" s="1529" t="n"/>
      <c r="T70" s="1420" t="n"/>
      <c r="U70" s="1420" t="n"/>
      <c r="V70" s="1420" t="n"/>
      <c r="W70" s="1420" t="n"/>
      <c r="X70" s="1529" t="n"/>
      <c r="Y70" s="1420" t="n"/>
      <c r="Z70" s="1420" t="n"/>
      <c r="AA70" s="1420" t="n"/>
      <c r="AB70" s="1420" t="n"/>
      <c r="AC70" s="1529" t="n"/>
      <c r="AD70" s="1420" t="n"/>
      <c r="AE70" s="1420" t="n"/>
      <c r="AF70" s="1420" t="n"/>
      <c r="AG70" s="1420" t="n"/>
      <c r="AH70" s="1529" t="n"/>
      <c r="AI70" s="1420" t="n"/>
      <c r="AJ70" s="1420" t="n"/>
      <c r="AK70" s="1421" t="n"/>
      <c r="AL70" s="1420" t="n"/>
      <c r="AM70" s="1529" t="n"/>
      <c r="AN70" s="1420" t="n"/>
      <c r="AO70" s="1420" t="n"/>
      <c r="AP70" s="1420" t="n"/>
      <c r="AQ70" s="1420" t="n"/>
      <c r="AR70" s="1529" t="n"/>
      <c r="AS70" s="1529" t="n"/>
      <c r="AT70" s="1529" t="n"/>
      <c r="AU70" s="1529" t="n"/>
      <c r="AV70" s="1422" t="n"/>
    </row>
    <row r="71" hidden="1" outlineLevel="1" ht="14.4" customFormat="1" customHeight="1" s="1418">
      <c r="A71" s="1490" t="inlineStr">
        <is>
          <t>GAAP S&amp;M Expense, mm</t>
        </is>
      </c>
      <c r="B71" s="1528" t="n"/>
      <c r="C71" s="1529" t="n"/>
      <c r="D71" s="1529" t="n"/>
      <c r="E71" s="1529" t="n"/>
      <c r="F71" s="1529" t="n"/>
      <c r="G71" s="1529" t="n"/>
      <c r="H71" s="1529" t="n"/>
      <c r="I71" s="1529" t="n"/>
      <c r="J71" s="1529" t="n"/>
      <c r="K71" s="1529" t="n"/>
      <c r="L71" s="1529" t="n"/>
      <c r="M71" s="1529" t="n"/>
      <c r="N71" s="1529" t="n"/>
      <c r="O71" s="1420" t="n"/>
      <c r="P71" s="1420" t="n"/>
      <c r="Q71" s="1420" t="n"/>
      <c r="R71" s="1420" t="n"/>
      <c r="S71" s="1529" t="n"/>
      <c r="T71" s="1420" t="n"/>
      <c r="U71" s="1420" t="n"/>
      <c r="V71" s="1420" t="n"/>
      <c r="W71" s="1420" t="n"/>
      <c r="X71" s="1540">
        <f>X342</f>
        <v/>
      </c>
      <c r="Y71" s="1420" t="n"/>
      <c r="Z71" s="1420" t="n"/>
      <c r="AA71" s="1422">
        <f>AA342</f>
        <v/>
      </c>
      <c r="AB71" s="1422">
        <f>AB342</f>
        <v/>
      </c>
      <c r="AC71" s="1540">
        <f>AC342</f>
        <v/>
      </c>
      <c r="AD71" s="1422">
        <f>AD342</f>
        <v/>
      </c>
      <c r="AE71" s="1422">
        <f>AE342</f>
        <v/>
      </c>
      <c r="AF71" s="1422">
        <f>AF342</f>
        <v/>
      </c>
      <c r="AG71" s="1422">
        <f>AG342</f>
        <v/>
      </c>
      <c r="AH71" s="1540">
        <f>AH342</f>
        <v/>
      </c>
      <c r="AI71" s="1422">
        <f>AI342</f>
        <v/>
      </c>
      <c r="AJ71" s="1422">
        <f>AJ342</f>
        <v/>
      </c>
      <c r="AK71" s="1541">
        <f>AK342</f>
        <v/>
      </c>
      <c r="AL71" s="1422">
        <f>AL80+AL79+AL78+AL76</f>
        <v/>
      </c>
      <c r="AM71" s="1540">
        <f>SUM(AI71,AJ71,AK71,AL71)</f>
        <v/>
      </c>
      <c r="AN71" s="1422">
        <f>AN80+AN79+AN78+AN76</f>
        <v/>
      </c>
      <c r="AO71" s="1422">
        <f>AO80+AO79+AO78+AO76</f>
        <v/>
      </c>
      <c r="AP71" s="1422">
        <f>AP80+AP79+AP78+AP76</f>
        <v/>
      </c>
      <c r="AQ71" s="1422">
        <f>AQ80+AQ79+AQ78+AQ76</f>
        <v/>
      </c>
      <c r="AR71" s="1540">
        <f>SUM(AN71,AO71,AP71,AQ71)</f>
        <v/>
      </c>
      <c r="AS71" s="1540">
        <f>AS80+AS79+AS78+AS76</f>
        <v/>
      </c>
      <c r="AT71" s="1540">
        <f>AT80+AT79+AT78+AT76</f>
        <v/>
      </c>
      <c r="AU71" s="1540">
        <f>AU80+AU79+AU78+AU76</f>
        <v/>
      </c>
      <c r="AV71" s="1422" t="n"/>
    </row>
    <row r="72" hidden="1" outlineLevel="1" ht="14.4" customFormat="1" customHeight="1" s="1456">
      <c r="A72" s="1457" t="inlineStr">
        <is>
          <t>Y/Y growth in GAAP S&amp;M Expense, %</t>
        </is>
      </c>
      <c r="B72" s="1549" t="n"/>
      <c r="C72" s="1550" t="n"/>
      <c r="D72" s="1550" t="n"/>
      <c r="E72" s="1550" t="n"/>
      <c r="F72" s="1550" t="n"/>
      <c r="G72" s="1550" t="n"/>
      <c r="H72" s="1550" t="n"/>
      <c r="I72" s="1550" t="n"/>
      <c r="J72" s="1550" t="n"/>
      <c r="K72" s="1550" t="n"/>
      <c r="L72" s="1550" t="n"/>
      <c r="M72" s="1550" t="n"/>
      <c r="N72" s="1550" t="n"/>
      <c r="O72" s="1551" t="n"/>
      <c r="P72" s="1551" t="n"/>
      <c r="Q72" s="1551" t="n"/>
      <c r="R72" s="1551" t="n"/>
      <c r="S72" s="1550" t="n"/>
      <c r="T72" s="1551" t="n"/>
      <c r="U72" s="1551" t="n"/>
      <c r="V72" s="1551" t="n"/>
      <c r="W72" s="1551" t="n"/>
      <c r="X72" s="1550" t="n"/>
      <c r="Y72" s="1551" t="n"/>
      <c r="Z72" s="1551" t="n"/>
      <c r="AA72" s="1551" t="n"/>
      <c r="AB72" s="1551" t="n"/>
      <c r="AC72" s="1552">
        <f>AC71/X71-1</f>
        <v/>
      </c>
      <c r="AD72" s="1551" t="n"/>
      <c r="AE72" s="1551" t="n"/>
      <c r="AF72" s="1551" t="n"/>
      <c r="AG72" s="1463">
        <f>AG71/AB71-1</f>
        <v/>
      </c>
      <c r="AH72" s="1552">
        <f>AH71/AC71-1</f>
        <v/>
      </c>
      <c r="AI72" s="1551">
        <f>AI71/AD71-1</f>
        <v/>
      </c>
      <c r="AJ72" s="1551">
        <f>AJ71/AE71-1</f>
        <v/>
      </c>
      <c r="AK72" s="1553">
        <f>AK71/AF71-1</f>
        <v/>
      </c>
      <c r="AL72" s="1463">
        <f>AL71/AG71-1</f>
        <v/>
      </c>
      <c r="AM72" s="1552">
        <f>AM71/AH71-1</f>
        <v/>
      </c>
      <c r="AN72" s="1463">
        <f>AN71/AI71-1</f>
        <v/>
      </c>
      <c r="AO72" s="1463">
        <f>AO71/AJ71-1</f>
        <v/>
      </c>
      <c r="AP72" s="1463">
        <f>AP71/AK71-1</f>
        <v/>
      </c>
      <c r="AQ72" s="1463">
        <f>AQ71/AL71-1</f>
        <v/>
      </c>
      <c r="AR72" s="1552">
        <f>AR71/AM71-1</f>
        <v/>
      </c>
      <c r="AS72" s="1552">
        <f>AS71/AR71-1</f>
        <v/>
      </c>
      <c r="AT72" s="1552">
        <f>AT71/AS71-1</f>
        <v/>
      </c>
      <c r="AU72" s="1552">
        <f>AU71/AT71-1</f>
        <v/>
      </c>
      <c r="AV72" s="1463" t="n"/>
    </row>
    <row r="73" hidden="1" outlineLevel="1" ht="14.4" customFormat="1" customHeight="1" s="1432">
      <c r="A73" s="1473" t="inlineStr">
        <is>
          <t>GAAP S&amp;M Margin, %</t>
        </is>
      </c>
      <c r="B73" s="1554" t="n"/>
      <c r="C73" s="1555" t="n"/>
      <c r="D73" s="1555" t="n"/>
      <c r="E73" s="1555" t="n"/>
      <c r="F73" s="1555" t="n"/>
      <c r="G73" s="1555" t="n"/>
      <c r="H73" s="1555" t="n"/>
      <c r="I73" s="1555" t="n"/>
      <c r="J73" s="1555" t="n"/>
      <c r="K73" s="1555" t="n"/>
      <c r="L73" s="1555" t="n"/>
      <c r="M73" s="1555" t="n"/>
      <c r="N73" s="1555" t="n"/>
      <c r="O73" s="1556" t="n"/>
      <c r="P73" s="1556" t="n"/>
      <c r="Q73" s="1556" t="n"/>
      <c r="R73" s="1556" t="n"/>
      <c r="S73" s="1555" t="n"/>
      <c r="T73" s="1556" t="n"/>
      <c r="U73" s="1556" t="n"/>
      <c r="V73" s="1556" t="n"/>
      <c r="W73" s="1556" t="n"/>
      <c r="X73" s="1557">
        <f>X71/X$40</f>
        <v/>
      </c>
      <c r="Y73" s="1556" t="n"/>
      <c r="Z73" s="1556" t="n"/>
      <c r="AA73" s="1437">
        <f>AA71/AA$40</f>
        <v/>
      </c>
      <c r="AB73" s="1437">
        <f>AB71/AB$40</f>
        <v/>
      </c>
      <c r="AC73" s="1557">
        <f>AC71/AC$40</f>
        <v/>
      </c>
      <c r="AD73" s="1437">
        <f>AD71/AD$40</f>
        <v/>
      </c>
      <c r="AE73" s="1437">
        <f>AE71/AE$40</f>
        <v/>
      </c>
      <c r="AF73" s="1437">
        <f>AF71/AF$40</f>
        <v/>
      </c>
      <c r="AG73" s="1437">
        <f>AG71/AG$40</f>
        <v/>
      </c>
      <c r="AH73" s="1557">
        <f>AH71/AH$40</f>
        <v/>
      </c>
      <c r="AI73" s="1437">
        <f>AI71/AI$40</f>
        <v/>
      </c>
      <c r="AJ73" s="1437">
        <f>AJ71/AJ$40</f>
        <v/>
      </c>
      <c r="AK73" s="1558">
        <f>AK71/AK$40</f>
        <v/>
      </c>
      <c r="AL73" s="1437">
        <f>AL71/AL$40</f>
        <v/>
      </c>
      <c r="AM73" s="1557">
        <f>AM71/AM$40</f>
        <v/>
      </c>
      <c r="AN73" s="1437">
        <f>AN71/AN$40</f>
        <v/>
      </c>
      <c r="AO73" s="1437">
        <f>AO71/AO$40</f>
        <v/>
      </c>
      <c r="AP73" s="1437">
        <f>AP71/AP$40</f>
        <v/>
      </c>
      <c r="AQ73" s="1437">
        <f>AQ71/AQ$40</f>
        <v/>
      </c>
      <c r="AR73" s="1557">
        <f>AR71/AR$40</f>
        <v/>
      </c>
      <c r="AS73" s="1557">
        <f>AS71/AS$40</f>
        <v/>
      </c>
      <c r="AT73" s="1557">
        <f>AT71/AT$40</f>
        <v/>
      </c>
      <c r="AU73" s="1557">
        <f>AU71/AU$40</f>
        <v/>
      </c>
      <c r="AV73" s="1437" t="n"/>
    </row>
    <row r="74" hidden="1" outlineLevel="1" ht="14.4" customFormat="1" customHeight="1" s="1480">
      <c r="A74" s="1559" t="inlineStr">
        <is>
          <t>Y/Y improvement in GAAP S&amp;M Margin, bps</t>
        </is>
      </c>
      <c r="B74" s="1560" t="n"/>
      <c r="C74" s="1561" t="n"/>
      <c r="D74" s="1561" t="n"/>
      <c r="E74" s="1561" t="n"/>
      <c r="F74" s="1561" t="n"/>
      <c r="G74" s="1561" t="n"/>
      <c r="H74" s="1561" t="n"/>
      <c r="I74" s="1561" t="n"/>
      <c r="J74" s="1561" t="n"/>
      <c r="K74" s="1561" t="n"/>
      <c r="L74" s="1561" t="n"/>
      <c r="M74" s="1561" t="n"/>
      <c r="N74" s="1561" t="n"/>
      <c r="O74" s="1562" t="n"/>
      <c r="P74" s="1562" t="n"/>
      <c r="Q74" s="1562" t="n"/>
      <c r="R74" s="1562" t="n"/>
      <c r="S74" s="1561" t="n"/>
      <c r="T74" s="1562" t="n"/>
      <c r="U74" s="1562" t="n"/>
      <c r="V74" s="1562" t="n"/>
      <c r="W74" s="1562" t="n"/>
      <c r="X74" s="1561" t="n"/>
      <c r="Y74" s="1562" t="n"/>
      <c r="Z74" s="1562" t="n"/>
      <c r="AA74" s="1562" t="n"/>
      <c r="AB74" s="1562" t="n"/>
      <c r="AC74" s="1561">
        <f>-(AC73-X73)*10000</f>
        <v/>
      </c>
      <c r="AD74" s="1562" t="n"/>
      <c r="AE74" s="1562" t="n"/>
      <c r="AF74" s="1562" t="n"/>
      <c r="AG74" s="1562">
        <f>-(AG73-AB73)*10000</f>
        <v/>
      </c>
      <c r="AH74" s="1561">
        <f>-(AH73-AC73)*10000</f>
        <v/>
      </c>
      <c r="AI74" s="1562">
        <f>-(AI73-AD73)*10000</f>
        <v/>
      </c>
      <c r="AJ74" s="1562">
        <f>-(AJ73-AE73)*10000</f>
        <v/>
      </c>
      <c r="AK74" s="1563">
        <f>-(AK73-AF73)*10000</f>
        <v/>
      </c>
      <c r="AL74" s="1562">
        <f>-(AL73-AG73)*10000</f>
        <v/>
      </c>
      <c r="AM74" s="1561">
        <f>-(AM73-AH73)*10000</f>
        <v/>
      </c>
      <c r="AN74" s="1562">
        <f>-(AN73-AI73)*10000</f>
        <v/>
      </c>
      <c r="AO74" s="1562">
        <f>-(AO73-AJ73)*10000</f>
        <v/>
      </c>
      <c r="AP74" s="1562">
        <f>-(AP73-AK73)*10000</f>
        <v/>
      </c>
      <c r="AQ74" s="1562">
        <f>-(AQ73-AL73)*10000</f>
        <v/>
      </c>
      <c r="AR74" s="1561">
        <f>-(AR73-AM73)*10000</f>
        <v/>
      </c>
      <c r="AS74" s="1561">
        <f>-(AS73-AR73)*10000</f>
        <v/>
      </c>
      <c r="AT74" s="1561">
        <f>-(AT73-AS73)*10000</f>
        <v/>
      </c>
      <c r="AU74" s="1561">
        <f>-(AU73-AT73)*10000</f>
        <v/>
      </c>
      <c r="AV74" s="1488" t="n"/>
    </row>
    <row r="75" hidden="1" outlineLevel="1" ht="14.4" customFormat="1" customHeight="1" s="1480">
      <c r="A75" s="1559" t="n"/>
      <c r="B75" s="1560" t="n"/>
      <c r="C75" s="1561" t="n"/>
      <c r="D75" s="1561" t="n"/>
      <c r="E75" s="1561" t="n"/>
      <c r="F75" s="1561" t="n"/>
      <c r="G75" s="1561" t="n"/>
      <c r="H75" s="1561" t="n"/>
      <c r="I75" s="1561" t="n"/>
      <c r="J75" s="1561" t="n"/>
      <c r="K75" s="1561" t="n"/>
      <c r="L75" s="1561" t="n"/>
      <c r="M75" s="1561" t="n"/>
      <c r="N75" s="1561" t="n"/>
      <c r="O75" s="1562" t="n"/>
      <c r="P75" s="1562" t="n"/>
      <c r="Q75" s="1562" t="n"/>
      <c r="R75" s="1562" t="n"/>
      <c r="S75" s="1561" t="n"/>
      <c r="T75" s="1562" t="n"/>
      <c r="U75" s="1562" t="n"/>
      <c r="V75" s="1562" t="n"/>
      <c r="W75" s="1562" t="n"/>
      <c r="X75" s="1561" t="n"/>
      <c r="Y75" s="1562" t="n"/>
      <c r="Z75" s="1562" t="n"/>
      <c r="AA75" s="1562" t="n"/>
      <c r="AB75" s="1562" t="n"/>
      <c r="AC75" s="1561" t="n"/>
      <c r="AD75" s="1562" t="n"/>
      <c r="AE75" s="1562" t="n"/>
      <c r="AF75" s="1562" t="n"/>
      <c r="AG75" s="1562" t="n"/>
      <c r="AH75" s="1561" t="n"/>
      <c r="AI75" s="1562" t="n"/>
      <c r="AJ75" s="1562" t="n"/>
      <c r="AK75" s="1563" t="n"/>
      <c r="AL75" s="1562" t="n"/>
      <c r="AM75" s="1561" t="n"/>
      <c r="AN75" s="1562" t="n"/>
      <c r="AO75" s="1562" t="n"/>
      <c r="AP75" s="1562" t="n"/>
      <c r="AQ75" s="1562" t="n"/>
      <c r="AR75" s="1561" t="n"/>
      <c r="AS75" s="1561" t="n"/>
      <c r="AT75" s="1561" t="n"/>
      <c r="AU75" s="1561" t="n"/>
      <c r="AV75" s="1488" t="n"/>
    </row>
    <row r="76" hidden="1" outlineLevel="1" ht="14.4" customFormat="1" customHeight="1" s="1418">
      <c r="A76" s="1467" t="inlineStr">
        <is>
          <t>SBC S&amp;M, mm</t>
        </is>
      </c>
      <c r="B76" s="1528" t="n"/>
      <c r="C76" s="1529" t="n"/>
      <c r="D76" s="1529" t="n"/>
      <c r="E76" s="1529" t="n"/>
      <c r="F76" s="1529" t="n"/>
      <c r="G76" s="1529" t="n"/>
      <c r="H76" s="1529" t="n"/>
      <c r="I76" s="1529" t="n"/>
      <c r="J76" s="1529" t="n"/>
      <c r="K76" s="1529" t="n"/>
      <c r="L76" s="1529" t="n"/>
      <c r="M76" s="1529" t="n"/>
      <c r="N76" s="1529" t="n"/>
      <c r="O76" s="1420" t="n"/>
      <c r="P76" s="1420" t="n"/>
      <c r="Q76" s="1420" t="n"/>
      <c r="R76" s="1420" t="n"/>
      <c r="S76" s="1529" t="n"/>
      <c r="T76" s="1420" t="n"/>
      <c r="U76" s="1420" t="n"/>
      <c r="V76" s="1420" t="n"/>
      <c r="W76" s="1420" t="n"/>
      <c r="X76" s="1529">
        <f>X343</f>
        <v/>
      </c>
      <c r="Y76" s="1420" t="n"/>
      <c r="Z76" s="1420" t="n"/>
      <c r="AA76" s="1420">
        <f>AA343</f>
        <v/>
      </c>
      <c r="AB76" s="1420">
        <f>AB343</f>
        <v/>
      </c>
      <c r="AC76" s="1529">
        <f>AC343</f>
        <v/>
      </c>
      <c r="AD76" s="1420">
        <f>AD343</f>
        <v/>
      </c>
      <c r="AE76" s="1420">
        <f>AE343</f>
        <v/>
      </c>
      <c r="AF76" s="1420">
        <f>AF343</f>
        <v/>
      </c>
      <c r="AG76" s="1420">
        <f>AG343</f>
        <v/>
      </c>
      <c r="AH76" s="1529">
        <f>AH343</f>
        <v/>
      </c>
      <c r="AI76" s="1420">
        <f>AI343</f>
        <v/>
      </c>
      <c r="AJ76" s="1420">
        <f>AJ343</f>
        <v/>
      </c>
      <c r="AK76" s="1421">
        <f>AK343</f>
        <v/>
      </c>
      <c r="AL76" s="1420">
        <f>AL77*AL40</f>
        <v/>
      </c>
      <c r="AM76" s="1529">
        <f>SUM(AI76,AJ76,AK76,AL76)</f>
        <v/>
      </c>
      <c r="AN76" s="1420">
        <f>AN77*AN40</f>
        <v/>
      </c>
      <c r="AO76" s="1420">
        <f>AO77*AO40</f>
        <v/>
      </c>
      <c r="AP76" s="1420">
        <f>AP77*AP40</f>
        <v/>
      </c>
      <c r="AQ76" s="1420">
        <f>AQ77*AQ40</f>
        <v/>
      </c>
      <c r="AR76" s="1529">
        <f>SUM(AN76,AO76,AP76,AQ76)</f>
        <v/>
      </c>
      <c r="AS76" s="1529">
        <f>AS77*AS40</f>
        <v/>
      </c>
      <c r="AT76" s="1529">
        <f>AT77*AT40</f>
        <v/>
      </c>
      <c r="AU76" s="1529">
        <f>AU77*AU40</f>
        <v/>
      </c>
      <c r="AV76" s="1422" t="n"/>
    </row>
    <row r="77" hidden="1" outlineLevel="1" ht="14.4" customFormat="1" customHeight="1" s="1432">
      <c r="A77" s="1564" t="inlineStr">
        <is>
          <t>SBC S&amp;M as % of revenue, %</t>
        </is>
      </c>
      <c r="B77" s="1554" t="n"/>
      <c r="C77" s="1555" t="n"/>
      <c r="D77" s="1555" t="n"/>
      <c r="E77" s="1555" t="n"/>
      <c r="F77" s="1555" t="n"/>
      <c r="G77" s="1555" t="n"/>
      <c r="H77" s="1555" t="n"/>
      <c r="I77" s="1555" t="n"/>
      <c r="J77" s="1555" t="n"/>
      <c r="K77" s="1555" t="n"/>
      <c r="L77" s="1555" t="n"/>
      <c r="M77" s="1555" t="n"/>
      <c r="N77" s="1555" t="n"/>
      <c r="O77" s="1556" t="n"/>
      <c r="P77" s="1556" t="n"/>
      <c r="Q77" s="1556" t="n"/>
      <c r="R77" s="1556" t="n"/>
      <c r="S77" s="1555" t="n"/>
      <c r="T77" s="1556" t="n"/>
      <c r="U77" s="1556" t="n"/>
      <c r="V77" s="1556" t="n"/>
      <c r="W77" s="1556" t="n"/>
      <c r="X77" s="1555">
        <f>X76/X40</f>
        <v/>
      </c>
      <c r="Y77" s="1556" t="n"/>
      <c r="Z77" s="1556" t="n"/>
      <c r="AA77" s="1556">
        <f>AA76/AA40</f>
        <v/>
      </c>
      <c r="AB77" s="1556">
        <f>AB76/AB40</f>
        <v/>
      </c>
      <c r="AC77" s="1555">
        <f>AC76/AC40</f>
        <v/>
      </c>
      <c r="AD77" s="1556">
        <f>AD76/AD40</f>
        <v/>
      </c>
      <c r="AE77" s="1556">
        <f>AE76/AE40</f>
        <v/>
      </c>
      <c r="AF77" s="1556">
        <f>AF76/AF40</f>
        <v/>
      </c>
      <c r="AG77" s="1556">
        <f>AG76/AG40</f>
        <v/>
      </c>
      <c r="AH77" s="1555">
        <f>AH76/AH40</f>
        <v/>
      </c>
      <c r="AI77" s="1556">
        <f>AI76/AI40</f>
        <v/>
      </c>
      <c r="AJ77" s="1556">
        <f>AJ76/AJ40</f>
        <v/>
      </c>
      <c r="AK77" s="1565">
        <f>AK76/AK40</f>
        <v/>
      </c>
      <c r="AL77" s="1566" t="n">
        <v>0.003</v>
      </c>
      <c r="AM77" s="1555">
        <f>AM76/AM40</f>
        <v/>
      </c>
      <c r="AN77" s="1566" t="n">
        <v>0.003</v>
      </c>
      <c r="AO77" s="1566" t="n">
        <v>0.003</v>
      </c>
      <c r="AP77" s="1566" t="n">
        <v>0.003</v>
      </c>
      <c r="AQ77" s="1566" t="n">
        <v>0.003</v>
      </c>
      <c r="AR77" s="1555">
        <f>AR76/AR40</f>
        <v/>
      </c>
      <c r="AS77" s="1567" t="n">
        <v>0.003</v>
      </c>
      <c r="AT77" s="1567" t="n">
        <v>0.003</v>
      </c>
      <c r="AU77" s="1567" t="n">
        <v>0.003</v>
      </c>
      <c r="AV77" s="1437" t="n"/>
    </row>
    <row r="78" hidden="1" outlineLevel="1" ht="14.4" customFormat="1" customHeight="1" s="1418">
      <c r="A78" s="1467" t="inlineStr">
        <is>
          <t>Amortization of Intangibles S&amp;M, mm</t>
        </is>
      </c>
      <c r="B78" s="1528" t="n"/>
      <c r="C78" s="1529" t="n"/>
      <c r="D78" s="1529" t="n"/>
      <c r="E78" s="1529" t="n"/>
      <c r="F78" s="1529" t="n"/>
      <c r="G78" s="1529" t="n"/>
      <c r="H78" s="1529" t="n"/>
      <c r="I78" s="1529" t="n"/>
      <c r="J78" s="1529" t="n"/>
      <c r="K78" s="1529" t="n"/>
      <c r="L78" s="1529" t="n"/>
      <c r="M78" s="1529" t="n"/>
      <c r="N78" s="1529" t="n"/>
      <c r="O78" s="1420" t="n"/>
      <c r="P78" s="1420" t="n"/>
      <c r="Q78" s="1420" t="n"/>
      <c r="R78" s="1420" t="n"/>
      <c r="S78" s="1529" t="n"/>
      <c r="T78" s="1420" t="n"/>
      <c r="U78" s="1420" t="n"/>
      <c r="V78" s="1420" t="n"/>
      <c r="W78" s="1420" t="n"/>
      <c r="X78" s="1529" t="n"/>
      <c r="Y78" s="1420" t="n"/>
      <c r="Z78" s="1420" t="n"/>
      <c r="AA78" s="1420" t="n"/>
      <c r="AB78" s="1420" t="n"/>
      <c r="AC78" s="1529" t="n"/>
      <c r="AD78" s="1420" t="n"/>
      <c r="AE78" s="1420" t="n"/>
      <c r="AF78" s="1420" t="n"/>
      <c r="AG78" s="1420" t="n"/>
      <c r="AH78" s="1529" t="n"/>
      <c r="AI78" s="1420" t="n"/>
      <c r="AJ78" s="1420" t="n"/>
      <c r="AK78" s="1421" t="n"/>
      <c r="AL78" s="1420" t="n"/>
      <c r="AM78" s="1529">
        <f>SUM(AI78,AJ78,AK78,AL78)</f>
        <v/>
      </c>
      <c r="AN78" s="1420" t="n"/>
      <c r="AO78" s="1420" t="n"/>
      <c r="AP78" s="1420" t="n"/>
      <c r="AQ78" s="1420" t="n"/>
      <c r="AR78" s="1529">
        <f>SUM(AN78,AO78,AP78,AQ78)</f>
        <v/>
      </c>
      <c r="AS78" s="1529" t="n"/>
      <c r="AT78" s="1529" t="n"/>
      <c r="AU78" s="1529" t="n"/>
      <c r="AV78" s="1422" t="n"/>
    </row>
    <row r="79" hidden="1" outlineLevel="1" ht="14.4" customFormat="1" customHeight="1" s="1418">
      <c r="A79" s="1580" t="inlineStr">
        <is>
          <t>Other S&amp;M, mm</t>
        </is>
      </c>
      <c r="B79" s="1581" t="n"/>
      <c r="C79" s="1582" t="n"/>
      <c r="D79" s="1582" t="n"/>
      <c r="E79" s="1582" t="n"/>
      <c r="F79" s="1582" t="n"/>
      <c r="G79" s="1582" t="n"/>
      <c r="H79" s="1582" t="n"/>
      <c r="I79" s="1582" t="n"/>
      <c r="J79" s="1582" t="n"/>
      <c r="K79" s="1582" t="n"/>
      <c r="L79" s="1582" t="n"/>
      <c r="M79" s="1582" t="n"/>
      <c r="N79" s="1582" t="n"/>
      <c r="O79" s="1583" t="n"/>
      <c r="P79" s="1583" t="n"/>
      <c r="Q79" s="1583" t="n"/>
      <c r="R79" s="1583" t="n"/>
      <c r="S79" s="1582" t="n"/>
      <c r="T79" s="1583" t="n"/>
      <c r="U79" s="1583" t="n"/>
      <c r="V79" s="1583" t="n"/>
      <c r="W79" s="1583" t="n"/>
      <c r="X79" s="1582" t="n"/>
      <c r="Y79" s="1583" t="n"/>
      <c r="Z79" s="1583" t="n"/>
      <c r="AA79" s="1583" t="n"/>
      <c r="AB79" s="1583" t="n"/>
      <c r="AC79" s="1582" t="n"/>
      <c r="AD79" s="1583" t="n"/>
      <c r="AE79" s="1583" t="n"/>
      <c r="AF79" s="1583" t="n"/>
      <c r="AG79" s="1583" t="n"/>
      <c r="AH79" s="1582" t="n"/>
      <c r="AI79" s="1583" t="n"/>
      <c r="AJ79" s="1583" t="n"/>
      <c r="AK79" s="1584" t="n"/>
      <c r="AL79" s="1583" t="n"/>
      <c r="AM79" s="1582">
        <f>SUM(AI79,AJ79,AK79,AL79)</f>
        <v/>
      </c>
      <c r="AN79" s="1583" t="n"/>
      <c r="AO79" s="1583" t="n"/>
      <c r="AP79" s="1583" t="n"/>
      <c r="AQ79" s="1583" t="n"/>
      <c r="AR79" s="1582">
        <f>SUM(AN79,AO79,AP79,AQ79)</f>
        <v/>
      </c>
      <c r="AS79" s="1582" t="n"/>
      <c r="AT79" s="1582" t="n"/>
      <c r="AU79" s="1582" t="n"/>
      <c r="AV79" s="1422" t="n"/>
    </row>
    <row r="80" collapsed="1" ht="14.4" customFormat="1" customHeight="1" s="1418">
      <c r="A80" s="1489" t="inlineStr">
        <is>
          <t>Non-GAAP S&amp;M Expense, mm</t>
        </is>
      </c>
      <c r="B80" s="1528" t="n"/>
      <c r="C80" s="1529" t="n"/>
      <c r="D80" s="1529" t="n"/>
      <c r="E80" s="1529" t="n"/>
      <c r="F80" s="1529" t="n"/>
      <c r="G80" s="1529" t="n"/>
      <c r="H80" s="1529" t="n"/>
      <c r="I80" s="1529" t="n"/>
      <c r="J80" s="1529" t="n"/>
      <c r="K80" s="1529" t="n"/>
      <c r="L80" s="1529" t="n"/>
      <c r="M80" s="1529" t="n"/>
      <c r="N80" s="1529" t="n"/>
      <c r="O80" s="1420" t="n"/>
      <c r="P80" s="1420" t="n"/>
      <c r="Q80" s="1420" t="n"/>
      <c r="R80" s="1420" t="n"/>
      <c r="S80" s="1529" t="n"/>
      <c r="T80" s="1420" t="n"/>
      <c r="U80" s="1420" t="n"/>
      <c r="V80" s="1420" t="n"/>
      <c r="W80" s="1420" t="n"/>
      <c r="X80" s="1529">
        <f>X71-X76-X78-X79</f>
        <v/>
      </c>
      <c r="Y80" s="1420" t="n"/>
      <c r="Z80" s="1420" t="n"/>
      <c r="AA80" s="1420">
        <f>AA71-AA76-AA78-AA79</f>
        <v/>
      </c>
      <c r="AB80" s="1420">
        <f>AB71-AB76-AB78-AB79</f>
        <v/>
      </c>
      <c r="AC80" s="1529">
        <f>AC71-AC76-AC78-AC79</f>
        <v/>
      </c>
      <c r="AD80" s="1420">
        <f>AD71-AD76-AD78-AD79</f>
        <v/>
      </c>
      <c r="AE80" s="1420">
        <f>AE71-AE76-AE78-AE79</f>
        <v/>
      </c>
      <c r="AF80" s="1420">
        <f>AF71-AF76-AF78-AF79</f>
        <v/>
      </c>
      <c r="AG80" s="1420">
        <f>AG71-AG76-AG78-AG79</f>
        <v/>
      </c>
      <c r="AH80" s="1529">
        <f>AH71-AH76-AH78-AH79</f>
        <v/>
      </c>
      <c r="AI80" s="1420">
        <f>AI71-AI76-AI78-AI79</f>
        <v/>
      </c>
      <c r="AJ80" s="1420">
        <f>AJ71-AJ76-AJ78-AJ79</f>
        <v/>
      </c>
      <c r="AK80" s="1421">
        <f>AK71-AK76-AK78-AK79</f>
        <v/>
      </c>
      <c r="AL80" s="1420">
        <f>AL82*AL40</f>
        <v/>
      </c>
      <c r="AM80" s="1529">
        <f>AM71-AM76-AM78-AM79</f>
        <v/>
      </c>
      <c r="AN80" s="1420">
        <f>AN82*AN40</f>
        <v/>
      </c>
      <c r="AO80" s="1420">
        <f>AO82*AO40</f>
        <v/>
      </c>
      <c r="AP80" s="1420">
        <f>AP82*AP40</f>
        <v/>
      </c>
      <c r="AQ80" s="1420">
        <f>AQ82*AQ40</f>
        <v/>
      </c>
      <c r="AR80" s="1529">
        <f>AR71-AR76-AR78-AR79</f>
        <v/>
      </c>
      <c r="AS80" s="1529">
        <f>AS82*AS40</f>
        <v/>
      </c>
      <c r="AT80" s="1529">
        <f>AT82*AT40</f>
        <v/>
      </c>
      <c r="AU80" s="1529">
        <f>AU82*AU40</f>
        <v/>
      </c>
      <c r="AV80" s="1422" t="n"/>
    </row>
    <row r="81" ht="14.4" customFormat="1" customHeight="1" s="1418">
      <c r="A81" s="1569" t="inlineStr">
        <is>
          <t>Y/Y Non-GAAP S&amp;M Expense growth, %</t>
        </is>
      </c>
      <c r="B81" s="1570" t="n"/>
      <c r="C81" s="1550" t="n"/>
      <c r="D81" s="1550" t="n"/>
      <c r="E81" s="1550" t="n"/>
      <c r="F81" s="1550" t="n"/>
      <c r="G81" s="1550" t="n"/>
      <c r="H81" s="1550" t="n"/>
      <c r="I81" s="1550" t="n"/>
      <c r="J81" s="1550" t="n"/>
      <c r="K81" s="1550" t="n"/>
      <c r="L81" s="1550" t="n"/>
      <c r="M81" s="1550" t="n"/>
      <c r="N81" s="1550" t="n"/>
      <c r="O81" s="1551" t="n"/>
      <c r="P81" s="1551" t="n"/>
      <c r="Q81" s="1551" t="n"/>
      <c r="R81" s="1551" t="n"/>
      <c r="S81" s="1550" t="n"/>
      <c r="T81" s="1551" t="n"/>
      <c r="U81" s="1551" t="n"/>
      <c r="V81" s="1551" t="n"/>
      <c r="W81" s="1551" t="n"/>
      <c r="X81" s="1550" t="n"/>
      <c r="Y81" s="1551" t="n"/>
      <c r="Z81" s="1551" t="n"/>
      <c r="AA81" s="1551" t="n"/>
      <c r="AB81" s="1551" t="n"/>
      <c r="AC81" s="1550">
        <f>AC80/X80-1</f>
        <v/>
      </c>
      <c r="AD81" s="1551" t="n"/>
      <c r="AE81" s="1551" t="n"/>
      <c r="AF81" s="1551" t="n"/>
      <c r="AG81" s="1551">
        <f>AG80/AB80-1</f>
        <v/>
      </c>
      <c r="AH81" s="1550">
        <f>AH80/AC80-1</f>
        <v/>
      </c>
      <c r="AI81" s="1551">
        <f>AI80/AD80-1</f>
        <v/>
      </c>
      <c r="AJ81" s="1551">
        <f>AJ80/AE80-1</f>
        <v/>
      </c>
      <c r="AK81" s="1553">
        <f>AK80/AF80-1</f>
        <v/>
      </c>
      <c r="AL81" s="1551">
        <f>AL80/AG80-1</f>
        <v/>
      </c>
      <c r="AM81" s="1550">
        <f>AM80/AH80-1</f>
        <v/>
      </c>
      <c r="AN81" s="1551">
        <f>AN80/AI80-1</f>
        <v/>
      </c>
      <c r="AO81" s="1551">
        <f>AO80/AJ80-1</f>
        <v/>
      </c>
      <c r="AP81" s="1551">
        <f>AP80/AK80-1</f>
        <v/>
      </c>
      <c r="AQ81" s="1551">
        <f>AQ80/AL80-1</f>
        <v/>
      </c>
      <c r="AR81" s="1550">
        <f>AR80/AM80-1</f>
        <v/>
      </c>
      <c r="AS81" s="1550">
        <f>AS80/AR80-1</f>
        <v/>
      </c>
      <c r="AT81" s="1550">
        <f>AT80/AS80-1</f>
        <v/>
      </c>
      <c r="AU81" s="1550">
        <f>AU80/AT80-1</f>
        <v/>
      </c>
      <c r="AV81" s="1422" t="n"/>
    </row>
    <row r="82" ht="14.4" customFormat="1" customHeight="1" s="1432">
      <c r="A82" s="1571" t="inlineStr">
        <is>
          <t>Non-GAAP S&amp;M Margin, %</t>
        </is>
      </c>
      <c r="B82" s="1554" t="n"/>
      <c r="C82" s="1555" t="n"/>
      <c r="D82" s="1555" t="n"/>
      <c r="E82" s="1555" t="n"/>
      <c r="F82" s="1555" t="n"/>
      <c r="G82" s="1555" t="n"/>
      <c r="H82" s="1555" t="n"/>
      <c r="I82" s="1555" t="n"/>
      <c r="J82" s="1555" t="n"/>
      <c r="K82" s="1555" t="n"/>
      <c r="L82" s="1555" t="n"/>
      <c r="M82" s="1555" t="n"/>
      <c r="N82" s="1555" t="n"/>
      <c r="O82" s="1556" t="n"/>
      <c r="P82" s="1556" t="n"/>
      <c r="Q82" s="1556" t="n"/>
      <c r="R82" s="1556" t="n"/>
      <c r="S82" s="1555" t="n"/>
      <c r="T82" s="1556" t="n"/>
      <c r="U82" s="1556" t="n"/>
      <c r="V82" s="1556" t="n"/>
      <c r="W82" s="1556" t="n"/>
      <c r="X82" s="1555">
        <f>X80/X40</f>
        <v/>
      </c>
      <c r="Y82" s="1556" t="n"/>
      <c r="Z82" s="1556" t="n"/>
      <c r="AA82" s="1556">
        <f>AA80/AA40</f>
        <v/>
      </c>
      <c r="AB82" s="1556">
        <f>AB80/AB40</f>
        <v/>
      </c>
      <c r="AC82" s="1555">
        <f>AC80/AC40</f>
        <v/>
      </c>
      <c r="AD82" s="1556">
        <f>AD80/AD40</f>
        <v/>
      </c>
      <c r="AE82" s="1556">
        <f>AE80/AE40</f>
        <v/>
      </c>
      <c r="AF82" s="1556">
        <f>AF80/AF40</f>
        <v/>
      </c>
      <c r="AG82" s="1556">
        <f>AG80/AG40</f>
        <v/>
      </c>
      <c r="AH82" s="1555">
        <f>AH80/AH40</f>
        <v/>
      </c>
      <c r="AI82" s="1556">
        <f>AI80/AI40</f>
        <v/>
      </c>
      <c r="AJ82" s="1556">
        <f>AJ80/AJ40</f>
        <v/>
      </c>
      <c r="AK82" s="1565">
        <f>AK80/AK40</f>
        <v/>
      </c>
      <c r="AL82" s="1556">
        <f>AG82-AL83/10000</f>
        <v/>
      </c>
      <c r="AM82" s="1555">
        <f>AM80/AM40</f>
        <v/>
      </c>
      <c r="AN82" s="1556">
        <f>AI82-AN83/10000</f>
        <v/>
      </c>
      <c r="AO82" s="1556">
        <f>AJ82-AO83/10000</f>
        <v/>
      </c>
      <c r="AP82" s="1556">
        <f>AK82-AP83/10000</f>
        <v/>
      </c>
      <c r="AQ82" s="1556">
        <f>AL82-AQ83/10000</f>
        <v/>
      </c>
      <c r="AR82" s="1555">
        <f>AR80/AR40</f>
        <v/>
      </c>
      <c r="AS82" s="1555">
        <f>AR82-AS83/10000</f>
        <v/>
      </c>
      <c r="AT82" s="1555">
        <f>AS82-AT83/10000</f>
        <v/>
      </c>
      <c r="AU82" s="1555">
        <f>AT82-AU83/10000</f>
        <v/>
      </c>
      <c r="AV82" s="1437" t="n"/>
    </row>
    <row r="83" ht="14.4" customFormat="1" customHeight="1" s="1480">
      <c r="A83" s="1559" t="inlineStr">
        <is>
          <t>Y/Y improvement in Non-GAAP S&amp;M Margin, bps</t>
        </is>
      </c>
      <c r="B83" s="1560" t="n"/>
      <c r="C83" s="1561" t="n"/>
      <c r="D83" s="1561" t="n"/>
      <c r="E83" s="1561" t="n"/>
      <c r="F83" s="1561" t="n"/>
      <c r="G83" s="1561" t="n"/>
      <c r="H83" s="1561" t="n"/>
      <c r="I83" s="1561" t="n"/>
      <c r="J83" s="1561" t="n"/>
      <c r="K83" s="1561" t="n"/>
      <c r="L83" s="1561" t="n"/>
      <c r="M83" s="1561" t="n"/>
      <c r="N83" s="1561" t="n"/>
      <c r="O83" s="1562" t="n"/>
      <c r="P83" s="1562" t="n"/>
      <c r="Q83" s="1562" t="n"/>
      <c r="R83" s="1562" t="n"/>
      <c r="S83" s="1561" t="n"/>
      <c r="T83" s="1562" t="n"/>
      <c r="U83" s="1562" t="n"/>
      <c r="V83" s="1562" t="n"/>
      <c r="W83" s="1562" t="n"/>
      <c r="X83" s="1561" t="n"/>
      <c r="Y83" s="1562" t="n"/>
      <c r="Z83" s="1562" t="n"/>
      <c r="AA83" s="1562" t="n"/>
      <c r="AB83" s="1562" t="n"/>
      <c r="AC83" s="1561">
        <f>-(AC82-X82)*10000</f>
        <v/>
      </c>
      <c r="AD83" s="1562" t="n"/>
      <c r="AE83" s="1562" t="n"/>
      <c r="AF83" s="1562" t="n"/>
      <c r="AG83" s="1562">
        <f>-(AG82-AB82)*10000</f>
        <v/>
      </c>
      <c r="AH83" s="1561">
        <f>-(AH82-AC82)*10000</f>
        <v/>
      </c>
      <c r="AI83" s="1562">
        <f>-(AI82-AD82)*10000</f>
        <v/>
      </c>
      <c r="AJ83" s="1562">
        <f>-(AJ82-AE82)*10000</f>
        <v/>
      </c>
      <c r="AK83" s="1563">
        <f>-(AK82-AF82)*10000</f>
        <v/>
      </c>
      <c r="AL83" s="1573" t="n">
        <v>-100</v>
      </c>
      <c r="AM83" s="1561">
        <f>-(AM82-AH82)*10000</f>
        <v/>
      </c>
      <c r="AN83" s="1573" t="n">
        <v>5</v>
      </c>
      <c r="AO83" s="1573" t="n">
        <v>100</v>
      </c>
      <c r="AP83" s="1573" t="n">
        <v>50</v>
      </c>
      <c r="AQ83" s="1573" t="n">
        <v>5</v>
      </c>
      <c r="AR83" s="1561">
        <f>-(AR82-AM82)*10000</f>
        <v/>
      </c>
      <c r="AS83" s="1574" t="n">
        <v>4.99999999999999</v>
      </c>
      <c r="AT83" s="1574" t="n">
        <v>4.99999999999999</v>
      </c>
      <c r="AU83" s="1574" t="n">
        <v>4.99999999999999</v>
      </c>
      <c r="AV83" s="1488" t="n"/>
    </row>
    <row r="84" ht="7.5" customFormat="1" customHeight="1" s="1418">
      <c r="A84" s="1489" t="n"/>
      <c r="B84" s="1528" t="n"/>
      <c r="C84" s="1529" t="n"/>
      <c r="D84" s="1529" t="n"/>
      <c r="E84" s="1529" t="n"/>
      <c r="F84" s="1529" t="n"/>
      <c r="G84" s="1529" t="n"/>
      <c r="H84" s="1529" t="n"/>
      <c r="I84" s="1529" t="n"/>
      <c r="J84" s="1529" t="n"/>
      <c r="K84" s="1529" t="n"/>
      <c r="L84" s="1529" t="n"/>
      <c r="M84" s="1529" t="n"/>
      <c r="N84" s="1529" t="n"/>
      <c r="O84" s="1420" t="n"/>
      <c r="P84" s="1420" t="n"/>
      <c r="Q84" s="1420" t="n"/>
      <c r="R84" s="1420" t="n"/>
      <c r="S84" s="1529" t="n"/>
      <c r="T84" s="1420" t="n"/>
      <c r="U84" s="1420" t="n"/>
      <c r="V84" s="1420" t="n"/>
      <c r="W84" s="1420" t="n"/>
      <c r="X84" s="1529" t="n"/>
      <c r="Y84" s="1420" t="n"/>
      <c r="Z84" s="1420" t="n"/>
      <c r="AA84" s="1420" t="n"/>
      <c r="AB84" s="1420" t="n"/>
      <c r="AC84" s="1529" t="n"/>
      <c r="AD84" s="1420" t="n"/>
      <c r="AE84" s="1420" t="n"/>
      <c r="AF84" s="1420" t="n"/>
      <c r="AG84" s="1420" t="n"/>
      <c r="AH84" s="1529" t="n"/>
      <c r="AI84" s="1420" t="n"/>
      <c r="AJ84" s="1420" t="n"/>
      <c r="AK84" s="1421" t="n"/>
      <c r="AL84" s="1420" t="n"/>
      <c r="AM84" s="1529" t="n"/>
      <c r="AN84" s="1420" t="n"/>
      <c r="AO84" s="1420" t="n"/>
      <c r="AP84" s="1420" t="n"/>
      <c r="AQ84" s="1420" t="n"/>
      <c r="AR84" s="1529" t="n"/>
      <c r="AS84" s="1529" t="n"/>
      <c r="AT84" s="1529" t="n"/>
      <c r="AU84" s="1529" t="n"/>
      <c r="AV84" s="1422" t="n"/>
    </row>
    <row r="85" hidden="1" outlineLevel="1" ht="14.4" customFormat="1" customHeight="1" s="1418">
      <c r="A85" s="1490" t="inlineStr">
        <is>
          <t>GAAP G&amp;A, mm</t>
        </is>
      </c>
      <c r="B85" s="1528" t="n"/>
      <c r="C85" s="1529" t="n"/>
      <c r="D85" s="1529" t="n"/>
      <c r="E85" s="1529" t="n"/>
      <c r="F85" s="1529" t="n"/>
      <c r="G85" s="1529" t="n"/>
      <c r="H85" s="1529" t="n"/>
      <c r="I85" s="1529" t="n"/>
      <c r="J85" s="1529" t="n"/>
      <c r="K85" s="1529" t="n"/>
      <c r="L85" s="1529" t="n"/>
      <c r="M85" s="1529" t="n"/>
      <c r="N85" s="1529" t="n"/>
      <c r="O85" s="1420" t="n"/>
      <c r="P85" s="1420" t="n"/>
      <c r="Q85" s="1420" t="n"/>
      <c r="R85" s="1420" t="n"/>
      <c r="S85" s="1529" t="n"/>
      <c r="T85" s="1420" t="n"/>
      <c r="U85" s="1420" t="n"/>
      <c r="V85" s="1420" t="n"/>
      <c r="W85" s="1420" t="n"/>
      <c r="X85" s="1540">
        <f>X347</f>
        <v/>
      </c>
      <c r="Y85" s="1420" t="n"/>
      <c r="Z85" s="1420" t="n"/>
      <c r="AA85" s="1422">
        <f>AA347</f>
        <v/>
      </c>
      <c r="AB85" s="1422">
        <f>AB347</f>
        <v/>
      </c>
      <c r="AC85" s="1540">
        <f>AC347</f>
        <v/>
      </c>
      <c r="AD85" s="1422">
        <f>AD347</f>
        <v/>
      </c>
      <c r="AE85" s="1422">
        <f>AE347</f>
        <v/>
      </c>
      <c r="AF85" s="1422">
        <f>AF347</f>
        <v/>
      </c>
      <c r="AG85" s="1422">
        <f>AG347</f>
        <v/>
      </c>
      <c r="AH85" s="1540">
        <f>AH347</f>
        <v/>
      </c>
      <c r="AI85" s="1422">
        <f>AI347</f>
        <v/>
      </c>
      <c r="AJ85" s="1422">
        <f>AJ347</f>
        <v/>
      </c>
      <c r="AK85" s="1541">
        <f>AK347</f>
        <v/>
      </c>
      <c r="AL85" s="1422">
        <f>AL94+AL93+AL92+AL90</f>
        <v/>
      </c>
      <c r="AM85" s="1540">
        <f>SUM(AI85,AJ85,AK85,AL85)</f>
        <v/>
      </c>
      <c r="AN85" s="1422">
        <f>AN94+AN93+AN92+AN90</f>
        <v/>
      </c>
      <c r="AO85" s="1422">
        <f>AO94+AO93+AO92+AO90</f>
        <v/>
      </c>
      <c r="AP85" s="1422">
        <f>AP94+AP93+AP92+AP90</f>
        <v/>
      </c>
      <c r="AQ85" s="1422">
        <f>AQ94+AQ93+AQ92+AQ90</f>
        <v/>
      </c>
      <c r="AR85" s="1540">
        <f>SUM(AN85,AO85,AP85,AQ85)</f>
        <v/>
      </c>
      <c r="AS85" s="1540">
        <f>AS94+AS93+AS92+AS90</f>
        <v/>
      </c>
      <c r="AT85" s="1540">
        <f>AT94+AT93+AT92+AT90</f>
        <v/>
      </c>
      <c r="AU85" s="1540">
        <f>AU94+AU93+AU92+AU90</f>
        <v/>
      </c>
      <c r="AV85" s="1422" t="n"/>
    </row>
    <row r="86" hidden="1" outlineLevel="1" ht="14.4" customFormat="1" customHeight="1" s="1456">
      <c r="A86" s="1457" t="inlineStr">
        <is>
          <t>Y/Y GAAP G&amp;A growth, %</t>
        </is>
      </c>
      <c r="B86" s="1549" t="n"/>
      <c r="C86" s="1550" t="n"/>
      <c r="D86" s="1550" t="n"/>
      <c r="E86" s="1550" t="n"/>
      <c r="F86" s="1550" t="n"/>
      <c r="G86" s="1550" t="n"/>
      <c r="H86" s="1550" t="n"/>
      <c r="I86" s="1550" t="n"/>
      <c r="J86" s="1550" t="n"/>
      <c r="K86" s="1550" t="n"/>
      <c r="L86" s="1550" t="n"/>
      <c r="M86" s="1550" t="n"/>
      <c r="N86" s="1550" t="n"/>
      <c r="O86" s="1551" t="n"/>
      <c r="P86" s="1551" t="n"/>
      <c r="Q86" s="1551" t="n"/>
      <c r="R86" s="1551" t="n"/>
      <c r="S86" s="1550" t="n"/>
      <c r="T86" s="1551" t="n"/>
      <c r="U86" s="1551" t="n"/>
      <c r="V86" s="1551" t="n"/>
      <c r="W86" s="1551" t="n"/>
      <c r="X86" s="1550" t="n"/>
      <c r="Y86" s="1551" t="n"/>
      <c r="Z86" s="1551" t="n"/>
      <c r="AA86" s="1551" t="n"/>
      <c r="AB86" s="1551" t="n"/>
      <c r="AC86" s="1552">
        <f>AC85/X85-1</f>
        <v/>
      </c>
      <c r="AD86" s="1551" t="n"/>
      <c r="AE86" s="1551" t="n"/>
      <c r="AF86" s="1551" t="n"/>
      <c r="AG86" s="1463">
        <f>AG85/AB85-1</f>
        <v/>
      </c>
      <c r="AH86" s="1552">
        <f>AH85/AC85-1</f>
        <v/>
      </c>
      <c r="AI86" s="1551">
        <f>AI85/AD85-1</f>
        <v/>
      </c>
      <c r="AJ86" s="1551">
        <f>AJ85/AE85-1</f>
        <v/>
      </c>
      <c r="AK86" s="1553">
        <f>AK85/AF85-1</f>
        <v/>
      </c>
      <c r="AL86" s="1463">
        <f>AL85/AG85-1</f>
        <v/>
      </c>
      <c r="AM86" s="1552">
        <f>AM85/AH85-1</f>
        <v/>
      </c>
      <c r="AN86" s="1463">
        <f>AN85/AI85-1</f>
        <v/>
      </c>
      <c r="AO86" s="1463">
        <f>AO85/AJ85-1</f>
        <v/>
      </c>
      <c r="AP86" s="1463">
        <f>AP85/AK85-1</f>
        <v/>
      </c>
      <c r="AQ86" s="1463">
        <f>AQ85/AL85-1</f>
        <v/>
      </c>
      <c r="AR86" s="1552">
        <f>AR85/AM85-1</f>
        <v/>
      </c>
      <c r="AS86" s="1552">
        <f>AS85/AR85-1</f>
        <v/>
      </c>
      <c r="AT86" s="1552">
        <f>AT85/AS85-1</f>
        <v/>
      </c>
      <c r="AU86" s="1552">
        <f>AU85/AT85-1</f>
        <v/>
      </c>
      <c r="AV86" s="1463" t="n"/>
    </row>
    <row r="87" hidden="1" outlineLevel="1" ht="14.4" customFormat="1" customHeight="1" s="1432">
      <c r="A87" s="1473" t="inlineStr">
        <is>
          <t>GAAP G&amp;A margin, %</t>
        </is>
      </c>
      <c r="B87" s="1554" t="n"/>
      <c r="C87" s="1555" t="n"/>
      <c r="D87" s="1555" t="n"/>
      <c r="E87" s="1555" t="n"/>
      <c r="F87" s="1555" t="n"/>
      <c r="G87" s="1555" t="n"/>
      <c r="H87" s="1555" t="n"/>
      <c r="I87" s="1555" t="n"/>
      <c r="J87" s="1555" t="n"/>
      <c r="K87" s="1555" t="n"/>
      <c r="L87" s="1555" t="n"/>
      <c r="M87" s="1555" t="n"/>
      <c r="N87" s="1555" t="n"/>
      <c r="O87" s="1556" t="n"/>
      <c r="P87" s="1556" t="n"/>
      <c r="Q87" s="1556" t="n"/>
      <c r="R87" s="1556" t="n"/>
      <c r="S87" s="1555" t="n"/>
      <c r="T87" s="1556" t="n"/>
      <c r="U87" s="1556" t="n"/>
      <c r="V87" s="1556" t="n"/>
      <c r="W87" s="1556" t="n"/>
      <c r="X87" s="1557">
        <f>X85/X$40</f>
        <v/>
      </c>
      <c r="Y87" s="1556" t="n"/>
      <c r="Z87" s="1556" t="n"/>
      <c r="AA87" s="1437">
        <f>AA85/AA$40</f>
        <v/>
      </c>
      <c r="AB87" s="1437">
        <f>AB85/AB$40</f>
        <v/>
      </c>
      <c r="AC87" s="1557">
        <f>AC85/AC$40</f>
        <v/>
      </c>
      <c r="AD87" s="1437">
        <f>AD85/AD$40</f>
        <v/>
      </c>
      <c r="AE87" s="1437">
        <f>AE85/AE$40</f>
        <v/>
      </c>
      <c r="AF87" s="1437">
        <f>AF85/AF$40</f>
        <v/>
      </c>
      <c r="AG87" s="1437">
        <f>AG85/AG$40</f>
        <v/>
      </c>
      <c r="AH87" s="1557">
        <f>AH85/AH$40</f>
        <v/>
      </c>
      <c r="AI87" s="1437">
        <f>AI85/AI$40</f>
        <v/>
      </c>
      <c r="AJ87" s="1437">
        <f>AJ85/AJ$40</f>
        <v/>
      </c>
      <c r="AK87" s="1558">
        <f>AK85/AK$40</f>
        <v/>
      </c>
      <c r="AL87" s="1437">
        <f>AL85/AL$40</f>
        <v/>
      </c>
      <c r="AM87" s="1557">
        <f>AM85/AM$40</f>
        <v/>
      </c>
      <c r="AN87" s="1437">
        <f>AN85/AN$40</f>
        <v/>
      </c>
      <c r="AO87" s="1437">
        <f>AO85/AO$40</f>
        <v/>
      </c>
      <c r="AP87" s="1437">
        <f>AP85/AP$40</f>
        <v/>
      </c>
      <c r="AQ87" s="1437">
        <f>AQ85/AQ$40</f>
        <v/>
      </c>
      <c r="AR87" s="1557">
        <f>AR85/AR$40</f>
        <v/>
      </c>
      <c r="AS87" s="1557">
        <f>AS85/AS$40</f>
        <v/>
      </c>
      <c r="AT87" s="1557">
        <f>AT85/AT$40</f>
        <v/>
      </c>
      <c r="AU87" s="1557">
        <f>AU85/AU$40</f>
        <v/>
      </c>
      <c r="AV87" s="1437" t="n"/>
    </row>
    <row r="88" hidden="1" outlineLevel="1" ht="14.4" customFormat="1" customHeight="1" s="1480">
      <c r="A88" s="1559" t="inlineStr">
        <is>
          <t>Y/Y GAAP G&amp;A margin improvement, bps</t>
        </is>
      </c>
      <c r="B88" s="1560" t="n"/>
      <c r="C88" s="1561" t="n"/>
      <c r="D88" s="1561" t="n"/>
      <c r="E88" s="1561" t="n"/>
      <c r="F88" s="1561" t="n"/>
      <c r="G88" s="1561" t="n"/>
      <c r="H88" s="1561" t="n"/>
      <c r="I88" s="1561" t="n"/>
      <c r="J88" s="1561" t="n"/>
      <c r="K88" s="1561" t="n"/>
      <c r="L88" s="1561" t="n"/>
      <c r="M88" s="1561" t="n"/>
      <c r="N88" s="1561" t="n"/>
      <c r="O88" s="1562" t="n"/>
      <c r="P88" s="1562" t="n"/>
      <c r="Q88" s="1562" t="n"/>
      <c r="R88" s="1562" t="n"/>
      <c r="S88" s="1561" t="n"/>
      <c r="T88" s="1562" t="n"/>
      <c r="U88" s="1562" t="n"/>
      <c r="V88" s="1562" t="n"/>
      <c r="W88" s="1562" t="n"/>
      <c r="X88" s="1561" t="n"/>
      <c r="Y88" s="1562" t="n"/>
      <c r="Z88" s="1562" t="n"/>
      <c r="AA88" s="1562" t="n"/>
      <c r="AB88" s="1562" t="n"/>
      <c r="AC88" s="1561">
        <f>-(AC87-X87)*10000</f>
        <v/>
      </c>
      <c r="AD88" s="1562" t="n"/>
      <c r="AE88" s="1562" t="n"/>
      <c r="AF88" s="1562" t="n"/>
      <c r="AG88" s="1562">
        <f>-(AG87-AB87)*10000</f>
        <v/>
      </c>
      <c r="AH88" s="1561">
        <f>-(AH87-AC87)*10000</f>
        <v/>
      </c>
      <c r="AI88" s="1562">
        <f>-(AI87-AD87)*10000</f>
        <v/>
      </c>
      <c r="AJ88" s="1562">
        <f>-(AJ87-AE87)*10000</f>
        <v/>
      </c>
      <c r="AK88" s="1563">
        <f>-(AK87-AF87)*10000</f>
        <v/>
      </c>
      <c r="AL88" s="1562">
        <f>-(AL87-AG87)*10000</f>
        <v/>
      </c>
      <c r="AM88" s="1561">
        <f>-(AM87-AH87)*10000</f>
        <v/>
      </c>
      <c r="AN88" s="1562">
        <f>-(AN87-AI87)*10000</f>
        <v/>
      </c>
      <c r="AO88" s="1562">
        <f>-(AO87-AJ87)*10000</f>
        <v/>
      </c>
      <c r="AP88" s="1562">
        <f>-(AP87-AK87)*10000</f>
        <v/>
      </c>
      <c r="AQ88" s="1562">
        <f>-(AQ87-AL87)*10000</f>
        <v/>
      </c>
      <c r="AR88" s="1561">
        <f>-(AR87-AM87)*10000</f>
        <v/>
      </c>
      <c r="AS88" s="1561">
        <f>-(AS87-AR87)*10000</f>
        <v/>
      </c>
      <c r="AT88" s="1561">
        <f>-(AT87-AS87)*10000</f>
        <v/>
      </c>
      <c r="AU88" s="1561">
        <f>-(AU87-AT87)*10000</f>
        <v/>
      </c>
      <c r="AV88" s="1488" t="n"/>
    </row>
    <row r="89" hidden="1" outlineLevel="1" ht="14.4" customFormat="1" customHeight="1" s="1480">
      <c r="A89" s="1559" t="n"/>
      <c r="B89" s="1560" t="n"/>
      <c r="C89" s="1561" t="n"/>
      <c r="D89" s="1561" t="n"/>
      <c r="E89" s="1561" t="n"/>
      <c r="F89" s="1561" t="n"/>
      <c r="G89" s="1561" t="n"/>
      <c r="H89" s="1561" t="n"/>
      <c r="I89" s="1561" t="n"/>
      <c r="J89" s="1561" t="n"/>
      <c r="K89" s="1561" t="n"/>
      <c r="L89" s="1561" t="n"/>
      <c r="M89" s="1561" t="n"/>
      <c r="N89" s="1561" t="n"/>
      <c r="O89" s="1562" t="n"/>
      <c r="P89" s="1562" t="n"/>
      <c r="Q89" s="1562" t="n"/>
      <c r="R89" s="1562" t="n"/>
      <c r="S89" s="1561" t="n"/>
      <c r="T89" s="1562" t="n"/>
      <c r="U89" s="1562" t="n"/>
      <c r="V89" s="1562" t="n"/>
      <c r="W89" s="1562" t="n"/>
      <c r="X89" s="1561" t="n"/>
      <c r="Y89" s="1562" t="n"/>
      <c r="Z89" s="1562" t="n"/>
      <c r="AA89" s="1562" t="n"/>
      <c r="AB89" s="1562" t="n"/>
      <c r="AC89" s="1561" t="n"/>
      <c r="AD89" s="1562" t="n"/>
      <c r="AE89" s="1562" t="n"/>
      <c r="AF89" s="1562" t="n"/>
      <c r="AG89" s="1562" t="n"/>
      <c r="AH89" s="1561" t="n"/>
      <c r="AI89" s="1562" t="n"/>
      <c r="AJ89" s="1562" t="n"/>
      <c r="AK89" s="1563" t="n"/>
      <c r="AL89" s="1562" t="n"/>
      <c r="AM89" s="1561" t="n"/>
      <c r="AN89" s="1562" t="n"/>
      <c r="AO89" s="1562" t="n"/>
      <c r="AP89" s="1562" t="n"/>
      <c r="AQ89" s="1562" t="n"/>
      <c r="AR89" s="1561" t="n"/>
      <c r="AS89" s="1561" t="n"/>
      <c r="AT89" s="1561" t="n"/>
      <c r="AU89" s="1561" t="n"/>
      <c r="AV89" s="1488" t="n"/>
    </row>
    <row r="90" hidden="1" outlineLevel="1" ht="14.4" customFormat="1" customHeight="1" s="1418">
      <c r="A90" s="1467" t="inlineStr">
        <is>
          <t>SBC G&amp;A, mm</t>
        </is>
      </c>
      <c r="B90" s="1528" t="n"/>
      <c r="C90" s="1529" t="n"/>
      <c r="D90" s="1529" t="n"/>
      <c r="E90" s="1529" t="n"/>
      <c r="F90" s="1529" t="n"/>
      <c r="G90" s="1529" t="n"/>
      <c r="H90" s="1529" t="n"/>
      <c r="I90" s="1529" t="n"/>
      <c r="J90" s="1529" t="n"/>
      <c r="K90" s="1529" t="n"/>
      <c r="L90" s="1529" t="n"/>
      <c r="M90" s="1529" t="n"/>
      <c r="N90" s="1529" t="n"/>
      <c r="O90" s="1420" t="n"/>
      <c r="P90" s="1420" t="n"/>
      <c r="Q90" s="1420" t="n"/>
      <c r="R90" s="1420" t="n"/>
      <c r="S90" s="1529" t="n"/>
      <c r="T90" s="1420" t="n"/>
      <c r="U90" s="1420" t="n"/>
      <c r="V90" s="1420" t="n"/>
      <c r="W90" s="1420" t="n"/>
      <c r="X90" s="1529">
        <f>X348</f>
        <v/>
      </c>
      <c r="Y90" s="1420" t="n"/>
      <c r="Z90" s="1420" t="n"/>
      <c r="AA90" s="1420">
        <f>AA348</f>
        <v/>
      </c>
      <c r="AB90" s="1420">
        <f>AB348</f>
        <v/>
      </c>
      <c r="AC90" s="1529">
        <f>AC348</f>
        <v/>
      </c>
      <c r="AD90" s="1420">
        <f>AD348</f>
        <v/>
      </c>
      <c r="AE90" s="1420">
        <f>AE348</f>
        <v/>
      </c>
      <c r="AF90" s="1420">
        <f>AF348</f>
        <v/>
      </c>
      <c r="AG90" s="1420">
        <f>AG348</f>
        <v/>
      </c>
      <c r="AH90" s="1529">
        <f>AH348</f>
        <v/>
      </c>
      <c r="AI90" s="1420">
        <f>AI348</f>
        <v/>
      </c>
      <c r="AJ90" s="1420">
        <f>AJ348</f>
        <v/>
      </c>
      <c r="AK90" s="1421">
        <f>AK348</f>
        <v/>
      </c>
      <c r="AL90" s="1420">
        <f>AL91*AL40</f>
        <v/>
      </c>
      <c r="AM90" s="1529">
        <f>SUM(AI90,AJ90,AK90,AL90)</f>
        <v/>
      </c>
      <c r="AN90" s="1420">
        <f>AN91*AN40</f>
        <v/>
      </c>
      <c r="AO90" s="1420">
        <f>AO91*AO40</f>
        <v/>
      </c>
      <c r="AP90" s="1420">
        <f>AP91*AP40</f>
        <v/>
      </c>
      <c r="AQ90" s="1420">
        <f>AQ91*AQ40</f>
        <v/>
      </c>
      <c r="AR90" s="1529">
        <f>SUM(AN90,AO90,AP90,AQ90)</f>
        <v/>
      </c>
      <c r="AS90" s="1529">
        <f>AS91*AS40</f>
        <v/>
      </c>
      <c r="AT90" s="1529">
        <f>AT91*AT40</f>
        <v/>
      </c>
      <c r="AU90" s="1529">
        <f>AU91*AU40</f>
        <v/>
      </c>
      <c r="AV90" s="1422" t="n"/>
    </row>
    <row r="91" hidden="1" outlineLevel="1" ht="14.4" customFormat="1" customHeight="1" s="1432">
      <c r="A91" s="1564" t="inlineStr">
        <is>
          <t>SBC G&amp;A as % of revenue, %</t>
        </is>
      </c>
      <c r="B91" s="1554" t="n"/>
      <c r="C91" s="1555" t="n"/>
      <c r="D91" s="1555" t="n"/>
      <c r="E91" s="1555" t="n"/>
      <c r="F91" s="1555" t="n"/>
      <c r="G91" s="1555" t="n"/>
      <c r="H91" s="1555" t="n"/>
      <c r="I91" s="1555" t="n"/>
      <c r="J91" s="1555" t="n"/>
      <c r="K91" s="1555" t="n"/>
      <c r="L91" s="1555" t="n"/>
      <c r="M91" s="1555" t="n"/>
      <c r="N91" s="1555" t="n"/>
      <c r="O91" s="1556" t="n"/>
      <c r="P91" s="1556" t="n"/>
      <c r="Q91" s="1556" t="n"/>
      <c r="R91" s="1556" t="n"/>
      <c r="S91" s="1555" t="n"/>
      <c r="T91" s="1556" t="n"/>
      <c r="U91" s="1556" t="n"/>
      <c r="V91" s="1556" t="n"/>
      <c r="W91" s="1556" t="n"/>
      <c r="X91" s="1555">
        <f>X90/X40</f>
        <v/>
      </c>
      <c r="Y91" s="1556" t="n"/>
      <c r="Z91" s="1556" t="n"/>
      <c r="AA91" s="1556">
        <f>AA90/AA40</f>
        <v/>
      </c>
      <c r="AB91" s="1556">
        <f>AB90/AB40</f>
        <v/>
      </c>
      <c r="AC91" s="1555">
        <f>AC90/AC40</f>
        <v/>
      </c>
      <c r="AD91" s="1556">
        <f>AD90/AD40</f>
        <v/>
      </c>
      <c r="AE91" s="1556">
        <f>AE90/AE40</f>
        <v/>
      </c>
      <c r="AF91" s="1556">
        <f>AF90/AF40</f>
        <v/>
      </c>
      <c r="AG91" s="1556">
        <f>AG90/AG40</f>
        <v/>
      </c>
      <c r="AH91" s="1555">
        <f>AH90/AH40</f>
        <v/>
      </c>
      <c r="AI91" s="1556">
        <f>AI90/AI40</f>
        <v/>
      </c>
      <c r="AJ91" s="1556">
        <f>AJ90/AJ40</f>
        <v/>
      </c>
      <c r="AK91" s="1565">
        <f>AK90/AK40</f>
        <v/>
      </c>
      <c r="AL91" s="1566" t="n">
        <v>0.13</v>
      </c>
      <c r="AM91" s="1555">
        <f>AM90/AM40</f>
        <v/>
      </c>
      <c r="AN91" s="1566" t="n">
        <v>0.13</v>
      </c>
      <c r="AO91" s="1566" t="n">
        <v>0.13</v>
      </c>
      <c r="AP91" s="1566" t="n">
        <v>0.13</v>
      </c>
      <c r="AQ91" s="1566" t="n">
        <v>0.13</v>
      </c>
      <c r="AR91" s="1555">
        <f>AR90/AR40</f>
        <v/>
      </c>
      <c r="AS91" s="1567" t="n">
        <v>0.13</v>
      </c>
      <c r="AT91" s="1567" t="n">
        <v>0.13</v>
      </c>
      <c r="AU91" s="1567" t="n">
        <v>0.13</v>
      </c>
      <c r="AV91" s="1437" t="n"/>
    </row>
    <row r="92" hidden="1" outlineLevel="1" ht="14.4" customFormat="1" customHeight="1" s="1418">
      <c r="A92" s="1467" t="inlineStr">
        <is>
          <t>Amortization of Intangibles G&amp;A, mm</t>
        </is>
      </c>
      <c r="B92" s="1528" t="n"/>
      <c r="C92" s="1529" t="n"/>
      <c r="D92" s="1529" t="n"/>
      <c r="E92" s="1529" t="n"/>
      <c r="F92" s="1529" t="n"/>
      <c r="G92" s="1529" t="n"/>
      <c r="H92" s="1529" t="n"/>
      <c r="I92" s="1529" t="n"/>
      <c r="J92" s="1529" t="n"/>
      <c r="K92" s="1529" t="n"/>
      <c r="L92" s="1529" t="n"/>
      <c r="M92" s="1529" t="n"/>
      <c r="N92" s="1529" t="n"/>
      <c r="O92" s="1420" t="n"/>
      <c r="P92" s="1420" t="n"/>
      <c r="Q92" s="1420" t="n"/>
      <c r="R92" s="1420" t="n"/>
      <c r="S92" s="1529" t="n"/>
      <c r="T92" s="1420" t="n"/>
      <c r="U92" s="1420" t="n"/>
      <c r="V92" s="1420" t="n"/>
      <c r="W92" s="1420" t="n"/>
      <c r="X92" s="1529" t="n"/>
      <c r="Y92" s="1420" t="n"/>
      <c r="Z92" s="1420" t="n"/>
      <c r="AA92" s="1420" t="n"/>
      <c r="AB92" s="1420" t="n"/>
      <c r="AC92" s="1529" t="n"/>
      <c r="AD92" s="1420" t="n"/>
      <c r="AE92" s="1420" t="n"/>
      <c r="AF92" s="1420" t="n"/>
      <c r="AG92" s="1420" t="n"/>
      <c r="AH92" s="1529" t="n"/>
      <c r="AI92" s="1420" t="n"/>
      <c r="AJ92" s="1420">
        <f>AJ349</f>
        <v/>
      </c>
      <c r="AK92" s="1421">
        <f>AK349</f>
        <v/>
      </c>
      <c r="AL92" s="1420" t="n"/>
      <c r="AM92" s="1529">
        <f>SUM(AI92,AJ92,AK92,AL92)</f>
        <v/>
      </c>
      <c r="AN92" s="1420" t="n"/>
      <c r="AO92" s="1420" t="n"/>
      <c r="AP92" s="1420" t="n"/>
      <c r="AQ92" s="1420" t="n"/>
      <c r="AR92" s="1529">
        <f>SUM(AN92,AO92,AP92,AQ92)</f>
        <v/>
      </c>
      <c r="AS92" s="1529" t="n"/>
      <c r="AT92" s="1529" t="n"/>
      <c r="AU92" s="1529" t="n"/>
      <c r="AV92" s="1422" t="n"/>
    </row>
    <row r="93" hidden="1" outlineLevel="1" ht="14.4" customFormat="1" customHeight="1" s="1418">
      <c r="A93" s="1580" t="inlineStr">
        <is>
          <t>Other G&amp;A Adjustments, mm</t>
        </is>
      </c>
      <c r="B93" s="1581" t="n"/>
      <c r="C93" s="1582" t="n"/>
      <c r="D93" s="1582" t="n"/>
      <c r="E93" s="1582" t="n"/>
      <c r="F93" s="1582" t="n"/>
      <c r="G93" s="1582" t="n"/>
      <c r="H93" s="1582" t="n"/>
      <c r="I93" s="1582" t="n"/>
      <c r="J93" s="1582" t="n"/>
      <c r="K93" s="1582" t="n"/>
      <c r="L93" s="1582" t="n"/>
      <c r="M93" s="1582" t="n"/>
      <c r="N93" s="1582" t="n"/>
      <c r="O93" s="1583" t="n"/>
      <c r="P93" s="1583" t="n"/>
      <c r="Q93" s="1583" t="n"/>
      <c r="R93" s="1583" t="n"/>
      <c r="S93" s="1582" t="n"/>
      <c r="T93" s="1583" t="n"/>
      <c r="U93" s="1583" t="n"/>
      <c r="V93" s="1583" t="n"/>
      <c r="W93" s="1583" t="n"/>
      <c r="X93" s="1582" t="n"/>
      <c r="Y93" s="1583" t="n"/>
      <c r="Z93" s="1583" t="n"/>
      <c r="AA93" s="1583" t="n"/>
      <c r="AB93" s="1583" t="n"/>
      <c r="AC93" s="1582" t="n"/>
      <c r="AD93" s="1583">
        <f>AD350</f>
        <v/>
      </c>
      <c r="AE93" s="1583">
        <f>AE350</f>
        <v/>
      </c>
      <c r="AF93" s="1583">
        <f>AF350</f>
        <v/>
      </c>
      <c r="AG93" s="1583">
        <f>AG350</f>
        <v/>
      </c>
      <c r="AH93" s="1582">
        <f>AH350</f>
        <v/>
      </c>
      <c r="AI93" s="1583">
        <f>AI350</f>
        <v/>
      </c>
      <c r="AJ93" s="1583">
        <f>AJ350</f>
        <v/>
      </c>
      <c r="AK93" s="1584">
        <f>AK350</f>
        <v/>
      </c>
      <c r="AL93" s="1585" t="n">
        <v>0</v>
      </c>
      <c r="AM93" s="1582">
        <f>SUM(AI93,AJ93,AK93,AL93)</f>
        <v/>
      </c>
      <c r="AN93" s="1585" t="n">
        <v>0</v>
      </c>
      <c r="AO93" s="1585" t="n">
        <v>0</v>
      </c>
      <c r="AP93" s="1585" t="n">
        <v>0</v>
      </c>
      <c r="AQ93" s="1585" t="n">
        <v>0</v>
      </c>
      <c r="AR93" s="1582">
        <f>SUM(AN93,AO93,AP93,AQ93)</f>
        <v/>
      </c>
      <c r="AS93" s="1586" t="n">
        <v>0</v>
      </c>
      <c r="AT93" s="1586" t="n">
        <v>0</v>
      </c>
      <c r="AU93" s="1586" t="n">
        <v>0</v>
      </c>
      <c r="AV93" s="1422" t="n"/>
    </row>
    <row r="94" collapsed="1" ht="14.4" customFormat="1" customHeight="1" s="1418">
      <c r="A94" s="1489" t="inlineStr">
        <is>
          <t>Non-GAAP G&amp;A Expense, mm</t>
        </is>
      </c>
      <c r="B94" s="1528" t="n"/>
      <c r="C94" s="1529" t="n"/>
      <c r="D94" s="1529" t="n"/>
      <c r="E94" s="1529" t="n"/>
      <c r="F94" s="1529" t="n"/>
      <c r="G94" s="1529" t="n"/>
      <c r="H94" s="1529" t="n"/>
      <c r="I94" s="1529" t="n"/>
      <c r="J94" s="1529" t="n"/>
      <c r="K94" s="1529" t="n"/>
      <c r="L94" s="1529" t="n"/>
      <c r="M94" s="1529" t="n"/>
      <c r="N94" s="1529" t="n"/>
      <c r="O94" s="1420" t="n"/>
      <c r="P94" s="1420" t="n"/>
      <c r="Q94" s="1420" t="n"/>
      <c r="R94" s="1420" t="n"/>
      <c r="S94" s="1529" t="n"/>
      <c r="T94" s="1420" t="n"/>
      <c r="U94" s="1420" t="n"/>
      <c r="V94" s="1420" t="n"/>
      <c r="W94" s="1420" t="n"/>
      <c r="X94" s="1529">
        <f>X85-X90-X92-X93</f>
        <v/>
      </c>
      <c r="Y94" s="1420" t="n"/>
      <c r="Z94" s="1420" t="n"/>
      <c r="AA94" s="1420">
        <f>AA85-AA90-AA92-AA93</f>
        <v/>
      </c>
      <c r="AB94" s="1420">
        <f>AB85-AB90-AB92-AB93</f>
        <v/>
      </c>
      <c r="AC94" s="1529">
        <f>AC85-AC90-AC92-AC93</f>
        <v/>
      </c>
      <c r="AD94" s="1420">
        <f>AD85-AD90-AD92-AD93</f>
        <v/>
      </c>
      <c r="AE94" s="1420">
        <f>AE85-AE90-AE92-AE93</f>
        <v/>
      </c>
      <c r="AF94" s="1420">
        <f>AF85-AF90-AF92-AF93</f>
        <v/>
      </c>
      <c r="AG94" s="1420">
        <f>AG85-AG90-AG92-AG93</f>
        <v/>
      </c>
      <c r="AH94" s="1529">
        <f>AH85-AH90-AH92-AH93</f>
        <v/>
      </c>
      <c r="AI94" s="1420">
        <f>AI85-AI90-AI92-AI93</f>
        <v/>
      </c>
      <c r="AJ94" s="1420">
        <f>AJ85-AJ90-AJ92-AJ93</f>
        <v/>
      </c>
      <c r="AK94" s="1421">
        <f>AK85-AK90-AK92-AK93</f>
        <v/>
      </c>
      <c r="AL94" s="1420">
        <f>AL96*AL40</f>
        <v/>
      </c>
      <c r="AM94" s="1529">
        <f>AM85-AM90-AM92-AM93</f>
        <v/>
      </c>
      <c r="AN94" s="1420">
        <f>AN96*AN40</f>
        <v/>
      </c>
      <c r="AO94" s="1420">
        <f>AO96*AO40</f>
        <v/>
      </c>
      <c r="AP94" s="1420">
        <f>AP96*AP40</f>
        <v/>
      </c>
      <c r="AQ94" s="1420">
        <f>AQ96*AQ40</f>
        <v/>
      </c>
      <c r="AR94" s="1529">
        <f>AR85-AR90-AR92-AR93</f>
        <v/>
      </c>
      <c r="AS94" s="1529">
        <f>AS96*AS40</f>
        <v/>
      </c>
      <c r="AT94" s="1529">
        <f>AT96*AT40</f>
        <v/>
      </c>
      <c r="AU94" s="1529">
        <f>AU96*AU40</f>
        <v/>
      </c>
      <c r="AV94" s="1422" t="n"/>
    </row>
    <row r="95" ht="14.4" customFormat="1" customHeight="1" s="1418">
      <c r="A95" s="1569" t="inlineStr">
        <is>
          <t>Y/Y Non-GAAP G&amp;A Expense growth, %</t>
        </is>
      </c>
      <c r="B95" s="1570" t="n"/>
      <c r="C95" s="1550" t="n"/>
      <c r="D95" s="1550" t="n"/>
      <c r="E95" s="1550" t="n"/>
      <c r="F95" s="1550" t="n"/>
      <c r="G95" s="1550" t="n"/>
      <c r="H95" s="1550" t="n"/>
      <c r="I95" s="1550" t="n"/>
      <c r="J95" s="1550" t="n"/>
      <c r="K95" s="1550" t="n"/>
      <c r="L95" s="1550" t="n"/>
      <c r="M95" s="1550" t="n"/>
      <c r="N95" s="1550" t="n"/>
      <c r="O95" s="1551" t="n"/>
      <c r="P95" s="1551" t="n"/>
      <c r="Q95" s="1551" t="n"/>
      <c r="R95" s="1551" t="n"/>
      <c r="S95" s="1550" t="n"/>
      <c r="T95" s="1551" t="n"/>
      <c r="U95" s="1551" t="n"/>
      <c r="V95" s="1551" t="n"/>
      <c r="W95" s="1551" t="n"/>
      <c r="X95" s="1550" t="n"/>
      <c r="Y95" s="1551" t="n"/>
      <c r="Z95" s="1551" t="n"/>
      <c r="AA95" s="1551" t="n"/>
      <c r="AB95" s="1551" t="n"/>
      <c r="AC95" s="1550">
        <f>AC94/X94-1</f>
        <v/>
      </c>
      <c r="AD95" s="1551" t="n"/>
      <c r="AE95" s="1551" t="n"/>
      <c r="AF95" s="1551" t="n"/>
      <c r="AG95" s="1551">
        <f>AG94/AB94-1</f>
        <v/>
      </c>
      <c r="AH95" s="1550">
        <f>AH94/AC94-1</f>
        <v/>
      </c>
      <c r="AI95" s="1551">
        <f>AI94/AD94-1</f>
        <v/>
      </c>
      <c r="AJ95" s="1551">
        <f>AJ94/AE94-1</f>
        <v/>
      </c>
      <c r="AK95" s="1553">
        <f>AK94/AF94-1</f>
        <v/>
      </c>
      <c r="AL95" s="1551">
        <f>AL94/AG94-1</f>
        <v/>
      </c>
      <c r="AM95" s="1550">
        <f>AM94/AH94-1</f>
        <v/>
      </c>
      <c r="AN95" s="1551">
        <f>AN94/AI94-1</f>
        <v/>
      </c>
      <c r="AO95" s="1551">
        <f>AO94/AJ94-1</f>
        <v/>
      </c>
      <c r="AP95" s="1551">
        <f>AP94/AK94-1</f>
        <v/>
      </c>
      <c r="AQ95" s="1551">
        <f>AQ94/AL94-1</f>
        <v/>
      </c>
      <c r="AR95" s="1550">
        <f>AR94/AM94-1</f>
        <v/>
      </c>
      <c r="AS95" s="1550">
        <f>AS94/AR94-1</f>
        <v/>
      </c>
      <c r="AT95" s="1550">
        <f>AT94/AS94-1</f>
        <v/>
      </c>
      <c r="AU95" s="1550">
        <f>AU94/AT94-1</f>
        <v/>
      </c>
      <c r="AV95" s="1422" t="n"/>
    </row>
    <row r="96" ht="14.4" customFormat="1" customHeight="1" s="1432">
      <c r="A96" s="1571" t="inlineStr">
        <is>
          <t>Non-GAAP G&amp;A Margin, %</t>
        </is>
      </c>
      <c r="B96" s="1554" t="n"/>
      <c r="C96" s="1555" t="n"/>
      <c r="D96" s="1555" t="n"/>
      <c r="E96" s="1555" t="n"/>
      <c r="F96" s="1555" t="n"/>
      <c r="G96" s="1555" t="n"/>
      <c r="H96" s="1555" t="n"/>
      <c r="I96" s="1555" t="n"/>
      <c r="J96" s="1555" t="n"/>
      <c r="K96" s="1555" t="n"/>
      <c r="L96" s="1555" t="n"/>
      <c r="M96" s="1555" t="n"/>
      <c r="N96" s="1555" t="n"/>
      <c r="O96" s="1556" t="n"/>
      <c r="P96" s="1556" t="n"/>
      <c r="Q96" s="1556" t="n"/>
      <c r="R96" s="1556" t="n"/>
      <c r="S96" s="1555" t="n"/>
      <c r="T96" s="1556" t="n"/>
      <c r="U96" s="1556" t="n"/>
      <c r="V96" s="1556" t="n"/>
      <c r="W96" s="1556" t="n"/>
      <c r="X96" s="1555">
        <f>X94/X40</f>
        <v/>
      </c>
      <c r="Y96" s="1556" t="n"/>
      <c r="Z96" s="1556" t="n"/>
      <c r="AA96" s="1556">
        <f>AA94/AA40</f>
        <v/>
      </c>
      <c r="AB96" s="1556">
        <f>AB94/AB40</f>
        <v/>
      </c>
      <c r="AC96" s="1555">
        <f>AC94/AC40</f>
        <v/>
      </c>
      <c r="AD96" s="1556">
        <f>AD94/AD40</f>
        <v/>
      </c>
      <c r="AE96" s="1556">
        <f>AE94/AE40</f>
        <v/>
      </c>
      <c r="AF96" s="1556">
        <f>AF94/AF40</f>
        <v/>
      </c>
      <c r="AG96" s="1556">
        <f>AG94/AG40</f>
        <v/>
      </c>
      <c r="AH96" s="1555">
        <f>AH94/AH40</f>
        <v/>
      </c>
      <c r="AI96" s="1556">
        <f>AI94/AI40</f>
        <v/>
      </c>
      <c r="AJ96" s="1556">
        <f>AJ94/AJ40</f>
        <v/>
      </c>
      <c r="AK96" s="1565">
        <f>AK94/AK40</f>
        <v/>
      </c>
      <c r="AL96" s="1556">
        <f>AG96-AL97/10000</f>
        <v/>
      </c>
      <c r="AM96" s="1555">
        <f>AM94/AM40</f>
        <v/>
      </c>
      <c r="AN96" s="1556">
        <f>AI96-AN97/10000</f>
        <v/>
      </c>
      <c r="AO96" s="1556">
        <f>AJ96-AO97/10000</f>
        <v/>
      </c>
      <c r="AP96" s="1556">
        <f>AK96-AP97/10000</f>
        <v/>
      </c>
      <c r="AQ96" s="1556">
        <f>AL96-AQ97/10000</f>
        <v/>
      </c>
      <c r="AR96" s="1555">
        <f>AR94/AR40</f>
        <v/>
      </c>
      <c r="AS96" s="1555">
        <f>AR96-AS97/10000</f>
        <v/>
      </c>
      <c r="AT96" s="1555">
        <f>AS96-AT97/10000</f>
        <v/>
      </c>
      <c r="AU96" s="1555">
        <f>AT96-AU97/10000</f>
        <v/>
      </c>
      <c r="AV96" s="1437" t="n"/>
    </row>
    <row r="97" ht="14.4" customFormat="1" customHeight="1" s="1480">
      <c r="A97" s="1559" t="inlineStr">
        <is>
          <t>Y/Y improvement in Non-GAAP G&amp;A Margin, bps</t>
        </is>
      </c>
      <c r="B97" s="1560" t="n"/>
      <c r="C97" s="1561" t="n"/>
      <c r="D97" s="1561" t="n"/>
      <c r="E97" s="1561" t="n"/>
      <c r="F97" s="1561" t="n"/>
      <c r="G97" s="1561" t="n"/>
      <c r="H97" s="1561" t="n"/>
      <c r="I97" s="1561" t="n"/>
      <c r="J97" s="1561" t="n"/>
      <c r="K97" s="1561" t="n"/>
      <c r="L97" s="1561" t="n"/>
      <c r="M97" s="1561" t="n"/>
      <c r="N97" s="1561" t="n"/>
      <c r="O97" s="1562" t="n"/>
      <c r="P97" s="1562" t="n"/>
      <c r="Q97" s="1562" t="n"/>
      <c r="R97" s="1562" t="n"/>
      <c r="S97" s="1561" t="n"/>
      <c r="T97" s="1562" t="n"/>
      <c r="U97" s="1562" t="n"/>
      <c r="V97" s="1562" t="n"/>
      <c r="W97" s="1562" t="n"/>
      <c r="X97" s="1561" t="n"/>
      <c r="Y97" s="1562" t="n"/>
      <c r="Z97" s="1562" t="n"/>
      <c r="AA97" s="1562" t="n"/>
      <c r="AB97" s="1562" t="n"/>
      <c r="AC97" s="1561">
        <f>-(AC96-X96)*10000</f>
        <v/>
      </c>
      <c r="AD97" s="1562" t="n"/>
      <c r="AE97" s="1562" t="n"/>
      <c r="AF97" s="1562" t="n"/>
      <c r="AG97" s="1562">
        <f>-(AG96-AB96)*10000</f>
        <v/>
      </c>
      <c r="AH97" s="1561">
        <f>-(AH96-AC96)*10000</f>
        <v/>
      </c>
      <c r="AI97" s="1562">
        <f>-(AI96-AD96)*10000</f>
        <v/>
      </c>
      <c r="AJ97" s="1562">
        <f>-(AJ96-AE96)*10000</f>
        <v/>
      </c>
      <c r="AK97" s="1563">
        <f>-(AK96-AF96)*10000</f>
        <v/>
      </c>
      <c r="AL97" s="1573" t="n">
        <v>5</v>
      </c>
      <c r="AM97" s="1561">
        <f>-(AM96-AH96)*10000</f>
        <v/>
      </c>
      <c r="AN97" s="1573" t="n">
        <v>50</v>
      </c>
      <c r="AO97" s="1573" t="n">
        <v>50</v>
      </c>
      <c r="AP97" s="1573" t="n">
        <v>50</v>
      </c>
      <c r="AQ97" s="1573" t="n">
        <v>50</v>
      </c>
      <c r="AR97" s="1561">
        <f>-(AR96-AM96)*10000</f>
        <v/>
      </c>
      <c r="AS97" s="1574" t="n">
        <v>4.99999999999987</v>
      </c>
      <c r="AT97" s="1574" t="n">
        <v>4.99999999999987</v>
      </c>
      <c r="AU97" s="1574" t="n">
        <v>4.99999999999987</v>
      </c>
      <c r="AV97" s="1488" t="n"/>
    </row>
    <row r="98" ht="7.5" customFormat="1" customHeight="1" s="1418">
      <c r="A98" s="1559" t="n"/>
      <c r="B98" s="1528" t="n"/>
      <c r="C98" s="1561" t="n"/>
      <c r="D98" s="1561" t="n"/>
      <c r="E98" s="1561" t="n"/>
      <c r="F98" s="1561" t="n"/>
      <c r="G98" s="1561" t="n"/>
      <c r="H98" s="1561" t="n"/>
      <c r="I98" s="1561" t="n"/>
      <c r="J98" s="1561" t="n"/>
      <c r="K98" s="1561" t="n"/>
      <c r="L98" s="1561" t="n"/>
      <c r="M98" s="1561" t="n"/>
      <c r="N98" s="1561" t="n"/>
      <c r="O98" s="1562" t="n"/>
      <c r="P98" s="1562" t="n"/>
      <c r="Q98" s="1562" t="n"/>
      <c r="R98" s="1562" t="n"/>
      <c r="S98" s="1561" t="n"/>
      <c r="T98" s="1562" t="n"/>
      <c r="U98" s="1562" t="n"/>
      <c r="V98" s="1562" t="n"/>
      <c r="W98" s="1562" t="n"/>
      <c r="X98" s="1561" t="n"/>
      <c r="Y98" s="1562" t="n"/>
      <c r="Z98" s="1562" t="n"/>
      <c r="AA98" s="1562" t="n"/>
      <c r="AB98" s="1562" t="n"/>
      <c r="AC98" s="1561" t="n"/>
      <c r="AD98" s="1562" t="n"/>
      <c r="AE98" s="1562" t="n"/>
      <c r="AF98" s="1562" t="n"/>
      <c r="AG98" s="1562" t="n"/>
      <c r="AH98" s="1561" t="n"/>
      <c r="AI98" s="1562" t="n"/>
      <c r="AJ98" s="1562" t="n"/>
      <c r="AK98" s="1563" t="n"/>
      <c r="AL98" s="1562" t="n"/>
      <c r="AM98" s="1561" t="n"/>
      <c r="AN98" s="1562" t="n"/>
      <c r="AO98" s="1562" t="n"/>
      <c r="AP98" s="1562" t="n"/>
      <c r="AQ98" s="1562" t="n"/>
      <c r="AR98" s="1561" t="n"/>
      <c r="AS98" s="1561" t="n"/>
      <c r="AT98" s="1561" t="n"/>
      <c r="AU98" s="1561" t="n"/>
      <c r="AV98" s="1422" t="n"/>
    </row>
    <row r="99" hidden="1" outlineLevel="1" ht="14.4" customFormat="1" customHeight="1" s="1438">
      <c r="A99" s="1542" t="inlineStr">
        <is>
          <t>GAAP Operating Income, mm</t>
        </is>
      </c>
      <c r="B99" s="1543" t="n"/>
      <c r="C99" s="1544" t="n"/>
      <c r="D99" s="1544" t="n"/>
      <c r="E99" s="1544" t="n"/>
      <c r="F99" s="1544" t="n"/>
      <c r="G99" s="1544" t="n"/>
      <c r="H99" s="1544" t="n"/>
      <c r="I99" s="1544" t="n"/>
      <c r="J99" s="1544" t="n"/>
      <c r="K99" s="1544" t="n"/>
      <c r="L99" s="1544" t="n"/>
      <c r="M99" s="1544" t="n"/>
      <c r="N99" s="1544" t="n"/>
      <c r="O99" s="1545" t="n"/>
      <c r="P99" s="1545" t="n"/>
      <c r="Q99" s="1545" t="n"/>
      <c r="R99" s="1545" t="n"/>
      <c r="S99" s="1544" t="n"/>
      <c r="T99" s="1545" t="n"/>
      <c r="U99" s="1545" t="n"/>
      <c r="V99" s="1545" t="n"/>
      <c r="W99" s="1545" t="n"/>
      <c r="X99" s="1546">
        <f>X42-X57-X71-X85</f>
        <v/>
      </c>
      <c r="Y99" s="1545" t="n"/>
      <c r="Z99" s="1545" t="n"/>
      <c r="AA99" s="1547">
        <f>AA42-AA57-AA71-AA85</f>
        <v/>
      </c>
      <c r="AB99" s="1547">
        <f>AB42-AB57-AB71-AB85</f>
        <v/>
      </c>
      <c r="AC99" s="1546">
        <f>AC42-AC57-AC71-AC85</f>
        <v/>
      </c>
      <c r="AD99" s="1547">
        <f>AD42-AD57-AD71-AD85</f>
        <v/>
      </c>
      <c r="AE99" s="1547">
        <f>AE42-AE57-AE71-AE85</f>
        <v/>
      </c>
      <c r="AF99" s="1547">
        <f>AF42-AF57-AF71-AF85</f>
        <v/>
      </c>
      <c r="AG99" s="1547">
        <f>AG42-AG57-AG71-AG85</f>
        <v/>
      </c>
      <c r="AH99" s="1546">
        <f>AH42-AH57-AH71-AH85</f>
        <v/>
      </c>
      <c r="AI99" s="1547">
        <f>AI42-AI57-AI71-AI85</f>
        <v/>
      </c>
      <c r="AJ99" s="1547">
        <f>AJ42-AJ57-AJ71-AJ85</f>
        <v/>
      </c>
      <c r="AK99" s="1548">
        <f>AK42-AK57-AK71-AK85</f>
        <v/>
      </c>
      <c r="AL99" s="1547">
        <f>AL42-AL57-AL71-AL85</f>
        <v/>
      </c>
      <c r="AM99" s="1546">
        <f>AM42-AM57-AM71-AM85</f>
        <v/>
      </c>
      <c r="AN99" s="1547">
        <f>AN42-AN57-AN71-AN85</f>
        <v/>
      </c>
      <c r="AO99" s="1547">
        <f>AO42-AO57-AO71-AO85</f>
        <v/>
      </c>
      <c r="AP99" s="1547">
        <f>AP42-AP57-AP71-AP85</f>
        <v/>
      </c>
      <c r="AQ99" s="1547">
        <f>AQ42-AQ57-AQ71-AQ85</f>
        <v/>
      </c>
      <c r="AR99" s="1546">
        <f>AR42-AR57-AR71-AR85</f>
        <v/>
      </c>
      <c r="AS99" s="1546">
        <f>AS42-AS57-AS71-AS85</f>
        <v/>
      </c>
      <c r="AT99" s="1546">
        <f>AT42-AT57-AT71-AT85</f>
        <v/>
      </c>
      <c r="AU99" s="1546">
        <f>AU42-AU57-AU71-AU85</f>
        <v/>
      </c>
      <c r="AV99" s="1446" t="n"/>
    </row>
    <row r="100" hidden="1" outlineLevel="1" ht="14.4" customFormat="1" customHeight="1" s="1456">
      <c r="A100" s="1457" t="inlineStr">
        <is>
          <t>Y/Y growth in GAAP Operating Income, %</t>
        </is>
      </c>
      <c r="B100" s="1549" t="n"/>
      <c r="C100" s="1550" t="n"/>
      <c r="D100" s="1550" t="n"/>
      <c r="E100" s="1550" t="n"/>
      <c r="F100" s="1550" t="n"/>
      <c r="G100" s="1550" t="n"/>
      <c r="H100" s="1550" t="n"/>
      <c r="I100" s="1550" t="n"/>
      <c r="J100" s="1550" t="n"/>
      <c r="K100" s="1550" t="n"/>
      <c r="L100" s="1550" t="n"/>
      <c r="M100" s="1550" t="n"/>
      <c r="N100" s="1550" t="n"/>
      <c r="O100" s="1551" t="n"/>
      <c r="P100" s="1551" t="n"/>
      <c r="Q100" s="1551" t="n"/>
      <c r="R100" s="1551" t="n"/>
      <c r="S100" s="1550" t="n"/>
      <c r="T100" s="1551" t="n"/>
      <c r="U100" s="1551" t="n"/>
      <c r="V100" s="1551" t="n"/>
      <c r="W100" s="1551" t="n"/>
      <c r="X100" s="1550" t="n"/>
      <c r="Y100" s="1551" t="n"/>
      <c r="Z100" s="1551" t="n"/>
      <c r="AA100" s="1551" t="n"/>
      <c r="AB100" s="1551" t="n"/>
      <c r="AC100" s="1552">
        <f>AC99/X99-1</f>
        <v/>
      </c>
      <c r="AD100" s="1551" t="n"/>
      <c r="AE100" s="1551" t="n"/>
      <c r="AF100" s="1551" t="n"/>
      <c r="AG100" s="1463">
        <f>AG99/AB99-1</f>
        <v/>
      </c>
      <c r="AH100" s="1552">
        <f>AH99/AC99-1</f>
        <v/>
      </c>
      <c r="AI100" s="1551">
        <f>AI99/AD99-1</f>
        <v/>
      </c>
      <c r="AJ100" s="1551">
        <f>AJ99/AE99-1</f>
        <v/>
      </c>
      <c r="AK100" s="1553">
        <f>AK99/AF99-1</f>
        <v/>
      </c>
      <c r="AL100" s="1463">
        <f>AL99/AG99-1</f>
        <v/>
      </c>
      <c r="AM100" s="1552">
        <f>AM99/AH99-1</f>
        <v/>
      </c>
      <c r="AN100" s="1463">
        <f>AN99/AI99-1</f>
        <v/>
      </c>
      <c r="AO100" s="1463">
        <f>AO99/AJ99-1</f>
        <v/>
      </c>
      <c r="AP100" s="1463">
        <f>AP99/AK99-1</f>
        <v/>
      </c>
      <c r="AQ100" s="1463">
        <f>AQ99/AL99-1</f>
        <v/>
      </c>
      <c r="AR100" s="1552">
        <f>AR99/AM99-1</f>
        <v/>
      </c>
      <c r="AS100" s="1552">
        <f>AS99/AR99-1</f>
        <v/>
      </c>
      <c r="AT100" s="1552">
        <f>AT99/AS99-1</f>
        <v/>
      </c>
      <c r="AU100" s="1552">
        <f>AU99/AT99-1</f>
        <v/>
      </c>
      <c r="AV100" s="1463" t="n"/>
    </row>
    <row r="101" hidden="1" outlineLevel="1" ht="14.4" customFormat="1" customHeight="1" s="1432">
      <c r="A101" s="1473" t="inlineStr">
        <is>
          <t>GAAP Operating Income Margin, %</t>
        </is>
      </c>
      <c r="B101" s="1554" t="n"/>
      <c r="C101" s="1555" t="n"/>
      <c r="D101" s="1555" t="n"/>
      <c r="E101" s="1555" t="n"/>
      <c r="F101" s="1555" t="n"/>
      <c r="G101" s="1555" t="n"/>
      <c r="H101" s="1555" t="n"/>
      <c r="I101" s="1555" t="n"/>
      <c r="J101" s="1555" t="n"/>
      <c r="K101" s="1555" t="n"/>
      <c r="L101" s="1555" t="n"/>
      <c r="M101" s="1555" t="n"/>
      <c r="N101" s="1555" t="n"/>
      <c r="O101" s="1556" t="n"/>
      <c r="P101" s="1556" t="n"/>
      <c r="Q101" s="1556" t="n"/>
      <c r="R101" s="1556" t="n"/>
      <c r="S101" s="1555" t="n"/>
      <c r="T101" s="1556" t="n"/>
      <c r="U101" s="1556" t="n"/>
      <c r="V101" s="1556" t="n"/>
      <c r="W101" s="1556" t="n"/>
      <c r="X101" s="1557">
        <f>X99/X40</f>
        <v/>
      </c>
      <c r="Y101" s="1556" t="n"/>
      <c r="Z101" s="1556" t="n"/>
      <c r="AA101" s="1437">
        <f>AA99/AA40</f>
        <v/>
      </c>
      <c r="AB101" s="1437">
        <f>AB99/AB40</f>
        <v/>
      </c>
      <c r="AC101" s="1557">
        <f>AC99/AC40</f>
        <v/>
      </c>
      <c r="AD101" s="1437">
        <f>AD99/AD40</f>
        <v/>
      </c>
      <c r="AE101" s="1437">
        <f>AE99/AE40</f>
        <v/>
      </c>
      <c r="AF101" s="1437">
        <f>AF99/AF40</f>
        <v/>
      </c>
      <c r="AG101" s="1437">
        <f>AG99/AG40</f>
        <v/>
      </c>
      <c r="AH101" s="1557">
        <f>AH99/AH40</f>
        <v/>
      </c>
      <c r="AI101" s="1437">
        <f>AI99/AI40</f>
        <v/>
      </c>
      <c r="AJ101" s="1437">
        <f>AJ99/AJ40</f>
        <v/>
      </c>
      <c r="AK101" s="1558">
        <f>AK99/AK40</f>
        <v/>
      </c>
      <c r="AL101" s="1437">
        <f>AL99/AL40</f>
        <v/>
      </c>
      <c r="AM101" s="1557">
        <f>AM99/AM40</f>
        <v/>
      </c>
      <c r="AN101" s="1437">
        <f>AN99/AN40</f>
        <v/>
      </c>
      <c r="AO101" s="1437">
        <f>AO99/AO40</f>
        <v/>
      </c>
      <c r="AP101" s="1437">
        <f>AP99/AP40</f>
        <v/>
      </c>
      <c r="AQ101" s="1437">
        <f>AQ99/AQ40</f>
        <v/>
      </c>
      <c r="AR101" s="1557">
        <f>AR99/AR40</f>
        <v/>
      </c>
      <c r="AS101" s="1557">
        <f>AS99/AS40</f>
        <v/>
      </c>
      <c r="AT101" s="1557">
        <f>AT99/AT40</f>
        <v/>
      </c>
      <c r="AU101" s="1557">
        <f>AU99/AU40</f>
        <v/>
      </c>
      <c r="AV101" s="1437" t="n"/>
    </row>
    <row r="102" hidden="1" outlineLevel="1" ht="14.4" customFormat="1" customHeight="1" s="1480">
      <c r="A102" s="1481" t="inlineStr">
        <is>
          <t>Y/Y improvement in GAAP Operating Income Margin, bps</t>
        </is>
      </c>
      <c r="B102" s="1560" t="n"/>
      <c r="C102" s="1561" t="n"/>
      <c r="D102" s="1561" t="n"/>
      <c r="E102" s="1561" t="n"/>
      <c r="F102" s="1561" t="n"/>
      <c r="G102" s="1561" t="n"/>
      <c r="H102" s="1561" t="n"/>
      <c r="I102" s="1561" t="n"/>
      <c r="J102" s="1561" t="n"/>
      <c r="K102" s="1561" t="n"/>
      <c r="L102" s="1561" t="n"/>
      <c r="M102" s="1561" t="n"/>
      <c r="N102" s="1561" t="n"/>
      <c r="O102" s="1562" t="n"/>
      <c r="P102" s="1562" t="n"/>
      <c r="Q102" s="1562" t="n"/>
      <c r="R102" s="1562" t="n"/>
      <c r="S102" s="1561" t="n"/>
      <c r="T102" s="1562" t="n"/>
      <c r="U102" s="1562" t="n"/>
      <c r="V102" s="1562" t="n"/>
      <c r="W102" s="1562" t="n"/>
      <c r="X102" s="1561" t="n"/>
      <c r="Y102" s="1562" t="n"/>
      <c r="Z102" s="1562" t="n"/>
      <c r="AA102" s="1562" t="n"/>
      <c r="AB102" s="1562" t="n"/>
      <c r="AC102" s="1587">
        <f>(AC101-X101)*10000</f>
        <v/>
      </c>
      <c r="AD102" s="1562" t="n"/>
      <c r="AE102" s="1562" t="n"/>
      <c r="AF102" s="1562" t="n"/>
      <c r="AG102" s="1488">
        <f>(AG101-AB101)*10000</f>
        <v/>
      </c>
      <c r="AH102" s="1587">
        <f>(AH101-AC101)*10000</f>
        <v/>
      </c>
      <c r="AI102" s="1562">
        <f>(AI101-AD101)*10000</f>
        <v/>
      </c>
      <c r="AJ102" s="1562">
        <f>(AJ101-AE101)*10000</f>
        <v/>
      </c>
      <c r="AK102" s="1563">
        <f>(AK101-AF101)*10000</f>
        <v/>
      </c>
      <c r="AL102" s="1488">
        <f>(AL101-AG101)*10000</f>
        <v/>
      </c>
      <c r="AM102" s="1587">
        <f>(AM101-AH101)*10000</f>
        <v/>
      </c>
      <c r="AN102" s="1488">
        <f>(AN101-AI101)*10000</f>
        <v/>
      </c>
      <c r="AO102" s="1488">
        <f>(AO101-AJ101)*10000</f>
        <v/>
      </c>
      <c r="AP102" s="1488">
        <f>(AP101-AK101)*10000</f>
        <v/>
      </c>
      <c r="AQ102" s="1488">
        <f>(AQ101-AL101)*10000</f>
        <v/>
      </c>
      <c r="AR102" s="1587">
        <f>(AR101-AM101)*10000</f>
        <v/>
      </c>
      <c r="AS102" s="1587">
        <f>(AS101-AR101)*10000</f>
        <v/>
      </c>
      <c r="AT102" s="1587">
        <f>(AT101-AS101)*10000</f>
        <v/>
      </c>
      <c r="AU102" s="1587">
        <f>(AU101-AT101)*10000</f>
        <v/>
      </c>
      <c r="AV102" s="1488" t="n"/>
    </row>
    <row r="103" hidden="1" outlineLevel="1" ht="14.4" customFormat="1" customHeight="1" s="1418">
      <c r="A103" s="1467" t="n"/>
      <c r="B103" s="1528" t="n"/>
      <c r="C103" s="1529" t="n"/>
      <c r="D103" s="1529" t="n"/>
      <c r="E103" s="1529" t="n"/>
      <c r="F103" s="1529" t="n"/>
      <c r="G103" s="1529" t="n"/>
      <c r="H103" s="1529" t="n"/>
      <c r="I103" s="1529" t="n"/>
      <c r="J103" s="1529" t="n"/>
      <c r="K103" s="1529" t="n"/>
      <c r="L103" s="1529" t="n"/>
      <c r="M103" s="1529" t="n"/>
      <c r="N103" s="1529" t="n"/>
      <c r="O103" s="1420" t="n"/>
      <c r="P103" s="1420" t="n"/>
      <c r="Q103" s="1420" t="n"/>
      <c r="R103" s="1420" t="n"/>
      <c r="S103" s="1529" t="n"/>
      <c r="T103" s="1420" t="n"/>
      <c r="U103" s="1420" t="n"/>
      <c r="V103" s="1420" t="n"/>
      <c r="W103" s="1420" t="n"/>
      <c r="X103" s="1529" t="n"/>
      <c r="Y103" s="1420" t="n"/>
      <c r="Z103" s="1420" t="n"/>
      <c r="AA103" s="1420" t="n"/>
      <c r="AB103" s="1420" t="n"/>
      <c r="AC103" s="1529" t="n"/>
      <c r="AD103" s="1420" t="n"/>
      <c r="AE103" s="1420" t="n"/>
      <c r="AF103" s="1420" t="n"/>
      <c r="AG103" s="1420" t="n"/>
      <c r="AH103" s="1529" t="n"/>
      <c r="AI103" s="1420" t="n"/>
      <c r="AJ103" s="1420" t="n"/>
      <c r="AK103" s="1421" t="n"/>
      <c r="AL103" s="1420" t="n"/>
      <c r="AM103" s="1529" t="n"/>
      <c r="AN103" s="1420" t="n"/>
      <c r="AO103" s="1420" t="n"/>
      <c r="AP103" s="1420" t="n"/>
      <c r="AQ103" s="1420" t="n"/>
      <c r="AR103" s="1529" t="n"/>
      <c r="AS103" s="1529" t="n"/>
      <c r="AT103" s="1529" t="n"/>
      <c r="AU103" s="1529" t="n"/>
      <c r="AV103" s="1422" t="n"/>
    </row>
    <row r="104" collapsed="1" ht="14.4" customFormat="1" customHeight="1" s="1438">
      <c r="A104" s="1568" t="inlineStr">
        <is>
          <t>Non-GAAP Operating Income, mm</t>
        </is>
      </c>
      <c r="B104" s="1543" t="n"/>
      <c r="C104" s="1544" t="n"/>
      <c r="D104" s="1544" t="n"/>
      <c r="E104" s="1544" t="n"/>
      <c r="F104" s="1544" t="n"/>
      <c r="G104" s="1544" t="n"/>
      <c r="H104" s="1544" t="n"/>
      <c r="I104" s="1544" t="n"/>
      <c r="J104" s="1544" t="n"/>
      <c r="K104" s="1544" t="n"/>
      <c r="L104" s="1544" t="n"/>
      <c r="M104" s="1544" t="n"/>
      <c r="N104" s="1544" t="n"/>
      <c r="O104" s="1545" t="n"/>
      <c r="P104" s="1545" t="n"/>
      <c r="Q104" s="1545" t="n"/>
      <c r="R104" s="1545" t="n"/>
      <c r="S104" s="1544" t="n"/>
      <c r="T104" s="1545" t="n"/>
      <c r="U104" s="1545" t="n"/>
      <c r="V104" s="1545" t="n"/>
      <c r="W104" s="1545" t="n"/>
      <c r="X104" s="1546">
        <f>X51-X66-X80-X94</f>
        <v/>
      </c>
      <c r="Y104" s="1545" t="n"/>
      <c r="Z104" s="1545" t="n"/>
      <c r="AA104" s="1547">
        <f>AA51-AA66-AA80-AA94</f>
        <v/>
      </c>
      <c r="AB104" s="1547">
        <f>AB51-AB66-AB80-AB94</f>
        <v/>
      </c>
      <c r="AC104" s="1546">
        <f>AC51-AC66-AC80-AC94</f>
        <v/>
      </c>
      <c r="AD104" s="1547">
        <f>AD51-AD66-AD80-AD94</f>
        <v/>
      </c>
      <c r="AE104" s="1547">
        <f>AE51-AE66-AE80-AE94</f>
        <v/>
      </c>
      <c r="AF104" s="1547">
        <f>AF51-AF66-AF80-AF94</f>
        <v/>
      </c>
      <c r="AG104" s="1547">
        <f>AG51-AG66-AG80-AG94</f>
        <v/>
      </c>
      <c r="AH104" s="1546">
        <f>AH51-AH66-AH80-AH94</f>
        <v/>
      </c>
      <c r="AI104" s="1547">
        <f>AI51-AI66-AI80-AI94</f>
        <v/>
      </c>
      <c r="AJ104" s="1547">
        <f>AJ51-AJ66-AJ80-AJ94</f>
        <v/>
      </c>
      <c r="AK104" s="1548">
        <f>AK51-AK66-AK80-AK94</f>
        <v/>
      </c>
      <c r="AL104" s="1545">
        <f>AL51-AL66-AL80-AL94</f>
        <v/>
      </c>
      <c r="AM104" s="1544">
        <f>AM51-AM66-AM80-AM94</f>
        <v/>
      </c>
      <c r="AN104" s="1545">
        <f>AN51-AN66-AN80-AN94</f>
        <v/>
      </c>
      <c r="AO104" s="1545">
        <f>AO51-AO66-AO80-AO94</f>
        <v/>
      </c>
      <c r="AP104" s="1545">
        <f>AP51-AP66-AP80-AP94</f>
        <v/>
      </c>
      <c r="AQ104" s="1545">
        <f>AQ51-AQ66-AQ80-AQ94</f>
        <v/>
      </c>
      <c r="AR104" s="1544">
        <f>AR51-AR66-AR80-AR94</f>
        <v/>
      </c>
      <c r="AS104" s="1544">
        <f>AS51-AS66-AS80-AS94</f>
        <v/>
      </c>
      <c r="AT104" s="1544">
        <f>AT51-AT66-AT80-AT94</f>
        <v/>
      </c>
      <c r="AU104" s="1544">
        <f>AU51-AU66-AU80-AU94</f>
        <v/>
      </c>
      <c r="AV104" s="1446" t="n"/>
    </row>
    <row r="105" ht="14.4" customFormat="1" customHeight="1" s="1418">
      <c r="A105" s="1569" t="inlineStr">
        <is>
          <t>Consensus Estimates - Non-GAAP Operating Income</t>
        </is>
      </c>
      <c r="B105" s="1528" t="n"/>
      <c r="C105" s="1529" t="n"/>
      <c r="D105" s="1529" t="n"/>
      <c r="E105" s="1529" t="n"/>
      <c r="F105" s="1529" t="n"/>
      <c r="G105" s="1529" t="n"/>
      <c r="H105" s="1529" t="n"/>
      <c r="I105" s="1529" t="n"/>
      <c r="J105" s="1529" t="n"/>
      <c r="K105" s="1529" t="n"/>
      <c r="L105" s="1529" t="n"/>
      <c r="M105" s="1529" t="n"/>
      <c r="N105" s="1529" t="n"/>
      <c r="O105" s="1420" t="n"/>
      <c r="P105" s="1420" t="n"/>
      <c r="Q105" s="1420" t="n"/>
      <c r="R105" s="1420" t="n"/>
      <c r="S105" s="1529" t="n"/>
      <c r="T105" s="1420" t="n"/>
      <c r="U105" s="1420" t="n"/>
      <c r="V105" s="1420" t="n"/>
      <c r="W105" s="1420" t="n"/>
      <c r="X105" s="1529" t="n"/>
      <c r="Y105" s="1420" t="n"/>
      <c r="Z105" s="1420" t="n"/>
      <c r="AA105" s="1420" t="n"/>
      <c r="AB105" s="1420" t="n"/>
      <c r="AC105" s="1529" t="n"/>
      <c r="AD105" s="1420" t="n"/>
      <c r="AE105" s="1420" t="n"/>
      <c r="AF105" s="1420" t="n"/>
      <c r="AG105" s="1420" t="n"/>
      <c r="AH105" s="1529" t="n"/>
      <c r="AI105" s="1420" t="n"/>
      <c r="AJ105" s="1420" t="n"/>
      <c r="AK105" s="1421" t="n"/>
      <c r="AL105" s="1420" t="n"/>
      <c r="AM105" s="1529" t="n"/>
      <c r="AN105" s="1420" t="n"/>
      <c r="AO105" s="1420" t="n"/>
      <c r="AP105" s="1420" t="n"/>
      <c r="AQ105" s="1420" t="n"/>
      <c r="AR105" s="1529" t="n"/>
      <c r="AS105" s="1529" t="n"/>
      <c r="AT105" s="1529" t="n"/>
      <c r="AU105" s="1529" t="n"/>
      <c r="AV105" s="1422" t="n"/>
    </row>
    <row r="106" ht="14.4" customFormat="1" customHeight="1" s="1438">
      <c r="A106" s="1569" t="inlineStr">
        <is>
          <t>Y/Y Non-GAAP Operating Income growth, %</t>
        </is>
      </c>
      <c r="B106" s="1570" t="n"/>
      <c r="C106" s="1550" t="n"/>
      <c r="D106" s="1550" t="n"/>
      <c r="E106" s="1550" t="n"/>
      <c r="F106" s="1550" t="n"/>
      <c r="G106" s="1550" t="n"/>
      <c r="H106" s="1550" t="n"/>
      <c r="I106" s="1550" t="n"/>
      <c r="J106" s="1550" t="n"/>
      <c r="K106" s="1550" t="n"/>
      <c r="L106" s="1550" t="n"/>
      <c r="M106" s="1550" t="n"/>
      <c r="N106" s="1550" t="n"/>
      <c r="O106" s="1551" t="n"/>
      <c r="P106" s="1551" t="n"/>
      <c r="Q106" s="1551" t="n"/>
      <c r="R106" s="1551" t="n"/>
      <c r="S106" s="1550" t="n"/>
      <c r="T106" s="1551" t="n"/>
      <c r="U106" s="1551" t="n"/>
      <c r="V106" s="1551" t="n"/>
      <c r="W106" s="1551" t="n"/>
      <c r="X106" s="1550" t="n"/>
      <c r="Y106" s="1551" t="n"/>
      <c r="Z106" s="1551" t="n"/>
      <c r="AA106" s="1551" t="n"/>
      <c r="AB106" s="1551" t="n"/>
      <c r="AC106" s="1552">
        <f>AC104/X104-1</f>
        <v/>
      </c>
      <c r="AD106" s="1551" t="n"/>
      <c r="AE106" s="1551" t="n"/>
      <c r="AF106" s="1551" t="n"/>
      <c r="AG106" s="1463">
        <f>AG104/AB104-1</f>
        <v/>
      </c>
      <c r="AH106" s="1552">
        <f>AH104/AC104-1</f>
        <v/>
      </c>
      <c r="AI106" s="1551">
        <f>AI104/AD104-1</f>
        <v/>
      </c>
      <c r="AJ106" s="1551">
        <f>AJ104/AE104-1</f>
        <v/>
      </c>
      <c r="AK106" s="1553">
        <f>AK104/AF104-1</f>
        <v/>
      </c>
      <c r="AL106" s="1551">
        <f>AL104/AG104-1</f>
        <v/>
      </c>
      <c r="AM106" s="1550">
        <f>AM104/AH104-1</f>
        <v/>
      </c>
      <c r="AN106" s="1551">
        <f>AN104/AI104-1</f>
        <v/>
      </c>
      <c r="AO106" s="1551">
        <f>AO104/AJ104-1</f>
        <v/>
      </c>
      <c r="AP106" s="1551">
        <f>AP104/AK104-1</f>
        <v/>
      </c>
      <c r="AQ106" s="1551">
        <f>AQ104/AL104-1</f>
        <v/>
      </c>
      <c r="AR106" s="1550">
        <f>AR104/AM104-1</f>
        <v/>
      </c>
      <c r="AS106" s="1550">
        <f>AS104/AR104-1</f>
        <v/>
      </c>
      <c r="AT106" s="1550">
        <f>AT104/AS104-1</f>
        <v/>
      </c>
      <c r="AU106" s="1550">
        <f>AU104/AT104-1</f>
        <v/>
      </c>
      <c r="AV106" s="1446" t="n"/>
    </row>
    <row r="107" ht="14.4" customFormat="1" customHeight="1" s="1432">
      <c r="A107" s="1571" t="inlineStr">
        <is>
          <t>Non-GAAP Operating Income Margin, %</t>
        </is>
      </c>
      <c r="B107" s="1554" t="n"/>
      <c r="C107" s="1555" t="n"/>
      <c r="D107" s="1555" t="n"/>
      <c r="E107" s="1555" t="n"/>
      <c r="F107" s="1555" t="n"/>
      <c r="G107" s="1555" t="n"/>
      <c r="H107" s="1555" t="n"/>
      <c r="I107" s="1555" t="n"/>
      <c r="J107" s="1555" t="n"/>
      <c r="K107" s="1555" t="n"/>
      <c r="L107" s="1555" t="n"/>
      <c r="M107" s="1555" t="n"/>
      <c r="N107" s="1555" t="n"/>
      <c r="O107" s="1556" t="n"/>
      <c r="P107" s="1556" t="n"/>
      <c r="Q107" s="1556" t="n"/>
      <c r="R107" s="1556" t="n"/>
      <c r="S107" s="1555" t="n"/>
      <c r="T107" s="1556" t="n"/>
      <c r="U107" s="1556" t="n"/>
      <c r="V107" s="1556" t="n"/>
      <c r="W107" s="1556" t="n"/>
      <c r="X107" s="1557">
        <f>X104/X40</f>
        <v/>
      </c>
      <c r="Y107" s="1556" t="n"/>
      <c r="Z107" s="1556" t="n"/>
      <c r="AA107" s="1437">
        <f>AA104/AA40</f>
        <v/>
      </c>
      <c r="AB107" s="1437">
        <f>AB104/AB40</f>
        <v/>
      </c>
      <c r="AC107" s="1557">
        <f>AC104/AC40</f>
        <v/>
      </c>
      <c r="AD107" s="1437">
        <f>AD104/AD40</f>
        <v/>
      </c>
      <c r="AE107" s="1437">
        <f>AE104/AE40</f>
        <v/>
      </c>
      <c r="AF107" s="1437">
        <f>AF104/AF40</f>
        <v/>
      </c>
      <c r="AG107" s="1437">
        <f>AG104/AG40</f>
        <v/>
      </c>
      <c r="AH107" s="1557">
        <f>AH104/AH40</f>
        <v/>
      </c>
      <c r="AI107" s="1437">
        <f>AI104/AI40</f>
        <v/>
      </c>
      <c r="AJ107" s="1437">
        <f>AJ104/AJ40</f>
        <v/>
      </c>
      <c r="AK107" s="1558">
        <f>AK104/AK40</f>
        <v/>
      </c>
      <c r="AL107" s="1437">
        <f>AL104/AL40</f>
        <v/>
      </c>
      <c r="AM107" s="1557">
        <f>AM104/AM40</f>
        <v/>
      </c>
      <c r="AN107" s="1437">
        <f>AN104/AN40</f>
        <v/>
      </c>
      <c r="AO107" s="1437">
        <f>AO104/AO40</f>
        <v/>
      </c>
      <c r="AP107" s="1437">
        <f>AP104/AP40</f>
        <v/>
      </c>
      <c r="AQ107" s="1437">
        <f>AQ104/AQ40</f>
        <v/>
      </c>
      <c r="AR107" s="1557">
        <f>AR104/AR40</f>
        <v/>
      </c>
      <c r="AS107" s="1557">
        <f>AS104/AS40</f>
        <v/>
      </c>
      <c r="AT107" s="1557">
        <f>AT104/AT40</f>
        <v/>
      </c>
      <c r="AU107" s="1557">
        <f>AU104/AU40</f>
        <v/>
      </c>
      <c r="AV107" s="1437" t="n"/>
    </row>
    <row r="108" ht="14.4" customFormat="1" customHeight="1" s="1432">
      <c r="A108" s="1588" t="inlineStr">
        <is>
          <t>Consensus Estimates - Non-GAAP Operating Income Margin, %</t>
        </is>
      </c>
      <c r="B108" s="1554" t="n"/>
      <c r="C108" s="1555" t="n"/>
      <c r="D108" s="1555" t="n"/>
      <c r="E108" s="1555" t="n"/>
      <c r="F108" s="1555" t="n"/>
      <c r="G108" s="1555" t="n"/>
      <c r="H108" s="1555" t="n"/>
      <c r="I108" s="1555" t="n"/>
      <c r="J108" s="1555" t="n"/>
      <c r="K108" s="1555" t="n"/>
      <c r="L108" s="1555" t="n"/>
      <c r="M108" s="1555" t="n"/>
      <c r="N108" s="1555" t="n"/>
      <c r="O108" s="1556" t="n"/>
      <c r="P108" s="1556" t="n"/>
      <c r="Q108" s="1556" t="n"/>
      <c r="R108" s="1556" t="n"/>
      <c r="S108" s="1555" t="n"/>
      <c r="T108" s="1556" t="n"/>
      <c r="U108" s="1556" t="n"/>
      <c r="V108" s="1556" t="n"/>
      <c r="W108" s="1556" t="n"/>
      <c r="X108" s="1555" t="n"/>
      <c r="Y108" s="1556" t="n"/>
      <c r="Z108" s="1556" t="n"/>
      <c r="AA108" s="1556" t="n"/>
      <c r="AB108" s="1556" t="n"/>
      <c r="AC108" s="1555" t="n"/>
      <c r="AD108" s="1556" t="n"/>
      <c r="AE108" s="1556" t="n"/>
      <c r="AF108" s="1556" t="n"/>
      <c r="AG108" s="1556" t="n"/>
      <c r="AH108" s="1555" t="n"/>
      <c r="AI108" s="1556" t="n"/>
      <c r="AJ108" s="1556" t="n"/>
      <c r="AK108" s="1565" t="n"/>
      <c r="AL108" s="1556" t="n"/>
      <c r="AM108" s="1555" t="n"/>
      <c r="AN108" s="1556" t="n"/>
      <c r="AO108" s="1556" t="n"/>
      <c r="AP108" s="1556" t="n"/>
      <c r="AQ108" s="1556" t="n"/>
      <c r="AR108" s="1555" t="n"/>
      <c r="AS108" s="1555" t="n"/>
      <c r="AT108" s="1555" t="n"/>
      <c r="AU108" s="1555" t="n"/>
      <c r="AV108" s="1437" t="n"/>
    </row>
    <row r="109" ht="14.4" customFormat="1" customHeight="1" s="1480">
      <c r="A109" s="1559" t="inlineStr">
        <is>
          <t>Y/Y improvement in Non-GAAP Operating Margin, bps</t>
        </is>
      </c>
      <c r="B109" s="1560" t="n"/>
      <c r="C109" s="1561" t="n"/>
      <c r="D109" s="1561" t="n"/>
      <c r="E109" s="1561" t="n"/>
      <c r="F109" s="1561" t="n"/>
      <c r="G109" s="1561" t="n"/>
      <c r="H109" s="1561" t="n"/>
      <c r="I109" s="1561" t="n"/>
      <c r="J109" s="1561" t="n"/>
      <c r="K109" s="1561" t="n"/>
      <c r="L109" s="1561" t="n"/>
      <c r="M109" s="1561" t="n"/>
      <c r="N109" s="1561" t="n"/>
      <c r="O109" s="1562" t="n"/>
      <c r="P109" s="1562" t="n"/>
      <c r="Q109" s="1562" t="n"/>
      <c r="R109" s="1562" t="n"/>
      <c r="S109" s="1561" t="n"/>
      <c r="T109" s="1562" t="n"/>
      <c r="U109" s="1562" t="n"/>
      <c r="V109" s="1562" t="n"/>
      <c r="W109" s="1562" t="n"/>
      <c r="X109" s="1561" t="n"/>
      <c r="Y109" s="1562" t="n"/>
      <c r="Z109" s="1562" t="n"/>
      <c r="AA109" s="1562" t="n"/>
      <c r="AB109" s="1562" t="n"/>
      <c r="AC109" s="1587">
        <f>(AC107-X107)*10000</f>
        <v/>
      </c>
      <c r="AD109" s="1562" t="n"/>
      <c r="AE109" s="1562" t="n"/>
      <c r="AF109" s="1562" t="n"/>
      <c r="AG109" s="1488">
        <f>(AG107-AB107)*10000</f>
        <v/>
      </c>
      <c r="AH109" s="1587">
        <f>(AH107-AC107)*10000</f>
        <v/>
      </c>
      <c r="AI109" s="1562">
        <f>(AI107-AD107)*10000</f>
        <v/>
      </c>
      <c r="AJ109" s="1562">
        <f>(AJ107-AE107)*10000</f>
        <v/>
      </c>
      <c r="AK109" s="1563">
        <f>(AK107-AF107)*10000</f>
        <v/>
      </c>
      <c r="AL109" s="1488">
        <f>(AL107-AG107)*10000</f>
        <v/>
      </c>
      <c r="AM109" s="1587">
        <f>(AM107-AH107)*10000</f>
        <v/>
      </c>
      <c r="AN109" s="1488">
        <f>(AN107-AI107)*10000</f>
        <v/>
      </c>
      <c r="AO109" s="1488">
        <f>(AO107-AJ107)*10000</f>
        <v/>
      </c>
      <c r="AP109" s="1488">
        <f>(AP107-AK107)*10000</f>
        <v/>
      </c>
      <c r="AQ109" s="1488">
        <f>(AQ107-AL107)*10000</f>
        <v/>
      </c>
      <c r="AR109" s="1587">
        <f>(AR107-AM107)*10000</f>
        <v/>
      </c>
      <c r="AS109" s="1587">
        <f>(AS107-AR107)*10000</f>
        <v/>
      </c>
      <c r="AT109" s="1587">
        <f>(AT107-AS107)*10000</f>
        <v/>
      </c>
      <c r="AU109" s="1587">
        <f>(AU107-AT107)*10000</f>
        <v/>
      </c>
      <c r="AV109" s="1488" t="n"/>
    </row>
    <row r="110" ht="14.4" customFormat="1" customHeight="1" s="1418">
      <c r="A110" s="1467" t="n"/>
      <c r="B110" s="1528" t="n"/>
      <c r="C110" s="1529" t="n"/>
      <c r="D110" s="1529" t="n"/>
      <c r="E110" s="1529" t="n"/>
      <c r="F110" s="1529" t="n"/>
      <c r="G110" s="1529" t="n"/>
      <c r="H110" s="1529" t="n"/>
      <c r="I110" s="1529" t="n"/>
      <c r="J110" s="1529" t="n"/>
      <c r="K110" s="1529" t="n"/>
      <c r="L110" s="1529" t="n"/>
      <c r="M110" s="1529" t="n"/>
      <c r="N110" s="1529" t="n"/>
      <c r="O110" s="1420" t="n"/>
      <c r="P110" s="1420" t="n"/>
      <c r="Q110" s="1420" t="n"/>
      <c r="R110" s="1420" t="n"/>
      <c r="S110" s="1529" t="n"/>
      <c r="T110" s="1420" t="n"/>
      <c r="U110" s="1420" t="n"/>
      <c r="V110" s="1420" t="n"/>
      <c r="W110" s="1420" t="n"/>
      <c r="X110" s="1529" t="n"/>
      <c r="Y110" s="1420" t="n"/>
      <c r="Z110" s="1420" t="n"/>
      <c r="AA110" s="1420" t="n"/>
      <c r="AB110" s="1420" t="n"/>
      <c r="AC110" s="1529" t="n"/>
      <c r="AD110" s="1420" t="n"/>
      <c r="AE110" s="1420" t="n"/>
      <c r="AF110" s="1420" t="n"/>
      <c r="AG110" s="1420" t="n"/>
      <c r="AH110" s="1529" t="n"/>
      <c r="AI110" s="1420" t="n"/>
      <c r="AJ110" s="1420" t="n"/>
      <c r="AK110" s="1421" t="n"/>
      <c r="AL110" s="1420" t="n"/>
      <c r="AM110" s="1529" t="n"/>
      <c r="AN110" s="1420" t="n"/>
      <c r="AO110" s="1420" t="n"/>
      <c r="AP110" s="1420" t="n"/>
      <c r="AQ110" s="1420" t="n"/>
      <c r="AR110" s="1529" t="n"/>
      <c r="AS110" s="1529" t="n"/>
      <c r="AT110" s="1529" t="n"/>
      <c r="AU110" s="1529" t="n"/>
      <c r="AV110" s="1422" t="n"/>
    </row>
    <row r="111" ht="14.4" customFormat="1" customHeight="1" s="1418">
      <c r="A111" s="1539" t="inlineStr">
        <is>
          <t>Add back: Reported Depreciation, mm</t>
        </is>
      </c>
      <c r="B111" s="1528" t="n"/>
      <c r="C111" s="1529" t="n"/>
      <c r="D111" s="1529" t="n"/>
      <c r="E111" s="1529" t="n"/>
      <c r="F111" s="1529" t="n"/>
      <c r="G111" s="1529" t="n"/>
      <c r="H111" s="1529" t="n"/>
      <c r="I111" s="1529" t="n"/>
      <c r="J111" s="1529" t="n"/>
      <c r="K111" s="1529" t="n"/>
      <c r="L111" s="1529" t="n"/>
      <c r="M111" s="1529" t="n"/>
      <c r="N111" s="1529" t="n"/>
      <c r="O111" s="1420" t="n"/>
      <c r="P111" s="1420" t="n"/>
      <c r="Q111" s="1420" t="n"/>
      <c r="R111" s="1420" t="n"/>
      <c r="S111" s="1529" t="n"/>
      <c r="T111" s="1420" t="n"/>
      <c r="U111" s="1420" t="n"/>
      <c r="V111" s="1420" t="n"/>
      <c r="W111" s="1420" t="n"/>
      <c r="X111" s="1540">
        <f>X362</f>
        <v/>
      </c>
      <c r="Y111" s="1420" t="n"/>
      <c r="Z111" s="1420" t="n"/>
      <c r="AA111" s="1422">
        <f>AA362</f>
        <v/>
      </c>
      <c r="AB111" s="1422">
        <f>AB362</f>
        <v/>
      </c>
      <c r="AC111" s="1540">
        <f>AC362</f>
        <v/>
      </c>
      <c r="AD111" s="1422">
        <f>AD362</f>
        <v/>
      </c>
      <c r="AE111" s="1422">
        <f>AE362</f>
        <v/>
      </c>
      <c r="AF111" s="1422">
        <f>AF362</f>
        <v/>
      </c>
      <c r="AG111" s="1422">
        <f>AG362</f>
        <v/>
      </c>
      <c r="AH111" s="1540">
        <f>AH362</f>
        <v/>
      </c>
      <c r="AI111" s="1422">
        <f>AI362</f>
        <v/>
      </c>
      <c r="AJ111" s="1422">
        <f>AJ362</f>
        <v/>
      </c>
      <c r="AK111" s="1541">
        <f>AK362</f>
        <v/>
      </c>
      <c r="AL111" s="1422">
        <f>AL362</f>
        <v/>
      </c>
      <c r="AM111" s="1540">
        <f>AM362</f>
        <v/>
      </c>
      <c r="AN111" s="1422">
        <f>AN362</f>
        <v/>
      </c>
      <c r="AO111" s="1422">
        <f>AO362</f>
        <v/>
      </c>
      <c r="AP111" s="1422">
        <f>AP362</f>
        <v/>
      </c>
      <c r="AQ111" s="1422">
        <f>AQ362</f>
        <v/>
      </c>
      <c r="AR111" s="1540">
        <f>AR362</f>
        <v/>
      </c>
      <c r="AS111" s="1540">
        <f>AS362</f>
        <v/>
      </c>
      <c r="AT111" s="1540">
        <f>AT362</f>
        <v/>
      </c>
      <c r="AU111" s="1540">
        <f>AU362</f>
        <v/>
      </c>
      <c r="AV111" s="1422" t="n"/>
    </row>
    <row r="112" ht="14.4" customFormat="1" customHeight="1" s="1418">
      <c r="A112" s="1539" t="inlineStr">
        <is>
          <t>Other, mm</t>
        </is>
      </c>
      <c r="B112" s="1528" t="n"/>
      <c r="C112" s="1529" t="n"/>
      <c r="D112" s="1529" t="n"/>
      <c r="E112" s="1529" t="n"/>
      <c r="F112" s="1529" t="n"/>
      <c r="G112" s="1529" t="n"/>
      <c r="H112" s="1529" t="n"/>
      <c r="I112" s="1529" t="n"/>
      <c r="J112" s="1529" t="n"/>
      <c r="K112" s="1529" t="n"/>
      <c r="L112" s="1529" t="n"/>
      <c r="M112" s="1529" t="n"/>
      <c r="N112" s="1529" t="n"/>
      <c r="O112" s="1420" t="n"/>
      <c r="P112" s="1420" t="n"/>
      <c r="Q112" s="1420" t="n"/>
      <c r="R112" s="1420" t="n"/>
      <c r="S112" s="1529" t="n"/>
      <c r="T112" s="1420" t="n"/>
      <c r="U112" s="1420" t="n"/>
      <c r="V112" s="1420" t="n"/>
      <c r="W112" s="1420" t="n"/>
      <c r="X112" s="1540">
        <f>X363</f>
        <v/>
      </c>
      <c r="Y112" s="1420" t="n"/>
      <c r="Z112" s="1420" t="n"/>
      <c r="AA112" s="1422">
        <f>AA363</f>
        <v/>
      </c>
      <c r="AB112" s="1422">
        <f>AB363</f>
        <v/>
      </c>
      <c r="AC112" s="1540">
        <f>AC363</f>
        <v/>
      </c>
      <c r="AD112" s="1422">
        <f>AD363</f>
        <v/>
      </c>
      <c r="AE112" s="1422">
        <f>AE363</f>
        <v/>
      </c>
      <c r="AF112" s="1422">
        <f>AF363</f>
        <v/>
      </c>
      <c r="AG112" s="1422">
        <f>AG363</f>
        <v/>
      </c>
      <c r="AH112" s="1540">
        <f>AH363</f>
        <v/>
      </c>
      <c r="AI112" s="1422">
        <f>AI363</f>
        <v/>
      </c>
      <c r="AJ112" s="1422">
        <f>AJ363</f>
        <v/>
      </c>
      <c r="AK112" s="1541">
        <f>AK363</f>
        <v/>
      </c>
      <c r="AL112" s="1422">
        <f>AL363</f>
        <v/>
      </c>
      <c r="AM112" s="1540">
        <f>AM363</f>
        <v/>
      </c>
      <c r="AN112" s="1422">
        <f>AN363</f>
        <v/>
      </c>
      <c r="AO112" s="1422">
        <f>AO363</f>
        <v/>
      </c>
      <c r="AP112" s="1422">
        <f>AP363</f>
        <v/>
      </c>
      <c r="AQ112" s="1422">
        <f>AQ363</f>
        <v/>
      </c>
      <c r="AR112" s="1540">
        <f>AR363</f>
        <v/>
      </c>
      <c r="AS112" s="1540">
        <f>AS363</f>
        <v/>
      </c>
      <c r="AT112" s="1540">
        <f>AT363</f>
        <v/>
      </c>
      <c r="AU112" s="1540">
        <f>AU363</f>
        <v/>
      </c>
      <c r="AV112" s="1422" t="n"/>
    </row>
    <row r="113" ht="14.4" customFormat="1" customHeight="1" s="1438">
      <c r="A113" s="1542" t="inlineStr">
        <is>
          <t>Non-GAAP EBITDA, mm</t>
        </is>
      </c>
      <c r="B113" s="1543" t="n"/>
      <c r="C113" s="1544" t="n"/>
      <c r="D113" s="1544" t="n"/>
      <c r="E113" s="1544" t="n"/>
      <c r="F113" s="1544" t="n"/>
      <c r="G113" s="1544" t="n"/>
      <c r="H113" s="1544" t="n"/>
      <c r="I113" s="1544" t="n"/>
      <c r="J113" s="1544" t="n"/>
      <c r="K113" s="1544" t="n"/>
      <c r="L113" s="1544" t="n"/>
      <c r="M113" s="1544" t="n"/>
      <c r="N113" s="1544" t="n"/>
      <c r="O113" s="1545" t="n"/>
      <c r="P113" s="1545" t="n"/>
      <c r="Q113" s="1545" t="n"/>
      <c r="R113" s="1545" t="n"/>
      <c r="S113" s="1544" t="n"/>
      <c r="T113" s="1545" t="n"/>
      <c r="U113" s="1545" t="n"/>
      <c r="V113" s="1545" t="n"/>
      <c r="W113" s="1545" t="n"/>
      <c r="X113" s="1546">
        <f>X104+X111+X112</f>
        <v/>
      </c>
      <c r="Y113" s="1545" t="n"/>
      <c r="Z113" s="1545" t="n"/>
      <c r="AA113" s="1547">
        <f>AA104+AA111+AA112</f>
        <v/>
      </c>
      <c r="AB113" s="1547">
        <f>AB104+AB111+AB112</f>
        <v/>
      </c>
      <c r="AC113" s="1546">
        <f>AC104+AC111+AC112</f>
        <v/>
      </c>
      <c r="AD113" s="1547">
        <f>AD104+AD111+AD112</f>
        <v/>
      </c>
      <c r="AE113" s="1547">
        <f>AE104+AE111+AE112</f>
        <v/>
      </c>
      <c r="AF113" s="1547">
        <f>AF104+AF111+AF112</f>
        <v/>
      </c>
      <c r="AG113" s="1547">
        <f>AG104+AG111+AG112</f>
        <v/>
      </c>
      <c r="AH113" s="1546">
        <f>AH104+AH111+AH112</f>
        <v/>
      </c>
      <c r="AI113" s="1547">
        <f>AI104+AI111+AI112</f>
        <v/>
      </c>
      <c r="AJ113" s="1547">
        <f>AJ104+AJ111+AJ112</f>
        <v/>
      </c>
      <c r="AK113" s="1548">
        <f>AK104+AK111+AK112</f>
        <v/>
      </c>
      <c r="AL113" s="1547">
        <f>AL104+AL111+AL112</f>
        <v/>
      </c>
      <c r="AM113" s="1546">
        <f>AM104+AM111+AM112</f>
        <v/>
      </c>
      <c r="AN113" s="1547">
        <f>AN104+AN111+AN112</f>
        <v/>
      </c>
      <c r="AO113" s="1547">
        <f>AO104+AO111+AO112</f>
        <v/>
      </c>
      <c r="AP113" s="1547">
        <f>AP104+AP111+AP112</f>
        <v/>
      </c>
      <c r="AQ113" s="1547">
        <f>AQ104+AQ111+AQ112</f>
        <v/>
      </c>
      <c r="AR113" s="1546">
        <f>AR104+AR111+AR112</f>
        <v/>
      </c>
      <c r="AS113" s="1546">
        <f>AS104+AS111+AS112</f>
        <v/>
      </c>
      <c r="AT113" s="1546">
        <f>AT104+AT111+AT112</f>
        <v/>
      </c>
      <c r="AU113" s="1546">
        <f>AU104+AU111+AU112</f>
        <v/>
      </c>
      <c r="AV113" s="1446" t="n"/>
    </row>
    <row r="114" ht="14.4" customFormat="1" customHeight="1" s="1447">
      <c r="A114" s="1589">
        <f>A365</f>
        <v/>
      </c>
      <c r="B114" s="1570" t="n"/>
      <c r="C114" s="1590" t="n"/>
      <c r="D114" s="1590" t="n"/>
      <c r="E114" s="1590" t="n"/>
      <c r="F114" s="1590" t="n"/>
      <c r="G114" s="1590" t="n"/>
      <c r="H114" s="1590" t="n"/>
      <c r="I114" s="1590" t="n"/>
      <c r="J114" s="1590" t="n"/>
      <c r="K114" s="1590" t="n"/>
      <c r="L114" s="1590" t="n"/>
      <c r="M114" s="1590" t="n"/>
      <c r="N114" s="1590" t="n"/>
      <c r="O114" s="1591" t="n"/>
      <c r="P114" s="1591" t="n"/>
      <c r="Q114" s="1591" t="n"/>
      <c r="R114" s="1591" t="n"/>
      <c r="S114" s="1590" t="n"/>
      <c r="T114" s="1591" t="n"/>
      <c r="U114" s="1591" t="n"/>
      <c r="V114" s="1591" t="n"/>
      <c r="W114" s="1591" t="n"/>
      <c r="X114" s="1590" t="n"/>
      <c r="Y114" s="1591" t="n"/>
      <c r="Z114" s="1591" t="n"/>
      <c r="AA114" s="1591" t="n"/>
      <c r="AB114" s="1591" t="n"/>
      <c r="AC114" s="1590" t="n"/>
      <c r="AD114" s="1591" t="n"/>
      <c r="AE114" s="1591" t="n"/>
      <c r="AF114" s="1591" t="n"/>
      <c r="AG114" s="1591" t="n"/>
      <c r="AH114" s="1590" t="n"/>
      <c r="AI114" s="1591" t="n"/>
      <c r="AJ114" s="1591" t="n"/>
      <c r="AK114" s="1592" t="n"/>
      <c r="AL114" s="1453">
        <f>AL365</f>
        <v/>
      </c>
      <c r="AM114" s="1454">
        <f>AM365</f>
        <v/>
      </c>
      <c r="AN114" s="1453">
        <f>AN365</f>
        <v/>
      </c>
      <c r="AO114" s="1453">
        <f>AO365</f>
        <v/>
      </c>
      <c r="AP114" s="1453">
        <f>AP365</f>
        <v/>
      </c>
      <c r="AQ114" s="1453">
        <f>AQ365</f>
        <v/>
      </c>
      <c r="AR114" s="1454">
        <f>AR365</f>
        <v/>
      </c>
      <c r="AS114" s="1454">
        <f>AS365</f>
        <v/>
      </c>
      <c r="AT114" s="1454">
        <f>AT365</f>
        <v/>
      </c>
      <c r="AU114" s="1454">
        <f>AU365</f>
        <v/>
      </c>
      <c r="AV114" s="1455" t="n"/>
    </row>
    <row r="115" ht="14.4" customFormat="1" customHeight="1" s="1438">
      <c r="A115" s="1448" t="inlineStr">
        <is>
          <t>Y/Y Non-GAAP EBITDA growth, %</t>
        </is>
      </c>
      <c r="B115" s="1570" t="n"/>
      <c r="C115" s="1550" t="n"/>
      <c r="D115" s="1550" t="n"/>
      <c r="E115" s="1550" t="n"/>
      <c r="F115" s="1550" t="n"/>
      <c r="G115" s="1550" t="n"/>
      <c r="H115" s="1550" t="n"/>
      <c r="I115" s="1550" t="n"/>
      <c r="J115" s="1550" t="n"/>
      <c r="K115" s="1550" t="n"/>
      <c r="L115" s="1550" t="n"/>
      <c r="M115" s="1550" t="n"/>
      <c r="N115" s="1550" t="n"/>
      <c r="O115" s="1551" t="n"/>
      <c r="P115" s="1551" t="n"/>
      <c r="Q115" s="1551" t="n"/>
      <c r="R115" s="1551" t="n"/>
      <c r="S115" s="1550" t="n"/>
      <c r="T115" s="1551" t="n"/>
      <c r="U115" s="1551" t="n"/>
      <c r="V115" s="1551" t="n"/>
      <c r="W115" s="1551" t="n"/>
      <c r="X115" s="1550" t="n"/>
      <c r="Y115" s="1551" t="n"/>
      <c r="Z115" s="1551" t="n"/>
      <c r="AA115" s="1551" t="n"/>
      <c r="AB115" s="1551" t="n"/>
      <c r="AC115" s="1552">
        <f>AC113/X113-1</f>
        <v/>
      </c>
      <c r="AD115" s="1551" t="n"/>
      <c r="AE115" s="1551" t="n"/>
      <c r="AF115" s="1551" t="n"/>
      <c r="AG115" s="1463">
        <f>AG113/AB113-1</f>
        <v/>
      </c>
      <c r="AH115" s="1552">
        <f>AH113/AC113-1</f>
        <v/>
      </c>
      <c r="AI115" s="1551">
        <f>AI113/AD113-1</f>
        <v/>
      </c>
      <c r="AJ115" s="1551">
        <f>AJ113/AE113-1</f>
        <v/>
      </c>
      <c r="AK115" s="1553">
        <f>AK113/AF113-1</f>
        <v/>
      </c>
      <c r="AL115" s="1463">
        <f>AL113/AG113-1</f>
        <v/>
      </c>
      <c r="AM115" s="1552">
        <f>AM113/AH113-1</f>
        <v/>
      </c>
      <c r="AN115" s="1463">
        <f>AN113/AI113-1</f>
        <v/>
      </c>
      <c r="AO115" s="1463">
        <f>AO113/AJ113-1</f>
        <v/>
      </c>
      <c r="AP115" s="1463">
        <f>AP113/AK113-1</f>
        <v/>
      </c>
      <c r="AQ115" s="1463">
        <f>AQ113/AL113-1</f>
        <v/>
      </c>
      <c r="AR115" s="1552">
        <f>AR113/AM113-1</f>
        <v/>
      </c>
      <c r="AS115" s="1552">
        <f>AS113/AR113-1</f>
        <v/>
      </c>
      <c r="AT115" s="1552">
        <f>AT113/AS113-1</f>
        <v/>
      </c>
      <c r="AU115" s="1552">
        <f>AU113/AT113-1</f>
        <v/>
      </c>
      <c r="AV115" s="1446" t="n"/>
    </row>
    <row r="116" ht="14.4" customFormat="1" customHeight="1" s="1432">
      <c r="A116" s="1473" t="inlineStr">
        <is>
          <t>Non-GAAP EBITDA Margin, %</t>
        </is>
      </c>
      <c r="B116" s="1554" t="n"/>
      <c r="C116" s="1555" t="n"/>
      <c r="D116" s="1555" t="n"/>
      <c r="E116" s="1555" t="n"/>
      <c r="F116" s="1555" t="n"/>
      <c r="G116" s="1555" t="n"/>
      <c r="H116" s="1555" t="n"/>
      <c r="I116" s="1555" t="n"/>
      <c r="J116" s="1555" t="n"/>
      <c r="K116" s="1555" t="n"/>
      <c r="L116" s="1555" t="n"/>
      <c r="M116" s="1555" t="n"/>
      <c r="N116" s="1555" t="n"/>
      <c r="O116" s="1556" t="n"/>
      <c r="P116" s="1556" t="n"/>
      <c r="Q116" s="1556" t="n"/>
      <c r="R116" s="1556" t="n"/>
      <c r="S116" s="1555" t="n"/>
      <c r="T116" s="1556" t="n"/>
      <c r="U116" s="1556" t="n"/>
      <c r="V116" s="1556" t="n"/>
      <c r="W116" s="1556" t="n"/>
      <c r="X116" s="1557">
        <f>X113/X40</f>
        <v/>
      </c>
      <c r="Y116" s="1556" t="n"/>
      <c r="Z116" s="1556" t="n"/>
      <c r="AA116" s="1437">
        <f>AA113/AA40</f>
        <v/>
      </c>
      <c r="AB116" s="1437">
        <f>AB113/AB40</f>
        <v/>
      </c>
      <c r="AC116" s="1557">
        <f>AC113/AC40</f>
        <v/>
      </c>
      <c r="AD116" s="1437">
        <f>AD113/AD40</f>
        <v/>
      </c>
      <c r="AE116" s="1437">
        <f>AE113/AE40</f>
        <v/>
      </c>
      <c r="AF116" s="1437">
        <f>AF113/AF40</f>
        <v/>
      </c>
      <c r="AG116" s="1437">
        <f>AG113/AG40</f>
        <v/>
      </c>
      <c r="AH116" s="1557">
        <f>AH113/AH40</f>
        <v/>
      </c>
      <c r="AI116" s="1437">
        <f>AI113/AI40</f>
        <v/>
      </c>
      <c r="AJ116" s="1437">
        <f>AJ113/AJ40</f>
        <v/>
      </c>
      <c r="AK116" s="1558">
        <f>AK113/AK40</f>
        <v/>
      </c>
      <c r="AL116" s="1437">
        <f>AL113/AL40</f>
        <v/>
      </c>
      <c r="AM116" s="1557">
        <f>AM113/AM40</f>
        <v/>
      </c>
      <c r="AN116" s="1437">
        <f>AN113/AN40</f>
        <v/>
      </c>
      <c r="AO116" s="1437">
        <f>AO113/AO40</f>
        <v/>
      </c>
      <c r="AP116" s="1437">
        <f>AP113/AP40</f>
        <v/>
      </c>
      <c r="AQ116" s="1437">
        <f>AQ113/AQ40</f>
        <v/>
      </c>
      <c r="AR116" s="1557">
        <f>AR113/AR40</f>
        <v/>
      </c>
      <c r="AS116" s="1557">
        <f>AS113/AS40</f>
        <v/>
      </c>
      <c r="AT116" s="1557">
        <f>AT113/AT40</f>
        <v/>
      </c>
      <c r="AU116" s="1557">
        <f>AU113/AU40</f>
        <v/>
      </c>
      <c r="AV116" s="1437" t="n"/>
    </row>
    <row r="117" ht="14.4" customFormat="1" customHeight="1" s="1456">
      <c r="A117" s="1457">
        <f>A16</f>
        <v/>
      </c>
      <c r="B117" s="1549" t="n"/>
      <c r="C117" s="1550" t="n"/>
      <c r="D117" s="1550" t="n"/>
      <c r="E117" s="1550" t="n"/>
      <c r="F117" s="1550" t="n"/>
      <c r="G117" s="1550" t="n"/>
      <c r="H117" s="1550" t="n"/>
      <c r="I117" s="1550" t="n"/>
      <c r="J117" s="1550" t="n"/>
      <c r="K117" s="1550" t="n"/>
      <c r="L117" s="1550" t="n"/>
      <c r="M117" s="1550" t="n"/>
      <c r="N117" s="1550" t="n"/>
      <c r="O117" s="1551" t="n"/>
      <c r="P117" s="1551" t="n"/>
      <c r="Q117" s="1551" t="n"/>
      <c r="R117" s="1551" t="n"/>
      <c r="S117" s="1550" t="n"/>
      <c r="T117" s="1551" t="n"/>
      <c r="U117" s="1551" t="n"/>
      <c r="V117" s="1551" t="n"/>
      <c r="W117" s="1551" t="n"/>
      <c r="X117" s="1550" t="n"/>
      <c r="Y117" s="1551" t="n"/>
      <c r="Z117" s="1551" t="n"/>
      <c r="AA117" s="1551" t="n"/>
      <c r="AB117" s="1551" t="n"/>
      <c r="AC117" s="1550" t="n"/>
      <c r="AD117" s="1551" t="n"/>
      <c r="AE117" s="1551" t="n"/>
      <c r="AF117" s="1551" t="n"/>
      <c r="AG117" s="1551" t="n"/>
      <c r="AH117" s="1550" t="n"/>
      <c r="AI117" s="1551" t="n"/>
      <c r="AJ117" s="1551" t="n"/>
      <c r="AK117" s="1553" t="n"/>
      <c r="AL117" s="1461">
        <f>AL16</f>
        <v/>
      </c>
      <c r="AM117" s="1472">
        <f>AM16</f>
        <v/>
      </c>
      <c r="AN117" s="1461">
        <f>AN16</f>
        <v/>
      </c>
      <c r="AO117" s="1461">
        <f>AO16</f>
        <v/>
      </c>
      <c r="AP117" s="1461">
        <f>AP16</f>
        <v/>
      </c>
      <c r="AQ117" s="1461">
        <f>AQ16</f>
        <v/>
      </c>
      <c r="AR117" s="1472">
        <f>AR16</f>
        <v/>
      </c>
      <c r="AS117" s="1472">
        <f>AS16</f>
        <v/>
      </c>
      <c r="AT117" s="1472">
        <f>AT16</f>
        <v/>
      </c>
      <c r="AU117" s="1472">
        <f>AU16</f>
        <v/>
      </c>
      <c r="AV117" s="1463" t="n"/>
    </row>
    <row r="118" ht="14.4" customFormat="1" customHeight="1" s="1480">
      <c r="A118" s="1481" t="inlineStr">
        <is>
          <t>Y/Y Non-GAAP EBITDA Margin Improvement, bps</t>
        </is>
      </c>
      <c r="B118" s="1560" t="n"/>
      <c r="C118" s="1561" t="n"/>
      <c r="D118" s="1561" t="n"/>
      <c r="E118" s="1561" t="n"/>
      <c r="F118" s="1561" t="n"/>
      <c r="G118" s="1561" t="n"/>
      <c r="H118" s="1561" t="n"/>
      <c r="I118" s="1561" t="n"/>
      <c r="J118" s="1561" t="n"/>
      <c r="K118" s="1561" t="n"/>
      <c r="L118" s="1561" t="n"/>
      <c r="M118" s="1561" t="n"/>
      <c r="N118" s="1561" t="n"/>
      <c r="O118" s="1562" t="n"/>
      <c r="P118" s="1562" t="n"/>
      <c r="Q118" s="1562" t="n"/>
      <c r="R118" s="1562" t="n"/>
      <c r="S118" s="1561" t="n"/>
      <c r="T118" s="1562" t="n"/>
      <c r="U118" s="1562" t="n"/>
      <c r="V118" s="1562" t="n"/>
      <c r="W118" s="1562" t="n"/>
      <c r="X118" s="1561" t="n"/>
      <c r="Y118" s="1562" t="n"/>
      <c r="Z118" s="1562" t="n"/>
      <c r="AA118" s="1562" t="n"/>
      <c r="AB118" s="1562" t="n"/>
      <c r="AC118" s="1587">
        <f>(AC116-X116)*10000</f>
        <v/>
      </c>
      <c r="AD118" s="1562" t="n"/>
      <c r="AE118" s="1562" t="n"/>
      <c r="AF118" s="1562" t="n"/>
      <c r="AG118" s="1488">
        <f>(AG116-AB116)*10000</f>
        <v/>
      </c>
      <c r="AH118" s="1587">
        <f>(AH116-AC116)*10000</f>
        <v/>
      </c>
      <c r="AI118" s="1562">
        <f>(AI116-AD116)*10000</f>
        <v/>
      </c>
      <c r="AJ118" s="1562">
        <f>(AJ116-AE116)*10000</f>
        <v/>
      </c>
      <c r="AK118" s="1563">
        <f>(AK116-AF116)*10000</f>
        <v/>
      </c>
      <c r="AL118" s="1488">
        <f>(AL116-AG116)*10000</f>
        <v/>
      </c>
      <c r="AM118" s="1587">
        <f>(AM116-AH116)*10000</f>
        <v/>
      </c>
      <c r="AN118" s="1488">
        <f>(AN116-AI116)*10000</f>
        <v/>
      </c>
      <c r="AO118" s="1488">
        <f>(AO116-AJ116)*10000</f>
        <v/>
      </c>
      <c r="AP118" s="1488">
        <f>(AP116-AK116)*10000</f>
        <v/>
      </c>
      <c r="AQ118" s="1488">
        <f>(AQ116-AL116)*10000</f>
        <v/>
      </c>
      <c r="AR118" s="1587">
        <f>(AR116-AM116)*10000</f>
        <v/>
      </c>
      <c r="AS118" s="1587">
        <f>(AS116-AR116)*10000</f>
        <v/>
      </c>
      <c r="AT118" s="1587">
        <f>(AT116-AS116)*10000</f>
        <v/>
      </c>
      <c r="AU118" s="1587">
        <f>(AU116-AT116)*10000</f>
        <v/>
      </c>
      <c r="AV118" s="1488" t="n"/>
    </row>
    <row r="119" ht="14.4" customFormat="1" customHeight="1" s="1418">
      <c r="A119" s="1467" t="n"/>
      <c r="B119" s="1528" t="n"/>
      <c r="C119" s="1529" t="n"/>
      <c r="D119" s="1529" t="n"/>
      <c r="E119" s="1529" t="n"/>
      <c r="F119" s="1529" t="n"/>
      <c r="G119" s="1529" t="n"/>
      <c r="H119" s="1529" t="n"/>
      <c r="I119" s="1529" t="n"/>
      <c r="J119" s="1529" t="n"/>
      <c r="K119" s="1529" t="n"/>
      <c r="L119" s="1529" t="n"/>
      <c r="M119" s="1529" t="n"/>
      <c r="N119" s="1529" t="n"/>
      <c r="O119" s="1420" t="n"/>
      <c r="P119" s="1420" t="n"/>
      <c r="Q119" s="1420" t="n"/>
      <c r="R119" s="1420" t="n"/>
      <c r="S119" s="1529" t="n"/>
      <c r="T119" s="1420" t="n"/>
      <c r="U119" s="1420" t="n"/>
      <c r="V119" s="1420" t="n"/>
      <c r="W119" s="1420" t="n"/>
      <c r="X119" s="1529" t="n"/>
      <c r="Y119" s="1420" t="n"/>
      <c r="Z119" s="1420" t="n"/>
      <c r="AA119" s="1420" t="n"/>
      <c r="AB119" s="1420" t="n"/>
      <c r="AC119" s="1529" t="n"/>
      <c r="AD119" s="1420" t="n"/>
      <c r="AE119" s="1420" t="n"/>
      <c r="AF119" s="1420" t="n"/>
      <c r="AG119" s="1420" t="n"/>
      <c r="AH119" s="1529" t="n"/>
      <c r="AI119" s="1420" t="n"/>
      <c r="AJ119" s="1420" t="n"/>
      <c r="AK119" s="1421" t="n"/>
      <c r="AL119" s="1420" t="n"/>
      <c r="AM119" s="1529" t="n"/>
      <c r="AN119" s="1420" t="n"/>
      <c r="AO119" s="1420" t="n"/>
      <c r="AP119" s="1420" t="n"/>
      <c r="AQ119" s="1420" t="n"/>
      <c r="AR119" s="1529" t="n"/>
      <c r="AS119" s="1529" t="n"/>
      <c r="AT119" s="1529" t="n"/>
      <c r="AU119" s="1529" t="n"/>
      <c r="AV119" s="1422" t="n"/>
    </row>
    <row r="120" ht="14.4" customFormat="1" customHeight="1" s="1418">
      <c r="A120" s="1530" t="inlineStr">
        <is>
          <t>SBC and D&amp;A Breakdown (FS)</t>
        </is>
      </c>
      <c r="B120" s="1531" t="n"/>
      <c r="C120" s="1531" t="n"/>
      <c r="D120" s="1531" t="n"/>
      <c r="E120" s="1531" t="n"/>
      <c r="F120" s="1531" t="n"/>
      <c r="G120" s="1531" t="n"/>
      <c r="H120" s="1531" t="n"/>
      <c r="I120" s="1531" t="n"/>
      <c r="J120" s="1531" t="n"/>
      <c r="K120" s="1531" t="n"/>
      <c r="L120" s="1531" t="n"/>
      <c r="M120" s="1531" t="n"/>
      <c r="N120" s="1531" t="n"/>
      <c r="O120" s="1531" t="n"/>
      <c r="P120" s="1531" t="n"/>
      <c r="Q120" s="1531" t="n"/>
      <c r="R120" s="1531" t="n"/>
      <c r="S120" s="1531" t="n"/>
      <c r="T120" s="1531" t="n"/>
      <c r="U120" s="1531" t="n"/>
      <c r="V120" s="1531" t="n"/>
      <c r="W120" s="1531" t="n"/>
      <c r="X120" s="1531" t="n"/>
      <c r="Y120" s="1531" t="n"/>
      <c r="Z120" s="1531" t="n"/>
      <c r="AA120" s="1531" t="inlineStr">
        <is>
          <t>9 Months</t>
        </is>
      </c>
      <c r="AB120" s="1531" t="n"/>
      <c r="AC120" s="1531" t="n"/>
      <c r="AD120" s="1531" t="n"/>
      <c r="AE120" s="1531" t="n"/>
      <c r="AF120" s="1531" t="n"/>
      <c r="AG120" s="1531" t="n"/>
      <c r="AH120" s="1531" t="n"/>
      <c r="AI120" s="1531" t="n"/>
      <c r="AJ120" s="1531" t="n"/>
      <c r="AK120" s="1533" t="n"/>
      <c r="AL120" s="1531" t="n"/>
      <c r="AM120" s="1531" t="n"/>
      <c r="AN120" s="1531" t="n"/>
      <c r="AO120" s="1531" t="n"/>
      <c r="AP120" s="1531" t="n"/>
      <c r="AQ120" s="1531" t="n"/>
      <c r="AR120" s="1531" t="n"/>
      <c r="AS120" s="1531" t="n"/>
      <c r="AT120" s="1531" t="n"/>
      <c r="AU120" s="1531" t="n"/>
      <c r="AV120" s="1422" t="n"/>
    </row>
    <row r="121" hidden="1" outlineLevel="1" ht="14.4" customFormat="1" customHeight="1" s="1418">
      <c r="A121" s="1467" t="inlineStr">
        <is>
          <t>SBC included in COGS, mm</t>
        </is>
      </c>
      <c r="B121" s="1528" t="n"/>
      <c r="C121" s="1529" t="n"/>
      <c r="D121" s="1529" t="n"/>
      <c r="E121" s="1529" t="n"/>
      <c r="F121" s="1529" t="n"/>
      <c r="G121" s="1529" t="n"/>
      <c r="H121" s="1529" t="n"/>
      <c r="I121" s="1529" t="n"/>
      <c r="J121" s="1529" t="n"/>
      <c r="K121" s="1529" t="n"/>
      <c r="L121" s="1529" t="n"/>
      <c r="M121" s="1529" t="n"/>
      <c r="N121" s="1529" t="n"/>
      <c r="O121" s="1420" t="n"/>
      <c r="P121" s="1420" t="n"/>
      <c r="Q121" s="1420" t="n"/>
      <c r="R121" s="1420" t="n"/>
      <c r="S121" s="1529" t="n"/>
      <c r="T121" s="1420" t="n"/>
      <c r="U121" s="1420" t="n"/>
      <c r="V121" s="1420" t="n"/>
      <c r="W121" s="1420" t="n"/>
      <c r="X121" s="1593" t="n">
        <v>0.133</v>
      </c>
      <c r="Y121" s="1420" t="n"/>
      <c r="Z121" s="1420" t="n"/>
      <c r="AA121" s="1594" t="n">
        <v>0.349</v>
      </c>
      <c r="AB121" s="1422">
        <f>AC121-SUM(Y121,Z121,AA121)</f>
        <v/>
      </c>
      <c r="AC121" s="1593" t="n">
        <v>0.694</v>
      </c>
      <c r="AD121" s="1594" t="n">
        <v>0.388</v>
      </c>
      <c r="AE121" s="1594" t="n">
        <v>0.35</v>
      </c>
      <c r="AF121" s="1594" t="n">
        <v>0.271</v>
      </c>
      <c r="AG121" s="1594" t="n">
        <v>0.298</v>
      </c>
      <c r="AH121" s="1593" t="n">
        <v>1.307</v>
      </c>
      <c r="AI121" s="1594" t="n">
        <v>2.693</v>
      </c>
      <c r="AJ121" s="1594" t="n">
        <v>2.701</v>
      </c>
      <c r="AK121" s="1595" t="n">
        <v>3.533</v>
      </c>
      <c r="AL121" s="1422">
        <f>-AL337</f>
        <v/>
      </c>
      <c r="AM121" s="1540">
        <f>-AM337</f>
        <v/>
      </c>
      <c r="AN121" s="1422">
        <f>-AN337</f>
        <v/>
      </c>
      <c r="AO121" s="1422">
        <f>-AO337</f>
        <v/>
      </c>
      <c r="AP121" s="1422">
        <f>-AP337</f>
        <v/>
      </c>
      <c r="AQ121" s="1422">
        <f>-AQ337</f>
        <v/>
      </c>
      <c r="AR121" s="1540">
        <f>-AR337</f>
        <v/>
      </c>
      <c r="AS121" s="1540">
        <f>-AS337</f>
        <v/>
      </c>
      <c r="AT121" s="1540">
        <f>-AT337</f>
        <v/>
      </c>
      <c r="AU121" s="1540">
        <f>-AU337</f>
        <v/>
      </c>
      <c r="AV121" s="1422" t="n"/>
    </row>
    <row r="122" hidden="1" outlineLevel="1" ht="14.4" customFormat="1" customHeight="1" s="1418">
      <c r="A122" s="1539" t="inlineStr">
        <is>
          <t>SBC included in R&amp;D, mm</t>
        </is>
      </c>
      <c r="B122" s="1528" t="n"/>
      <c r="C122" s="1529" t="n"/>
      <c r="D122" s="1529" t="n"/>
      <c r="E122" s="1529" t="n"/>
      <c r="F122" s="1529" t="n"/>
      <c r="G122" s="1529" t="n"/>
      <c r="H122" s="1529" t="n"/>
      <c r="I122" s="1529" t="n"/>
      <c r="J122" s="1529" t="n"/>
      <c r="K122" s="1529" t="n"/>
      <c r="L122" s="1529" t="n"/>
      <c r="M122" s="1529" t="n"/>
      <c r="N122" s="1529" t="n"/>
      <c r="O122" s="1420" t="n"/>
      <c r="P122" s="1420" t="n"/>
      <c r="Q122" s="1420" t="n"/>
      <c r="R122" s="1420" t="n"/>
      <c r="S122" s="1529" t="n"/>
      <c r="T122" s="1420" t="n"/>
      <c r="U122" s="1420" t="n"/>
      <c r="V122" s="1420" t="n"/>
      <c r="W122" s="1420" t="n"/>
      <c r="X122" s="1593" t="n">
        <v>0.624</v>
      </c>
      <c r="Y122" s="1420" t="n"/>
      <c r="Z122" s="1420" t="n"/>
      <c r="AA122" s="1594" t="n">
        <v>3.293</v>
      </c>
      <c r="AB122" s="1422">
        <f>AC122-SUM(Y122,Z122,AA122)</f>
        <v/>
      </c>
      <c r="AC122" s="1593" t="n">
        <v>7.1</v>
      </c>
      <c r="AD122" s="1594" t="n">
        <v>2.357</v>
      </c>
      <c r="AE122" s="1594" t="n">
        <v>2.08</v>
      </c>
      <c r="AF122" s="1594" t="n">
        <v>2.161</v>
      </c>
      <c r="AG122" s="1594" t="n">
        <v>3.539</v>
      </c>
      <c r="AH122" s="1593" t="n">
        <v>10.137</v>
      </c>
      <c r="AI122" s="1594" t="n">
        <v>54.599</v>
      </c>
      <c r="AJ122" s="1594" t="n">
        <v>47.683</v>
      </c>
      <c r="AK122" s="1595" t="n">
        <v>52.623</v>
      </c>
      <c r="AL122" s="1422">
        <f>+AL353</f>
        <v/>
      </c>
      <c r="AM122" s="1540">
        <f>+AM353</f>
        <v/>
      </c>
      <c r="AN122" s="1422">
        <f>+AN353</f>
        <v/>
      </c>
      <c r="AO122" s="1422">
        <f>+AO353</f>
        <v/>
      </c>
      <c r="AP122" s="1422">
        <f>+AP353</f>
        <v/>
      </c>
      <c r="AQ122" s="1422">
        <f>+AQ353</f>
        <v/>
      </c>
      <c r="AR122" s="1540">
        <f>+AR353</f>
        <v/>
      </c>
      <c r="AS122" s="1540">
        <f>+AS353</f>
        <v/>
      </c>
      <c r="AT122" s="1540">
        <f>+AT353</f>
        <v/>
      </c>
      <c r="AU122" s="1540">
        <f>+AU353</f>
        <v/>
      </c>
      <c r="AV122" s="1422" t="n"/>
    </row>
    <row r="123" hidden="1" outlineLevel="1" ht="14.4" customFormat="1" customHeight="1" s="1418">
      <c r="A123" s="1539" t="inlineStr">
        <is>
          <t>SBC included in S&amp;M, mm</t>
        </is>
      </c>
      <c r="B123" s="1528" t="n"/>
      <c r="C123" s="1529" t="n"/>
      <c r="D123" s="1529" t="n"/>
      <c r="E123" s="1529" t="n"/>
      <c r="F123" s="1529" t="n"/>
      <c r="G123" s="1529" t="n"/>
      <c r="H123" s="1529" t="n"/>
      <c r="I123" s="1529" t="n"/>
      <c r="J123" s="1529" t="n"/>
      <c r="K123" s="1529" t="n"/>
      <c r="L123" s="1529" t="n"/>
      <c r="M123" s="1529" t="n"/>
      <c r="N123" s="1529" t="n"/>
      <c r="O123" s="1420" t="n"/>
      <c r="P123" s="1420" t="n"/>
      <c r="Q123" s="1420" t="n"/>
      <c r="R123" s="1420" t="n"/>
      <c r="S123" s="1529" t="n"/>
      <c r="T123" s="1420" t="n"/>
      <c r="U123" s="1420" t="n"/>
      <c r="V123" s="1420" t="n"/>
      <c r="W123" s="1420" t="n"/>
      <c r="X123" s="1593" t="n">
        <v>0.074</v>
      </c>
      <c r="Y123" s="1420" t="n"/>
      <c r="Z123" s="1420" t="n"/>
      <c r="AA123" s="1594" t="n">
        <v>0.892</v>
      </c>
      <c r="AB123" s="1422">
        <f>AC123-SUM(Y123,Z123,AA123)</f>
        <v/>
      </c>
      <c r="AC123" s="1593" t="n">
        <v>1.74</v>
      </c>
      <c r="AD123" s="1594" t="n">
        <v>0.867</v>
      </c>
      <c r="AE123" s="1594" t="n">
        <v>0.848</v>
      </c>
      <c r="AF123" s="1594" t="n">
        <v>0.847</v>
      </c>
      <c r="AG123" s="1594" t="n">
        <v>0.846</v>
      </c>
      <c r="AH123" s="1593" t="n">
        <v>3.408</v>
      </c>
      <c r="AI123" s="1594" t="n">
        <v>2.82</v>
      </c>
      <c r="AJ123" s="1594" t="n">
        <v>8.494</v>
      </c>
      <c r="AK123" s="1595" t="n">
        <v>9.81</v>
      </c>
      <c r="AL123" s="1422">
        <f>+AL343</f>
        <v/>
      </c>
      <c r="AM123" s="1540">
        <f>+AM343</f>
        <v/>
      </c>
      <c r="AN123" s="1422">
        <f>+AN343</f>
        <v/>
      </c>
      <c r="AO123" s="1422">
        <f>+AO343</f>
        <v/>
      </c>
      <c r="AP123" s="1422">
        <f>+AP343</f>
        <v/>
      </c>
      <c r="AQ123" s="1422">
        <f>+AQ343</f>
        <v/>
      </c>
      <c r="AR123" s="1540">
        <f>+AR343</f>
        <v/>
      </c>
      <c r="AS123" s="1540">
        <f>+AS343</f>
        <v/>
      </c>
      <c r="AT123" s="1540">
        <f>+AT343</f>
        <v/>
      </c>
      <c r="AU123" s="1540">
        <f>+AU343</f>
        <v/>
      </c>
      <c r="AV123" s="1422" t="n"/>
    </row>
    <row r="124" hidden="1" outlineLevel="1" ht="14.4" customFormat="1" customHeight="1" s="1418">
      <c r="A124" s="1539" t="inlineStr">
        <is>
          <t>SBC included in G&amp;A, mm</t>
        </is>
      </c>
      <c r="B124" s="1528" t="n"/>
      <c r="C124" s="1529" t="n"/>
      <c r="D124" s="1529" t="n"/>
      <c r="E124" s="1529" t="n"/>
      <c r="F124" s="1529" t="n"/>
      <c r="G124" s="1529" t="n"/>
      <c r="H124" s="1529" t="n"/>
      <c r="I124" s="1529" t="n"/>
      <c r="J124" s="1529" t="n"/>
      <c r="K124" s="1529" t="n"/>
      <c r="L124" s="1529" t="n"/>
      <c r="M124" s="1529" t="n"/>
      <c r="N124" s="1529" t="n"/>
      <c r="O124" s="1420" t="n"/>
      <c r="P124" s="1420" t="n"/>
      <c r="Q124" s="1420" t="n"/>
      <c r="R124" s="1420" t="n"/>
      <c r="S124" s="1529" t="n"/>
      <c r="T124" s="1420" t="n"/>
      <c r="U124" s="1420" t="n"/>
      <c r="V124" s="1420" t="n"/>
      <c r="W124" s="1420" t="n"/>
      <c r="X124" s="1593" t="n">
        <v>0.659</v>
      </c>
      <c r="Y124" s="1420" t="n"/>
      <c r="Z124" s="1420" t="n"/>
      <c r="AA124" s="1594" t="n">
        <v>2.524</v>
      </c>
      <c r="AB124" s="1422">
        <f>AC124-SUM(Y124,Z124,AA124)</f>
        <v/>
      </c>
      <c r="AC124" s="1593" t="n">
        <v>5.62</v>
      </c>
      <c r="AD124" s="1594" t="n">
        <v>4.577</v>
      </c>
      <c r="AE124" s="1594" t="n">
        <v>4.382</v>
      </c>
      <c r="AF124" s="1594" t="n">
        <v>4.338</v>
      </c>
      <c r="AG124" s="1594" t="n">
        <v>3.338</v>
      </c>
      <c r="AH124" s="1593" t="n">
        <v>16.635</v>
      </c>
      <c r="AI124" s="1594" t="n">
        <v>123.861</v>
      </c>
      <c r="AJ124" s="1594" t="n">
        <v>86.127</v>
      </c>
      <c r="AK124" s="1595" t="n">
        <v>78.465</v>
      </c>
      <c r="AL124" s="1422">
        <f>+AL348</f>
        <v/>
      </c>
      <c r="AM124" s="1540">
        <f>+AM348</f>
        <v/>
      </c>
      <c r="AN124" s="1422">
        <f>+AN348</f>
        <v/>
      </c>
      <c r="AO124" s="1422">
        <f>+AO348</f>
        <v/>
      </c>
      <c r="AP124" s="1422">
        <f>+AP348</f>
        <v/>
      </c>
      <c r="AQ124" s="1422">
        <f>+AQ348</f>
        <v/>
      </c>
      <c r="AR124" s="1540">
        <f>+AR348</f>
        <v/>
      </c>
      <c r="AS124" s="1540">
        <f>+AS348</f>
        <v/>
      </c>
      <c r="AT124" s="1540">
        <f>+AT348</f>
        <v/>
      </c>
      <c r="AU124" s="1540">
        <f>+AU348</f>
        <v/>
      </c>
      <c r="AV124" s="1422" t="n"/>
    </row>
    <row r="125" hidden="1" outlineLevel="1" ht="14.4" customFormat="1" customHeight="1" s="1438">
      <c r="A125" s="1542" t="inlineStr">
        <is>
          <t>Total SBC expense, mm</t>
        </is>
      </c>
      <c r="B125" s="1543" t="n"/>
      <c r="C125" s="1544" t="n"/>
      <c r="D125" s="1544" t="n"/>
      <c r="E125" s="1544" t="n"/>
      <c r="F125" s="1544" t="n"/>
      <c r="G125" s="1544" t="n"/>
      <c r="H125" s="1544" t="n"/>
      <c r="I125" s="1544" t="n"/>
      <c r="J125" s="1544" t="n"/>
      <c r="K125" s="1544" t="n"/>
      <c r="L125" s="1544" t="n"/>
      <c r="M125" s="1544" t="n"/>
      <c r="N125" s="1544" t="n"/>
      <c r="O125" s="1545" t="n"/>
      <c r="P125" s="1545" t="n"/>
      <c r="Q125" s="1545" t="n"/>
      <c r="R125" s="1545" t="n"/>
      <c r="S125" s="1544" t="n"/>
      <c r="T125" s="1545" t="n"/>
      <c r="U125" s="1545" t="n"/>
      <c r="V125" s="1545" t="n"/>
      <c r="W125" s="1545" t="n"/>
      <c r="X125" s="1546">
        <f>SUM(X121:X124)</f>
        <v/>
      </c>
      <c r="Y125" s="1545" t="n"/>
      <c r="Z125" s="1545" t="n"/>
      <c r="AA125" s="1547">
        <f>SUM(AA121:AA124)</f>
        <v/>
      </c>
      <c r="AB125" s="1547">
        <f>SUM(AB121:AB124)</f>
        <v/>
      </c>
      <c r="AC125" s="1546">
        <f>SUM(AC121:AC124)</f>
        <v/>
      </c>
      <c r="AD125" s="1547">
        <f>SUM(AD121:AD124)</f>
        <v/>
      </c>
      <c r="AE125" s="1547">
        <f>SUM(AE121:AE124)</f>
        <v/>
      </c>
      <c r="AF125" s="1547">
        <f>SUM(AF121:AF124)</f>
        <v/>
      </c>
      <c r="AG125" s="1547">
        <f>SUM(AG121:AG124)</f>
        <v/>
      </c>
      <c r="AH125" s="1546">
        <f>SUM(AH121:AH124)</f>
        <v/>
      </c>
      <c r="AI125" s="1547">
        <f>SUM(AI121:AI124)</f>
        <v/>
      </c>
      <c r="AJ125" s="1547">
        <f>SUM(AJ121:AJ124)</f>
        <v/>
      </c>
      <c r="AK125" s="1548">
        <f>SUM(AK121:AK124)</f>
        <v/>
      </c>
      <c r="AL125" s="1547">
        <f>SUM(AL121:AL124)</f>
        <v/>
      </c>
      <c r="AM125" s="1546">
        <f>SUM(AM121:AM124)</f>
        <v/>
      </c>
      <c r="AN125" s="1547">
        <f>SUM(AN121:AN124)</f>
        <v/>
      </c>
      <c r="AO125" s="1547">
        <f>SUM(AO121:AO124)</f>
        <v/>
      </c>
      <c r="AP125" s="1547">
        <f>SUM(AP121:AP124)</f>
        <v/>
      </c>
      <c r="AQ125" s="1547">
        <f>SUM(AQ121:AQ124)</f>
        <v/>
      </c>
      <c r="AR125" s="1546">
        <f>SUM(AR121:AR124)</f>
        <v/>
      </c>
      <c r="AS125" s="1546">
        <f>SUM(AS121:AS124)</f>
        <v/>
      </c>
      <c r="AT125" s="1546">
        <f>SUM(AT121:AT124)</f>
        <v/>
      </c>
      <c r="AU125" s="1546">
        <f>SUM(AU121:AU124)</f>
        <v/>
      </c>
      <c r="AV125" s="1446" t="n"/>
    </row>
    <row r="126" hidden="1" outlineLevel="1" ht="14.4" customFormat="1" customHeight="1" s="1418">
      <c r="A126" s="1489" t="n"/>
      <c r="B126" s="1528" t="n"/>
      <c r="C126" s="1529" t="n"/>
      <c r="D126" s="1529" t="n"/>
      <c r="E126" s="1529" t="n"/>
      <c r="F126" s="1529" t="n"/>
      <c r="G126" s="1529" t="n"/>
      <c r="H126" s="1529" t="n"/>
      <c r="I126" s="1529" t="n"/>
      <c r="J126" s="1529" t="n"/>
      <c r="K126" s="1529" t="n"/>
      <c r="L126" s="1529" t="n"/>
      <c r="M126" s="1529" t="n"/>
      <c r="N126" s="1529" t="n"/>
      <c r="O126" s="1420" t="n"/>
      <c r="P126" s="1420" t="n"/>
      <c r="Q126" s="1420" t="n"/>
      <c r="R126" s="1420" t="n"/>
      <c r="S126" s="1529" t="n"/>
      <c r="T126" s="1420" t="n"/>
      <c r="U126" s="1420" t="n"/>
      <c r="V126" s="1420" t="n"/>
      <c r="W126" s="1420" t="n"/>
      <c r="X126" s="1529" t="n"/>
      <c r="Y126" s="1420" t="n"/>
      <c r="Z126" s="1420" t="n"/>
      <c r="AA126" s="1420" t="n"/>
      <c r="AB126" s="1420" t="n"/>
      <c r="AC126" s="1529" t="n"/>
      <c r="AD126" s="1420" t="n"/>
      <c r="AE126" s="1420" t="n"/>
      <c r="AF126" s="1420" t="n"/>
      <c r="AG126" s="1420" t="n"/>
      <c r="AH126" s="1529" t="n"/>
      <c r="AI126" s="1420" t="n"/>
      <c r="AJ126" s="1420" t="n"/>
      <c r="AK126" s="1421" t="n"/>
      <c r="AL126" s="1420" t="n"/>
      <c r="AM126" s="1529" t="n"/>
      <c r="AN126" s="1420" t="n"/>
      <c r="AO126" s="1420" t="n"/>
      <c r="AP126" s="1420" t="n"/>
      <c r="AQ126" s="1420" t="n"/>
      <c r="AR126" s="1529" t="n"/>
      <c r="AS126" s="1529" t="n"/>
      <c r="AT126" s="1529" t="n"/>
      <c r="AU126" s="1529" t="n"/>
      <c r="AV126" s="1422" t="n"/>
    </row>
    <row r="127" hidden="1" outlineLevel="1" ht="14.4" customFormat="1" customHeight="1" s="1418">
      <c r="A127" s="1539" t="inlineStr">
        <is>
          <t>Depreciation, mm</t>
        </is>
      </c>
      <c r="B127" s="1528" t="n"/>
      <c r="C127" s="1529" t="n"/>
      <c r="D127" s="1529" t="n"/>
      <c r="E127" s="1529" t="n"/>
      <c r="F127" s="1529" t="n"/>
      <c r="G127" s="1529" t="n"/>
      <c r="H127" s="1529" t="n"/>
      <c r="I127" s="1529" t="n"/>
      <c r="J127" s="1529" t="n"/>
      <c r="K127" s="1529" t="n"/>
      <c r="L127" s="1529" t="n"/>
      <c r="M127" s="1529" t="n"/>
      <c r="N127" s="1529" t="n"/>
      <c r="O127" s="1420" t="n"/>
      <c r="P127" s="1420" t="n"/>
      <c r="Q127" s="1420" t="n"/>
      <c r="R127" s="1420" t="n"/>
      <c r="S127" s="1529" t="n"/>
      <c r="T127" s="1420" t="n"/>
      <c r="U127" s="1420" t="n"/>
      <c r="V127" s="1420" t="n"/>
      <c r="W127" s="1420" t="n"/>
      <c r="X127" s="1540">
        <f>X129-X128</f>
        <v/>
      </c>
      <c r="Y127" s="1420" t="n"/>
      <c r="Z127" s="1420" t="n"/>
      <c r="AA127" s="1422">
        <f>AA129-AA128</f>
        <v/>
      </c>
      <c r="AB127" s="1422">
        <f>AC127-SUM(Y127,Z127,AA127)</f>
        <v/>
      </c>
      <c r="AC127" s="1540">
        <f>AC129-AC128</f>
        <v/>
      </c>
      <c r="AD127" s="1594" t="n">
        <v>79</v>
      </c>
      <c r="AE127" s="1594" t="n">
        <v>164</v>
      </c>
      <c r="AF127" s="1594" t="n">
        <v>253</v>
      </c>
      <c r="AG127" s="1422">
        <f>AH127-SUM(AD127,AE127,AF127)</f>
        <v/>
      </c>
      <c r="AH127" s="1540">
        <f>AH129-AH128</f>
        <v/>
      </c>
      <c r="AI127" s="1594" t="n">
        <v>443</v>
      </c>
      <c r="AJ127" s="1594" t="n">
        <v>553</v>
      </c>
      <c r="AK127" s="1595" t="n">
        <v>621</v>
      </c>
      <c r="AL127" s="1422">
        <f>-AL634</f>
        <v/>
      </c>
      <c r="AM127" s="1540">
        <f>SUM(AI127,AJ127,AK127,AL127)</f>
        <v/>
      </c>
      <c r="AN127" s="1422">
        <f>-AN634</f>
        <v/>
      </c>
      <c r="AO127" s="1422">
        <f>-AO634</f>
        <v/>
      </c>
      <c r="AP127" s="1422">
        <f>-AP634</f>
        <v/>
      </c>
      <c r="AQ127" s="1422">
        <f>-AQ634</f>
        <v/>
      </c>
      <c r="AR127" s="1540">
        <f>SUM(AN127,AO127,AP127,AQ127)</f>
        <v/>
      </c>
      <c r="AS127" s="1540">
        <f>-AS634</f>
        <v/>
      </c>
      <c r="AT127" s="1540">
        <f>-AT634</f>
        <v/>
      </c>
      <c r="AU127" s="1540">
        <f>-AU634</f>
        <v/>
      </c>
      <c r="AV127" s="1422" t="n"/>
    </row>
    <row r="128" hidden="1" outlineLevel="1" ht="14.4" customFormat="1" customHeight="1" s="1418">
      <c r="A128" s="1539" t="inlineStr">
        <is>
          <t>Amortization, mm</t>
        </is>
      </c>
      <c r="B128" s="1528" t="n"/>
      <c r="C128" s="1529" t="n"/>
      <c r="D128" s="1529" t="n"/>
      <c r="E128" s="1529" t="n"/>
      <c r="F128" s="1529" t="n"/>
      <c r="G128" s="1529" t="n"/>
      <c r="H128" s="1529" t="n"/>
      <c r="I128" s="1529" t="n"/>
      <c r="J128" s="1529" t="n"/>
      <c r="K128" s="1529" t="n"/>
      <c r="L128" s="1529" t="n"/>
      <c r="M128" s="1529" t="n"/>
      <c r="N128" s="1529" t="n"/>
      <c r="O128" s="1420" t="n"/>
      <c r="P128" s="1420" t="n"/>
      <c r="Q128" s="1420" t="n"/>
      <c r="R128" s="1420" t="n"/>
      <c r="S128" s="1529" t="n"/>
      <c r="T128" s="1420" t="n"/>
      <c r="U128" s="1420" t="n"/>
      <c r="V128" s="1420" t="n"/>
      <c r="W128" s="1420" t="n"/>
      <c r="X128" s="1593" t="n">
        <v>0</v>
      </c>
      <c r="Y128" s="1420" t="n"/>
      <c r="Z128" s="1420" t="n"/>
      <c r="AA128" s="1594" t="n">
        <v>2</v>
      </c>
      <c r="AB128" s="1422">
        <f>AC128-SUM(Y128,Z128,AA128)</f>
        <v/>
      </c>
      <c r="AC128" s="1593" t="n">
        <v>2</v>
      </c>
      <c r="AD128" s="1422">
        <f>AD129-AD127</f>
        <v/>
      </c>
      <c r="AE128" s="1422">
        <f>AE129-AE127</f>
        <v/>
      </c>
      <c r="AF128" s="1422">
        <f>AF129-AF127</f>
        <v/>
      </c>
      <c r="AG128" s="1422">
        <f>AH128-SUM(AD128,AE128,AF128)</f>
        <v/>
      </c>
      <c r="AH128" s="1593" t="n">
        <v>2</v>
      </c>
      <c r="AI128" s="1422">
        <f>AI129-AI127</f>
        <v/>
      </c>
      <c r="AJ128" s="1422">
        <f>AJ129-AJ127</f>
        <v/>
      </c>
      <c r="AK128" s="1541">
        <f>AK129-AK127</f>
        <v/>
      </c>
      <c r="AL128" s="1422">
        <f>-AL640</f>
        <v/>
      </c>
      <c r="AM128" s="1540">
        <f>SUM(AI128,AJ128,AK128,AL128)</f>
        <v/>
      </c>
      <c r="AN128" s="1422">
        <f>-AN640</f>
        <v/>
      </c>
      <c r="AO128" s="1422">
        <f>-AO640</f>
        <v/>
      </c>
      <c r="AP128" s="1422">
        <f>-AP640</f>
        <v/>
      </c>
      <c r="AQ128" s="1422">
        <f>-AQ640</f>
        <v/>
      </c>
      <c r="AR128" s="1540">
        <f>SUM(AN128,AO128,AP128,AQ128)</f>
        <v/>
      </c>
      <c r="AS128" s="1540">
        <f>-AS640</f>
        <v/>
      </c>
      <c r="AT128" s="1540">
        <f>-AT640</f>
        <v/>
      </c>
      <c r="AU128" s="1540">
        <f>-AU640</f>
        <v/>
      </c>
      <c r="AV128" s="1422" t="n"/>
    </row>
    <row r="129" hidden="1" outlineLevel="1" ht="14.4" customFormat="1" customHeight="1" s="1438">
      <c r="A129" s="1542" t="inlineStr">
        <is>
          <t>Total D&amp;A, mm</t>
        </is>
      </c>
      <c r="B129" s="1543" t="n"/>
      <c r="C129" s="1544" t="n"/>
      <c r="D129" s="1544" t="n"/>
      <c r="E129" s="1544" t="n"/>
      <c r="F129" s="1544" t="n"/>
      <c r="G129" s="1544" t="n"/>
      <c r="H129" s="1544" t="n"/>
      <c r="I129" s="1544" t="n"/>
      <c r="J129" s="1544" t="n"/>
      <c r="K129" s="1544" t="n"/>
      <c r="L129" s="1544" t="n"/>
      <c r="M129" s="1544" t="n"/>
      <c r="N129" s="1544" t="n"/>
      <c r="O129" s="1545" t="n"/>
      <c r="P129" s="1545" t="n"/>
      <c r="Q129" s="1545" t="n"/>
      <c r="R129" s="1545" t="n"/>
      <c r="S129" s="1544" t="n"/>
      <c r="T129" s="1545" t="n"/>
      <c r="U129" s="1545" t="n"/>
      <c r="V129" s="1545" t="n"/>
      <c r="W129" s="1545" t="n"/>
      <c r="X129" s="1546">
        <f>X571</f>
        <v/>
      </c>
      <c r="Y129" s="1545" t="n"/>
      <c r="Z129" s="1545" t="n"/>
      <c r="AA129" s="1547">
        <f>AA571</f>
        <v/>
      </c>
      <c r="AB129" s="1547">
        <f>SUM(AB127:AB128)</f>
        <v/>
      </c>
      <c r="AC129" s="1546">
        <f>AC571</f>
        <v/>
      </c>
      <c r="AD129" s="1545">
        <f>AD571</f>
        <v/>
      </c>
      <c r="AE129" s="1545">
        <f>AE571</f>
        <v/>
      </c>
      <c r="AF129" s="1547">
        <f>AF571</f>
        <v/>
      </c>
      <c r="AG129" s="1547">
        <f>AG571</f>
        <v/>
      </c>
      <c r="AH129" s="1546">
        <f>AH571</f>
        <v/>
      </c>
      <c r="AI129" s="1545">
        <f>AI571</f>
        <v/>
      </c>
      <c r="AJ129" s="1545">
        <f>AJ571</f>
        <v/>
      </c>
      <c r="AK129" s="1548">
        <f>AK571</f>
        <v/>
      </c>
      <c r="AL129" s="1547">
        <f>SUM(AL127:AL128)</f>
        <v/>
      </c>
      <c r="AM129" s="1546">
        <f>SUM(AM127:AM128)</f>
        <v/>
      </c>
      <c r="AN129" s="1547">
        <f>SUM(AN127:AN128)</f>
        <v/>
      </c>
      <c r="AO129" s="1547">
        <f>SUM(AO127:AO128)</f>
        <v/>
      </c>
      <c r="AP129" s="1547">
        <f>SUM(AP127:AP128)</f>
        <v/>
      </c>
      <c r="AQ129" s="1547">
        <f>SUM(AQ127:AQ128)</f>
        <v/>
      </c>
      <c r="AR129" s="1546">
        <f>SUM(AR127:AR128)</f>
        <v/>
      </c>
      <c r="AS129" s="1546">
        <f>SUM(AS127:AS128)</f>
        <v/>
      </c>
      <c r="AT129" s="1546">
        <f>SUM(AT127:AT128)</f>
        <v/>
      </c>
      <c r="AU129" s="1546">
        <f>SUM(AU127:AU128)</f>
        <v/>
      </c>
      <c r="AV129" s="1446" t="n"/>
    </row>
    <row r="130" collapsed="1" ht="14.4" customFormat="1" customHeight="1" s="1418">
      <c r="A130" s="1489" t="n"/>
      <c r="B130" s="1528" t="n"/>
      <c r="C130" s="1529" t="n"/>
      <c r="D130" s="1529" t="n"/>
      <c r="E130" s="1529" t="n"/>
      <c r="F130" s="1529" t="n"/>
      <c r="G130" s="1529" t="n"/>
      <c r="H130" s="1529" t="n"/>
      <c r="I130" s="1529" t="n"/>
      <c r="J130" s="1529" t="n"/>
      <c r="K130" s="1529" t="n"/>
      <c r="L130" s="1529" t="n"/>
      <c r="M130" s="1529" t="n"/>
      <c r="N130" s="1529" t="n"/>
      <c r="O130" s="1420" t="n"/>
      <c r="P130" s="1420" t="n"/>
      <c r="Q130" s="1420" t="n"/>
      <c r="R130" s="1420" t="n"/>
      <c r="S130" s="1529" t="n"/>
      <c r="T130" s="1420" t="n"/>
      <c r="U130" s="1420" t="n"/>
      <c r="V130" s="1420" t="n"/>
      <c r="W130" s="1420" t="n"/>
      <c r="X130" s="1529" t="n"/>
      <c r="Y130" s="1420" t="n"/>
      <c r="Z130" s="1420" t="n"/>
      <c r="AA130" s="1420" t="n"/>
      <c r="AB130" s="1420" t="n"/>
      <c r="AC130" s="1529" t="n"/>
      <c r="AD130" s="1420" t="n"/>
      <c r="AE130" s="1420" t="n"/>
      <c r="AF130" s="1420" t="n"/>
      <c r="AG130" s="1420" t="n"/>
      <c r="AH130" s="1529" t="n"/>
      <c r="AI130" s="1420" t="n"/>
      <c r="AJ130" s="1420" t="n"/>
      <c r="AK130" s="1421" t="n"/>
      <c r="AL130" s="1420" t="n"/>
      <c r="AM130" s="1529" t="n"/>
      <c r="AN130" s="1420" t="n"/>
      <c r="AO130" s="1420" t="n"/>
      <c r="AP130" s="1420" t="n"/>
      <c r="AQ130" s="1420" t="n"/>
      <c r="AR130" s="1529" t="n"/>
      <c r="AS130" s="1529" t="n"/>
      <c r="AT130" s="1529" t="n"/>
      <c r="AU130" s="1529" t="n"/>
      <c r="AV130" s="1422" t="n"/>
    </row>
    <row r="131" ht="14.4" customFormat="1" customHeight="1" s="1418">
      <c r="A131" s="1530" t="inlineStr">
        <is>
          <t>Supplemental Data</t>
        </is>
      </c>
      <c r="B131" s="1531" t="n"/>
      <c r="C131" s="1531" t="n"/>
      <c r="D131" s="1531" t="n"/>
      <c r="E131" s="1531" t="n"/>
      <c r="F131" s="1531" t="n"/>
      <c r="G131" s="1531" t="n"/>
      <c r="H131" s="1531" t="n"/>
      <c r="I131" s="1531" t="n"/>
      <c r="J131" s="1531" t="n"/>
      <c r="K131" s="1531" t="n"/>
      <c r="L131" s="1531" t="n"/>
      <c r="M131" s="1531" t="n"/>
      <c r="N131" s="1531" t="n"/>
      <c r="O131" s="1531" t="n"/>
      <c r="P131" s="1531" t="n"/>
      <c r="Q131" s="1531" t="n"/>
      <c r="R131" s="1531" t="n"/>
      <c r="S131" s="1531" t="n"/>
      <c r="T131" s="1531" t="n"/>
      <c r="U131" s="1531" t="n"/>
      <c r="V131" s="1531" t="n"/>
      <c r="W131" s="1531" t="n"/>
      <c r="X131" s="1531" t="n"/>
      <c r="Y131" s="1531" t="n"/>
      <c r="Z131" s="1531" t="n"/>
      <c r="AA131" s="1531" t="n"/>
      <c r="AB131" s="1531" t="n"/>
      <c r="AC131" s="1531" t="n"/>
      <c r="AD131" s="1531" t="n"/>
      <c r="AE131" s="1531" t="n"/>
      <c r="AF131" s="1531" t="n"/>
      <c r="AG131" s="1531" t="n"/>
      <c r="AH131" s="1531" t="n"/>
      <c r="AI131" s="1531" t="n"/>
      <c r="AJ131" s="1531" t="n"/>
      <c r="AK131" s="1533" t="n"/>
      <c r="AL131" s="1531" t="n"/>
      <c r="AM131" s="1531" t="n"/>
      <c r="AN131" s="1531" t="n"/>
      <c r="AO131" s="1531" t="n"/>
      <c r="AP131" s="1531" t="n"/>
      <c r="AQ131" s="1531" t="n"/>
      <c r="AR131" s="1531" t="n"/>
      <c r="AS131" s="1531" t="n"/>
      <c r="AT131" s="1531" t="n"/>
      <c r="AU131" s="1531" t="n"/>
      <c r="AV131" s="1422" t="n"/>
    </row>
    <row r="132" hidden="1" outlineLevel="1" ht="14.4" customFormat="1" customHeight="1" s="1418">
      <c r="A132" s="1530" t="inlineStr">
        <is>
          <t>Segmented Results - Geographic Breakdown (FS)</t>
        </is>
      </c>
      <c r="B132" s="1531" t="n"/>
      <c r="C132" s="1531" t="n"/>
      <c r="D132" s="1531" t="n"/>
      <c r="E132" s="1531" t="n"/>
      <c r="F132" s="1531" t="n"/>
      <c r="G132" s="1531" t="n"/>
      <c r="H132" s="1531" t="n"/>
      <c r="I132" s="1531" t="n"/>
      <c r="J132" s="1531" t="n"/>
      <c r="K132" s="1531" t="n"/>
      <c r="L132" s="1531" t="n"/>
      <c r="M132" s="1531" t="n"/>
      <c r="N132" s="1531" t="n"/>
      <c r="O132" s="1531" t="n"/>
      <c r="P132" s="1531" t="n"/>
      <c r="Q132" s="1531" t="n"/>
      <c r="R132" s="1531" t="n"/>
      <c r="S132" s="1531" t="n"/>
      <c r="T132" s="1531" t="n"/>
      <c r="U132" s="1531" t="n"/>
      <c r="V132" s="1531" t="n"/>
      <c r="W132" s="1531" t="n"/>
      <c r="X132" s="1531" t="n"/>
      <c r="Y132" s="1531" t="n"/>
      <c r="Z132" s="1531" t="n"/>
      <c r="AA132" s="1531" t="n"/>
      <c r="AB132" s="1531" t="n"/>
      <c r="AC132" s="1531" t="n"/>
      <c r="AD132" s="1531" t="n"/>
      <c r="AE132" s="1531" t="n"/>
      <c r="AF132" s="1531" t="n"/>
      <c r="AG132" s="1531" t="n"/>
      <c r="AH132" s="1531" t="n"/>
      <c r="AI132" s="1531" t="n"/>
      <c r="AJ132" s="1531" t="n"/>
      <c r="AK132" s="1533" t="n"/>
      <c r="AL132" s="1531" t="n"/>
      <c r="AM132" s="1531" t="n"/>
      <c r="AN132" s="1531" t="n"/>
      <c r="AO132" s="1531" t="n"/>
      <c r="AP132" s="1531" t="n"/>
      <c r="AQ132" s="1531" t="n"/>
      <c r="AR132" s="1531" t="n"/>
      <c r="AS132" s="1531" t="n"/>
      <c r="AT132" s="1531" t="n"/>
      <c r="AU132" s="1531" t="n"/>
      <c r="AV132" s="1422" t="n"/>
    </row>
    <row r="133" hidden="1" outlineLevel="1" ht="14.4" customFormat="1" customHeight="1" s="1418">
      <c r="A133" s="1539" t="inlineStr">
        <is>
          <t>United States revenue, mm</t>
        </is>
      </c>
      <c r="B133" s="1528" t="n"/>
      <c r="C133" s="1529" t="n"/>
      <c r="D133" s="1529" t="n"/>
      <c r="E133" s="1529" t="n"/>
      <c r="F133" s="1529" t="n"/>
      <c r="G133" s="1529" t="n"/>
      <c r="H133" s="1529" t="n"/>
      <c r="I133" s="1529" t="n"/>
      <c r="J133" s="1529" t="n"/>
      <c r="K133" s="1529" t="n"/>
      <c r="L133" s="1529" t="n"/>
      <c r="M133" s="1529" t="n"/>
      <c r="N133" s="1529" t="n"/>
      <c r="O133" s="1420" t="n"/>
      <c r="P133" s="1420" t="n"/>
      <c r="Q133" s="1420" t="n"/>
      <c r="R133" s="1420" t="n"/>
      <c r="S133" s="1529" t="n"/>
      <c r="T133" s="1420" t="n"/>
      <c r="U133" s="1420" t="n"/>
      <c r="V133" s="1420" t="n"/>
      <c r="W133" s="1420" t="n"/>
      <c r="X133" s="1593" t="n">
        <v>10.367</v>
      </c>
      <c r="Y133" s="1420" t="n"/>
      <c r="Z133" s="1420" t="n"/>
      <c r="AA133" s="1420" t="n"/>
      <c r="AB133" s="1420" t="n"/>
      <c r="AC133" s="1593" t="n">
        <v>200.469</v>
      </c>
      <c r="AD133" s="1594" t="n">
        <v>176.964</v>
      </c>
      <c r="AE133" s="1594" t="n">
        <v>370.107</v>
      </c>
      <c r="AF133" s="1594" t="n">
        <v>547.15</v>
      </c>
      <c r="AG133" s="1420" t="n"/>
      <c r="AH133" s="1593" t="n">
        <v>1797.268</v>
      </c>
      <c r="AI133" s="1594" t="n">
        <v>929.424</v>
      </c>
      <c r="AJ133" s="1594" t="n">
        <v>1147.655</v>
      </c>
      <c r="AK133" s="1595" t="n">
        <v>1281.336</v>
      </c>
      <c r="AL133" s="1420" t="n"/>
      <c r="AM133" s="1529" t="n"/>
      <c r="AN133" s="1420" t="n"/>
      <c r="AO133" s="1420" t="n"/>
      <c r="AP133" s="1420" t="n"/>
      <c r="AQ133" s="1420" t="n"/>
      <c r="AR133" s="1529" t="n"/>
      <c r="AS133" s="1529" t="n"/>
      <c r="AT133" s="1529" t="n"/>
      <c r="AU133" s="1529" t="n"/>
      <c r="AV133" s="1422" t="n"/>
    </row>
    <row r="134" hidden="1" outlineLevel="1" ht="14.4" customFormat="1" customHeight="1" s="1418">
      <c r="A134" s="1539" t="inlineStr">
        <is>
          <t>All other countries revenue, mm</t>
        </is>
      </c>
      <c r="B134" s="1528" t="n"/>
      <c r="C134" s="1529" t="n"/>
      <c r="D134" s="1529" t="n"/>
      <c r="E134" s="1529" t="n"/>
      <c r="F134" s="1529" t="n"/>
      <c r="G134" s="1529" t="n"/>
      <c r="H134" s="1529" t="n"/>
      <c r="I134" s="1529" t="n"/>
      <c r="J134" s="1529" t="n"/>
      <c r="K134" s="1529" t="n"/>
      <c r="L134" s="1529" t="n"/>
      <c r="M134" s="1529" t="n"/>
      <c r="N134" s="1529" t="n"/>
      <c r="O134" s="1420" t="n"/>
      <c r="P134" s="1420" t="n"/>
      <c r="Q134" s="1420" t="n"/>
      <c r="R134" s="1420" t="n"/>
      <c r="S134" s="1529" t="n"/>
      <c r="T134" s="1420" t="n"/>
      <c r="U134" s="1420" t="n"/>
      <c r="V134" s="1420" t="n"/>
      <c r="W134" s="1420" t="n"/>
      <c r="X134" s="1593" t="n">
        <v>5.463</v>
      </c>
      <c r="Y134" s="1420" t="n"/>
      <c r="Z134" s="1420" t="n"/>
      <c r="AA134" s="1420" t="n"/>
      <c r="AB134" s="1420" t="n"/>
      <c r="AC134" s="1593" t="n">
        <v>28.474</v>
      </c>
      <c r="AD134" s="1594" t="n">
        <v>11.72</v>
      </c>
      <c r="AE134" s="1594" t="n">
        <v>25.264</v>
      </c>
      <c r="AF134" s="1594" t="n">
        <v>36.791</v>
      </c>
      <c r="AG134" s="1420" t="n"/>
      <c r="AH134" s="1593" t="n">
        <v>118.158</v>
      </c>
      <c r="AI134" s="1594" t="n">
        <v>52.208</v>
      </c>
      <c r="AJ134" s="1594" t="n">
        <v>65.133</v>
      </c>
      <c r="AK134" s="1595" t="n">
        <v>83.34</v>
      </c>
      <c r="AL134" s="1420" t="n"/>
      <c r="AM134" s="1529" t="n"/>
      <c r="AN134" s="1420" t="n"/>
      <c r="AO134" s="1420" t="n"/>
      <c r="AP134" s="1420" t="n"/>
      <c r="AQ134" s="1420" t="n"/>
      <c r="AR134" s="1529" t="n"/>
      <c r="AS134" s="1529" t="n"/>
      <c r="AT134" s="1529" t="n"/>
      <c r="AU134" s="1529" t="n"/>
      <c r="AV134" s="1422" t="n"/>
    </row>
    <row r="135" hidden="1" outlineLevel="1" ht="14.4" customFormat="1" customHeight="1" s="1438">
      <c r="A135" s="1542" t="inlineStr">
        <is>
          <t>Total revenue, mm</t>
        </is>
      </c>
      <c r="B135" s="1543" t="n"/>
      <c r="C135" s="1544" t="n"/>
      <c r="D135" s="1544" t="n"/>
      <c r="E135" s="1544" t="n"/>
      <c r="F135" s="1544" t="n"/>
      <c r="G135" s="1544" t="n"/>
      <c r="H135" s="1544" t="n"/>
      <c r="I135" s="1544" t="n"/>
      <c r="J135" s="1544" t="n"/>
      <c r="K135" s="1544" t="n"/>
      <c r="L135" s="1544" t="n"/>
      <c r="M135" s="1544" t="n"/>
      <c r="N135" s="1544" t="n"/>
      <c r="O135" s="1545" t="n"/>
      <c r="P135" s="1545" t="n"/>
      <c r="Q135" s="1545" t="n"/>
      <c r="R135" s="1545" t="n"/>
      <c r="S135" s="1544" t="n"/>
      <c r="T135" s="1545" t="n"/>
      <c r="U135" s="1545" t="n"/>
      <c r="V135" s="1545" t="n"/>
      <c r="W135" s="1545" t="n"/>
      <c r="X135" s="1546">
        <f>SUM(X133:X134)</f>
        <v/>
      </c>
      <c r="Y135" s="1545" t="n"/>
      <c r="Z135" s="1545" t="n"/>
      <c r="AA135" s="1545" t="n"/>
      <c r="AB135" s="1545" t="n"/>
      <c r="AC135" s="1546">
        <f>SUM(AC133:AC134)</f>
        <v/>
      </c>
      <c r="AD135" s="1545">
        <f>SUM(AD133:AD134)</f>
        <v/>
      </c>
      <c r="AE135" s="1545">
        <f>SUM(AE133:AE134)</f>
        <v/>
      </c>
      <c r="AF135" s="1545">
        <f>SUM(AF133:AF134)</f>
        <v/>
      </c>
      <c r="AG135" s="1545" t="n"/>
      <c r="AH135" s="1546">
        <f>SUM(AH133:AH134)</f>
        <v/>
      </c>
      <c r="AI135" s="1545">
        <f>SUM(AI133:AI134)</f>
        <v/>
      </c>
      <c r="AJ135" s="1545">
        <f>SUM(AJ133:AJ134)</f>
        <v/>
      </c>
      <c r="AK135" s="1596">
        <f>SUM(AK133:AK134)</f>
        <v/>
      </c>
      <c r="AL135" s="1545" t="n"/>
      <c r="AM135" s="1544" t="n"/>
      <c r="AN135" s="1545" t="n"/>
      <c r="AO135" s="1545" t="n"/>
      <c r="AP135" s="1545" t="n"/>
      <c r="AQ135" s="1545" t="n"/>
      <c r="AR135" s="1544" t="n"/>
      <c r="AS135" s="1544" t="n"/>
      <c r="AT135" s="1544" t="n"/>
      <c r="AU135" s="1544" t="n"/>
      <c r="AV135" s="1446" t="n"/>
    </row>
    <row r="136" hidden="1" outlineLevel="1" ht="14.4" customFormat="1" customHeight="1" s="1418">
      <c r="A136" s="1489" t="n"/>
      <c r="B136" s="1528" t="n"/>
      <c r="C136" s="1529" t="n"/>
      <c r="D136" s="1529" t="n"/>
      <c r="E136" s="1529" t="n"/>
      <c r="F136" s="1529" t="n"/>
      <c r="G136" s="1529" t="n"/>
      <c r="H136" s="1529" t="n"/>
      <c r="I136" s="1529" t="n"/>
      <c r="J136" s="1529" t="n"/>
      <c r="K136" s="1529" t="n"/>
      <c r="L136" s="1529" t="n"/>
      <c r="M136" s="1529" t="n"/>
      <c r="N136" s="1529" t="n"/>
      <c r="O136" s="1420" t="n"/>
      <c r="P136" s="1420" t="n"/>
      <c r="Q136" s="1420" t="n"/>
      <c r="R136" s="1420" t="n"/>
      <c r="S136" s="1529" t="n"/>
      <c r="T136" s="1420" t="n"/>
      <c r="U136" s="1420" t="n"/>
      <c r="V136" s="1420" t="n"/>
      <c r="W136" s="1420" t="n"/>
      <c r="X136" s="1529" t="n"/>
      <c r="Y136" s="1420" t="n"/>
      <c r="Z136" s="1420" t="n"/>
      <c r="AA136" s="1420" t="n"/>
      <c r="AB136" s="1420" t="n"/>
      <c r="AC136" s="1529" t="n"/>
      <c r="AD136" s="1420" t="n"/>
      <c r="AE136" s="1420" t="n"/>
      <c r="AF136" s="1420" t="n"/>
      <c r="AG136" s="1420" t="n"/>
      <c r="AH136" s="1529" t="n"/>
      <c r="AI136" s="1420" t="n"/>
      <c r="AJ136" s="1420" t="n"/>
      <c r="AK136" s="1421" t="n"/>
      <c r="AL136" s="1420" t="n"/>
      <c r="AM136" s="1529" t="n"/>
      <c r="AN136" s="1420" t="n"/>
      <c r="AO136" s="1420" t="n"/>
      <c r="AP136" s="1420" t="n"/>
      <c r="AQ136" s="1420" t="n"/>
      <c r="AR136" s="1529" t="n"/>
      <c r="AS136" s="1529" t="n"/>
      <c r="AT136" s="1529" t="n"/>
      <c r="AU136" s="1529" t="n"/>
      <c r="AV136" s="1422" t="n"/>
    </row>
    <row r="137" hidden="1" outlineLevel="1" ht="14.4" customFormat="1" customHeight="1" s="1418">
      <c r="A137" s="1530" t="inlineStr">
        <is>
          <t>Key Metrics - Major Customers with Revenues &gt; 10% (FS)</t>
        </is>
      </c>
      <c r="B137" s="1531" t="n"/>
      <c r="C137" s="1531" t="n"/>
      <c r="D137" s="1531" t="n"/>
      <c r="E137" s="1531" t="n"/>
      <c r="F137" s="1531" t="n"/>
      <c r="G137" s="1531" t="n"/>
      <c r="H137" s="1531" t="n"/>
      <c r="I137" s="1531" t="n"/>
      <c r="J137" s="1531" t="n"/>
      <c r="K137" s="1531" t="n"/>
      <c r="L137" s="1531" t="n"/>
      <c r="M137" s="1531" t="n"/>
      <c r="N137" s="1531" t="n"/>
      <c r="O137" s="1531" t="n"/>
      <c r="P137" s="1531" t="n"/>
      <c r="Q137" s="1531" t="n"/>
      <c r="R137" s="1531" t="n"/>
      <c r="S137" s="1531" t="n"/>
      <c r="T137" s="1531" t="n"/>
      <c r="U137" s="1531" t="n"/>
      <c r="V137" s="1531" t="n"/>
      <c r="W137" s="1531" t="n"/>
      <c r="X137" s="1531" t="n"/>
      <c r="Y137" s="1531" t="n"/>
      <c r="Z137" s="1531" t="n"/>
      <c r="AA137" s="1531" t="inlineStr">
        <is>
          <t>9 Months</t>
        </is>
      </c>
      <c r="AB137" s="1531" t="n"/>
      <c r="AC137" s="1531" t="n"/>
      <c r="AD137" s="1531" t="n"/>
      <c r="AE137" s="1531" t="n"/>
      <c r="AF137" s="1531" t="inlineStr">
        <is>
          <t>9 Months</t>
        </is>
      </c>
      <c r="AG137" s="1531" t="n"/>
      <c r="AH137" s="1531" t="n"/>
      <c r="AI137" s="1531" t="n"/>
      <c r="AJ137" s="1531" t="n"/>
      <c r="AK137" s="1533" t="n"/>
      <c r="AL137" s="1531" t="n"/>
      <c r="AM137" s="1531" t="n"/>
      <c r="AN137" s="1531" t="n"/>
      <c r="AO137" s="1531" t="n"/>
      <c r="AP137" s="1531" t="n"/>
      <c r="AQ137" s="1531" t="n"/>
      <c r="AR137" s="1531" t="n"/>
      <c r="AS137" s="1531" t="n"/>
      <c r="AT137" s="1531" t="n"/>
      <c r="AU137" s="1531" t="n"/>
      <c r="AV137" s="1422" t="n"/>
    </row>
    <row r="138" hidden="1" outlineLevel="1" ht="14.4" customFormat="1" customHeight="1" s="1597">
      <c r="A138" s="1598" t="inlineStr">
        <is>
          <t>Customer A revenue contribution, %</t>
        </is>
      </c>
      <c r="B138" s="1599" t="n"/>
      <c r="C138" s="1600" t="n"/>
      <c r="D138" s="1600" t="n"/>
      <c r="E138" s="1600" t="n"/>
      <c r="F138" s="1600" t="n"/>
      <c r="G138" s="1600" t="n"/>
      <c r="H138" s="1600" t="n"/>
      <c r="I138" s="1600" t="n"/>
      <c r="J138" s="1600" t="n"/>
      <c r="K138" s="1600" t="n"/>
      <c r="L138" s="1600" t="n"/>
      <c r="M138" s="1600" t="n"/>
      <c r="N138" s="1600" t="n"/>
      <c r="O138" s="1601" t="n"/>
      <c r="P138" s="1601" t="n"/>
      <c r="Q138" s="1601" t="n"/>
      <c r="R138" s="1601" t="n"/>
      <c r="S138" s="1600" t="n"/>
      <c r="T138" s="1601" t="n"/>
      <c r="U138" s="1601" t="n"/>
      <c r="V138" s="1601" t="n"/>
      <c r="W138" s="1601" t="n"/>
      <c r="X138" s="1600" t="n"/>
      <c r="Y138" s="1601" t="n"/>
      <c r="Z138" s="1601" t="n"/>
      <c r="AA138" s="1602" t="n">
        <v>0.38</v>
      </c>
      <c r="AB138" s="1601" t="n"/>
      <c r="AC138" s="1603" t="n">
        <v>0.35</v>
      </c>
      <c r="AD138" s="1602" t="n">
        <v>0.33</v>
      </c>
      <c r="AE138" s="1602" t="n">
        <v>0.59</v>
      </c>
      <c r="AF138" s="1602" t="n">
        <v>0.58</v>
      </c>
      <c r="AG138" s="1601" t="n"/>
      <c r="AH138" s="1603" t="n">
        <v>0.62</v>
      </c>
      <c r="AI138" s="1602" t="n">
        <v>0.72</v>
      </c>
      <c r="AJ138" s="1602" t="n">
        <v>0.71</v>
      </c>
      <c r="AK138" s="1604" t="n">
        <v>0.67</v>
      </c>
      <c r="AL138" s="1601" t="n"/>
      <c r="AM138" s="1600" t="n"/>
      <c r="AN138" s="1601" t="n"/>
      <c r="AO138" s="1601" t="n"/>
      <c r="AP138" s="1601" t="n"/>
      <c r="AQ138" s="1601" t="n"/>
      <c r="AR138" s="1600" t="n"/>
      <c r="AS138" s="1600" t="n"/>
      <c r="AT138" s="1600" t="n"/>
      <c r="AU138" s="1600" t="n"/>
      <c r="AV138" s="1605" t="n"/>
    </row>
    <row r="139" hidden="1" outlineLevel="1" ht="14.4" customFormat="1" customHeight="1" s="1597">
      <c r="A139" s="1598" t="inlineStr">
        <is>
          <t>Customer B revenue contribution, %</t>
        </is>
      </c>
      <c r="B139" s="1599" t="n"/>
      <c r="C139" s="1600" t="n"/>
      <c r="D139" s="1600" t="n"/>
      <c r="E139" s="1600" t="n"/>
      <c r="F139" s="1600" t="n"/>
      <c r="G139" s="1600" t="n"/>
      <c r="H139" s="1600" t="n"/>
      <c r="I139" s="1600" t="n"/>
      <c r="J139" s="1600" t="n"/>
      <c r="K139" s="1600" t="n"/>
      <c r="L139" s="1600" t="n"/>
      <c r="M139" s="1600" t="n"/>
      <c r="N139" s="1600" t="n"/>
      <c r="O139" s="1601" t="n"/>
      <c r="P139" s="1601" t="n"/>
      <c r="Q139" s="1601" t="n"/>
      <c r="R139" s="1601" t="n"/>
      <c r="S139" s="1600" t="n"/>
      <c r="T139" s="1601" t="n"/>
      <c r="U139" s="1601" t="n"/>
      <c r="V139" s="1601" t="n"/>
      <c r="W139" s="1601" t="n"/>
      <c r="X139" s="1600" t="n"/>
      <c r="Y139" s="1601" t="n"/>
      <c r="Z139" s="1601" t="n"/>
      <c r="AA139" s="1602" t="n">
        <v>0.24</v>
      </c>
      <c r="AB139" s="1601" t="n"/>
      <c r="AC139" s="1603" t="n">
        <v>0.21</v>
      </c>
      <c r="AD139" s="1602" t="n">
        <v>0.18</v>
      </c>
      <c r="AE139" s="1602" t="n">
        <v>0.2</v>
      </c>
      <c r="AF139" s="1601" t="n"/>
      <c r="AG139" s="1601" t="n"/>
      <c r="AH139" s="1600" t="n"/>
      <c r="AI139" s="1601" t="n"/>
      <c r="AJ139" s="1601" t="n"/>
      <c r="AK139" s="1606" t="n"/>
      <c r="AL139" s="1601" t="n"/>
      <c r="AM139" s="1600" t="n"/>
      <c r="AN139" s="1601" t="n"/>
      <c r="AO139" s="1601" t="n"/>
      <c r="AP139" s="1601" t="n"/>
      <c r="AQ139" s="1601" t="n"/>
      <c r="AR139" s="1600" t="n"/>
      <c r="AS139" s="1600" t="n"/>
      <c r="AT139" s="1600" t="n"/>
      <c r="AU139" s="1600" t="n"/>
      <c r="AV139" s="1605" t="n"/>
    </row>
    <row r="140" hidden="1" outlineLevel="1" ht="14.4" customFormat="1" customHeight="1" s="1597">
      <c r="A140" s="1598" t="inlineStr">
        <is>
          <t>Customer C revenue contribution, %</t>
        </is>
      </c>
      <c r="B140" s="1599" t="n"/>
      <c r="C140" s="1600" t="n"/>
      <c r="D140" s="1600" t="n"/>
      <c r="E140" s="1600" t="n"/>
      <c r="F140" s="1600" t="n"/>
      <c r="G140" s="1600" t="n"/>
      <c r="H140" s="1600" t="n"/>
      <c r="I140" s="1600" t="n"/>
      <c r="J140" s="1600" t="n"/>
      <c r="K140" s="1600" t="n"/>
      <c r="L140" s="1600" t="n"/>
      <c r="M140" s="1600" t="n"/>
      <c r="N140" s="1600" t="n"/>
      <c r="O140" s="1601" t="n"/>
      <c r="P140" s="1601" t="n"/>
      <c r="Q140" s="1601" t="n"/>
      <c r="R140" s="1601" t="n"/>
      <c r="S140" s="1600" t="n"/>
      <c r="T140" s="1601" t="n"/>
      <c r="U140" s="1601" t="n"/>
      <c r="V140" s="1601" t="n"/>
      <c r="W140" s="1601" t="n"/>
      <c r="X140" s="1600" t="n"/>
      <c r="Y140" s="1601" t="n"/>
      <c r="Z140" s="1601" t="n"/>
      <c r="AA140" s="1601" t="n"/>
      <c r="AB140" s="1601" t="n"/>
      <c r="AC140" s="1603" t="n">
        <v>0.17</v>
      </c>
      <c r="AD140" s="1602" t="n">
        <v>0.32</v>
      </c>
      <c r="AE140" s="1601" t="n"/>
      <c r="AF140" s="1602" t="n">
        <v>0.18</v>
      </c>
      <c r="AG140" s="1601" t="n"/>
      <c r="AH140" s="1603" t="n">
        <v>0.15</v>
      </c>
      <c r="AI140" s="1601" t="n"/>
      <c r="AJ140" s="1601" t="n"/>
      <c r="AK140" s="1606" t="n"/>
      <c r="AL140" s="1601" t="n"/>
      <c r="AM140" s="1600" t="n"/>
      <c r="AN140" s="1601" t="n"/>
      <c r="AO140" s="1601" t="n"/>
      <c r="AP140" s="1601" t="n"/>
      <c r="AQ140" s="1601" t="n"/>
      <c r="AR140" s="1600" t="n"/>
      <c r="AS140" s="1600" t="n"/>
      <c r="AT140" s="1600" t="n"/>
      <c r="AU140" s="1600" t="n"/>
      <c r="AV140" s="1605" t="n"/>
    </row>
    <row r="141" hidden="1" outlineLevel="1" ht="14.4" customFormat="1" customHeight="1" s="1597">
      <c r="A141" s="1598" t="inlineStr">
        <is>
          <t>Customer D revenue contribution, %</t>
        </is>
      </c>
      <c r="B141" s="1599" t="n"/>
      <c r="C141" s="1600" t="n"/>
      <c r="D141" s="1600" t="n"/>
      <c r="E141" s="1600" t="n"/>
      <c r="F141" s="1600" t="n"/>
      <c r="G141" s="1600" t="n"/>
      <c r="H141" s="1600" t="n"/>
      <c r="I141" s="1600" t="n"/>
      <c r="J141" s="1600" t="n"/>
      <c r="K141" s="1600" t="n"/>
      <c r="L141" s="1600" t="n"/>
      <c r="M141" s="1600" t="n"/>
      <c r="N141" s="1600" t="n"/>
      <c r="O141" s="1601" t="n"/>
      <c r="P141" s="1601" t="n"/>
      <c r="Q141" s="1601" t="n"/>
      <c r="R141" s="1601" t="n"/>
      <c r="S141" s="1600" t="n"/>
      <c r="T141" s="1601" t="n"/>
      <c r="U141" s="1601" t="n"/>
      <c r="V141" s="1601" t="n"/>
      <c r="W141" s="1601" t="n"/>
      <c r="X141" s="1603" t="n">
        <v>0.16</v>
      </c>
      <c r="Y141" s="1601" t="n"/>
      <c r="Z141" s="1601" t="n"/>
      <c r="AA141" s="1601" t="n"/>
      <c r="AB141" s="1601" t="n"/>
      <c r="AC141" s="1600" t="n"/>
      <c r="AD141" s="1601" t="n"/>
      <c r="AE141" s="1601" t="n"/>
      <c r="AF141" s="1601" t="n"/>
      <c r="AG141" s="1601" t="n"/>
      <c r="AH141" s="1600" t="n"/>
      <c r="AI141" s="1601" t="n"/>
      <c r="AJ141" s="1601" t="n"/>
      <c r="AK141" s="1606" t="n"/>
      <c r="AL141" s="1601" t="n"/>
      <c r="AM141" s="1600" t="n"/>
      <c r="AN141" s="1601" t="n"/>
      <c r="AO141" s="1601" t="n"/>
      <c r="AP141" s="1601" t="n"/>
      <c r="AQ141" s="1601" t="n"/>
      <c r="AR141" s="1600" t="n"/>
      <c r="AS141" s="1600" t="n"/>
      <c r="AT141" s="1600" t="n"/>
      <c r="AU141" s="1600" t="n"/>
      <c r="AV141" s="1605" t="n"/>
    </row>
    <row r="142" hidden="1" outlineLevel="1" ht="14.4" customFormat="1" customHeight="1" s="1597">
      <c r="A142" s="1598" t="inlineStr">
        <is>
          <t>Customer E revenue contribution, %</t>
        </is>
      </c>
      <c r="B142" s="1599" t="n"/>
      <c r="C142" s="1600" t="n"/>
      <c r="D142" s="1600" t="n"/>
      <c r="E142" s="1600" t="n"/>
      <c r="F142" s="1600" t="n"/>
      <c r="G142" s="1600" t="n"/>
      <c r="H142" s="1600" t="n"/>
      <c r="I142" s="1600" t="n"/>
      <c r="J142" s="1600" t="n"/>
      <c r="K142" s="1600" t="n"/>
      <c r="L142" s="1600" t="n"/>
      <c r="M142" s="1600" t="n"/>
      <c r="N142" s="1600" t="n"/>
      <c r="O142" s="1601" t="n"/>
      <c r="P142" s="1601" t="n"/>
      <c r="Q142" s="1601" t="n"/>
      <c r="R142" s="1601" t="n"/>
      <c r="S142" s="1600" t="n"/>
      <c r="T142" s="1601" t="n"/>
      <c r="U142" s="1601" t="n"/>
      <c r="V142" s="1601" t="n"/>
      <c r="W142" s="1601" t="n"/>
      <c r="X142" s="1603" t="n">
        <v>0.13</v>
      </c>
      <c r="Y142" s="1601" t="n"/>
      <c r="Z142" s="1601" t="n"/>
      <c r="AA142" s="1601" t="n"/>
      <c r="AB142" s="1601" t="n"/>
      <c r="AC142" s="1600" t="n"/>
      <c r="AD142" s="1601" t="n"/>
      <c r="AE142" s="1601" t="n"/>
      <c r="AF142" s="1601" t="n"/>
      <c r="AG142" s="1601" t="n"/>
      <c r="AH142" s="1600" t="n"/>
      <c r="AI142" s="1601" t="n"/>
      <c r="AJ142" s="1601" t="n"/>
      <c r="AK142" s="1606" t="n"/>
      <c r="AL142" s="1601" t="n"/>
      <c r="AM142" s="1600" t="n"/>
      <c r="AN142" s="1601" t="n"/>
      <c r="AO142" s="1601" t="n"/>
      <c r="AP142" s="1601" t="n"/>
      <c r="AQ142" s="1601" t="n"/>
      <c r="AR142" s="1600" t="n"/>
      <c r="AS142" s="1600" t="n"/>
      <c r="AT142" s="1600" t="n"/>
      <c r="AU142" s="1600" t="n"/>
      <c r="AV142" s="1605" t="n"/>
    </row>
    <row r="143" hidden="1" outlineLevel="1" ht="14.4" customFormat="1" customHeight="1" s="1597">
      <c r="A143" s="1598" t="inlineStr">
        <is>
          <t>Customer F revenue contribution, %</t>
        </is>
      </c>
      <c r="B143" s="1599" t="n"/>
      <c r="C143" s="1600" t="n"/>
      <c r="D143" s="1600" t="n"/>
      <c r="E143" s="1600" t="n"/>
      <c r="F143" s="1600" t="n"/>
      <c r="G143" s="1600" t="n"/>
      <c r="H143" s="1600" t="n"/>
      <c r="I143" s="1600" t="n"/>
      <c r="J143" s="1600" t="n"/>
      <c r="K143" s="1600" t="n"/>
      <c r="L143" s="1600" t="n"/>
      <c r="M143" s="1600" t="n"/>
      <c r="N143" s="1600" t="n"/>
      <c r="O143" s="1601" t="n"/>
      <c r="P143" s="1601" t="n"/>
      <c r="Q143" s="1601" t="n"/>
      <c r="R143" s="1601" t="n"/>
      <c r="S143" s="1600" t="n"/>
      <c r="T143" s="1601" t="n"/>
      <c r="U143" s="1601" t="n"/>
      <c r="V143" s="1601" t="n"/>
      <c r="W143" s="1601" t="n"/>
      <c r="X143" s="1603" t="n">
        <v>0.12</v>
      </c>
      <c r="Y143" s="1601" t="n"/>
      <c r="Z143" s="1601" t="n"/>
      <c r="AA143" s="1601" t="n"/>
      <c r="AB143" s="1601" t="n"/>
      <c r="AC143" s="1600" t="n"/>
      <c r="AD143" s="1601" t="n"/>
      <c r="AE143" s="1601" t="n"/>
      <c r="AF143" s="1601" t="n"/>
      <c r="AG143" s="1601" t="n"/>
      <c r="AH143" s="1600" t="n"/>
      <c r="AI143" s="1601" t="n"/>
      <c r="AJ143" s="1601" t="n"/>
      <c r="AK143" s="1606" t="n"/>
      <c r="AL143" s="1601" t="n"/>
      <c r="AM143" s="1600" t="n"/>
      <c r="AN143" s="1601" t="n"/>
      <c r="AO143" s="1601" t="n"/>
      <c r="AP143" s="1601" t="n"/>
      <c r="AQ143" s="1601" t="n"/>
      <c r="AR143" s="1600" t="n"/>
      <c r="AS143" s="1600" t="n"/>
      <c r="AT143" s="1600" t="n"/>
      <c r="AU143" s="1600" t="n"/>
      <c r="AV143" s="1605" t="n"/>
    </row>
    <row r="144" hidden="1" outlineLevel="1" ht="14.4" customFormat="1" customHeight="1" s="1597">
      <c r="A144" s="1598" t="inlineStr">
        <is>
          <t>Customer G revenue contribution, %</t>
        </is>
      </c>
      <c r="B144" s="1599" t="n"/>
      <c r="C144" s="1600" t="n"/>
      <c r="D144" s="1600" t="n"/>
      <c r="E144" s="1600" t="n"/>
      <c r="F144" s="1600" t="n"/>
      <c r="G144" s="1600" t="n"/>
      <c r="H144" s="1600" t="n"/>
      <c r="I144" s="1600" t="n"/>
      <c r="J144" s="1600" t="n"/>
      <c r="K144" s="1600" t="n"/>
      <c r="L144" s="1600" t="n"/>
      <c r="M144" s="1600" t="n"/>
      <c r="N144" s="1600" t="n"/>
      <c r="O144" s="1601" t="n"/>
      <c r="P144" s="1601" t="n"/>
      <c r="Q144" s="1601" t="n"/>
      <c r="R144" s="1601" t="n"/>
      <c r="S144" s="1600" t="n"/>
      <c r="T144" s="1601" t="n"/>
      <c r="U144" s="1601" t="n"/>
      <c r="V144" s="1601" t="n"/>
      <c r="W144" s="1601" t="n"/>
      <c r="X144" s="1600" t="n"/>
      <c r="Y144" s="1601" t="n"/>
      <c r="Z144" s="1601" t="n"/>
      <c r="AA144" s="1601" t="n"/>
      <c r="AB144" s="1601" t="n"/>
      <c r="AC144" s="1600" t="n"/>
      <c r="AD144" s="1601" t="n"/>
      <c r="AE144" s="1601" t="n"/>
      <c r="AF144" s="1601" t="n"/>
      <c r="AG144" s="1601" t="n"/>
      <c r="AH144" s="1600" t="n"/>
      <c r="AI144" s="1601" t="n"/>
      <c r="AJ144" s="1601" t="n"/>
      <c r="AK144" s="1606" t="n"/>
      <c r="AL144" s="1601" t="n"/>
      <c r="AM144" s="1600" t="n"/>
      <c r="AN144" s="1601" t="n"/>
      <c r="AO144" s="1601" t="n"/>
      <c r="AP144" s="1601" t="n"/>
      <c r="AQ144" s="1601" t="n"/>
      <c r="AR144" s="1600" t="n"/>
      <c r="AS144" s="1600" t="n"/>
      <c r="AT144" s="1600" t="n"/>
      <c r="AU144" s="1600" t="n"/>
      <c r="AV144" s="1605" t="n"/>
    </row>
    <row r="145" hidden="1" outlineLevel="1" ht="14.4" customFormat="1" customHeight="1" s="1607">
      <c r="A145" s="1608" t="inlineStr">
        <is>
          <t>Total major customers revenue contribution, %</t>
        </is>
      </c>
      <c r="B145" s="1609" t="n"/>
      <c r="C145" s="1610" t="n"/>
      <c r="D145" s="1610" t="n"/>
      <c r="E145" s="1610" t="n"/>
      <c r="F145" s="1610" t="n"/>
      <c r="G145" s="1610" t="n"/>
      <c r="H145" s="1610" t="n"/>
      <c r="I145" s="1610" t="n"/>
      <c r="J145" s="1610" t="n"/>
      <c r="K145" s="1610" t="n"/>
      <c r="L145" s="1610" t="n"/>
      <c r="M145" s="1610" t="n"/>
      <c r="N145" s="1610" t="n"/>
      <c r="O145" s="1611" t="n"/>
      <c r="P145" s="1611" t="n"/>
      <c r="Q145" s="1611" t="n"/>
      <c r="R145" s="1611" t="n"/>
      <c r="S145" s="1610" t="n"/>
      <c r="T145" s="1611" t="n"/>
      <c r="U145" s="1611" t="n"/>
      <c r="V145" s="1611" t="n"/>
      <c r="W145" s="1611" t="n"/>
      <c r="X145" s="1612">
        <f>SUM(X138:X144)</f>
        <v/>
      </c>
      <c r="Y145" s="1611" t="n"/>
      <c r="Z145" s="1611" t="n"/>
      <c r="AA145" s="1613">
        <f>SUM(AA138:AA144)</f>
        <v/>
      </c>
      <c r="AB145" s="1611" t="n"/>
      <c r="AC145" s="1612">
        <f>SUM(AC138:AC144)</f>
        <v/>
      </c>
      <c r="AD145" s="1611">
        <f>SUM(AD138:AD144)</f>
        <v/>
      </c>
      <c r="AE145" s="1611">
        <f>SUM(AE138:AE144)</f>
        <v/>
      </c>
      <c r="AF145" s="1613">
        <f>SUM(AF138:AF144)</f>
        <v/>
      </c>
      <c r="AG145" s="1611" t="n"/>
      <c r="AH145" s="1612">
        <f>SUM(AH138:AH144)</f>
        <v/>
      </c>
      <c r="AI145" s="1611">
        <f>SUM(AI138:AI144)</f>
        <v/>
      </c>
      <c r="AJ145" s="1611">
        <f>SUM(AJ138:AJ144)</f>
        <v/>
      </c>
      <c r="AK145" s="1614">
        <f>SUM(AK138:AK144)</f>
        <v/>
      </c>
      <c r="AL145" s="1611" t="n"/>
      <c r="AM145" s="1610" t="n"/>
      <c r="AN145" s="1611" t="n"/>
      <c r="AO145" s="1611" t="n"/>
      <c r="AP145" s="1611" t="n"/>
      <c r="AQ145" s="1611" t="n"/>
      <c r="AR145" s="1610" t="n"/>
      <c r="AS145" s="1610" t="n"/>
      <c r="AT145" s="1610" t="n"/>
      <c r="AU145" s="1610" t="n"/>
      <c r="AV145" s="1615" t="n"/>
    </row>
    <row r="146" hidden="1" outlineLevel="1" ht="14.4" customFormat="1" customHeight="1" s="1432">
      <c r="A146" s="1616" t="n"/>
      <c r="B146" s="1474" t="n"/>
      <c r="C146" s="1475" t="n"/>
      <c r="D146" s="1475" t="n"/>
      <c r="E146" s="1475" t="n"/>
      <c r="F146" s="1475" t="n"/>
      <c r="G146" s="1475" t="n"/>
      <c r="H146" s="1475" t="n"/>
      <c r="I146" s="1475" t="n"/>
      <c r="J146" s="1475" t="n"/>
      <c r="K146" s="1475" t="n"/>
      <c r="L146" s="1475" t="n"/>
      <c r="M146" s="1475" t="n"/>
      <c r="N146" s="1475" t="n"/>
      <c r="O146" s="1476" t="n"/>
      <c r="P146" s="1476" t="n"/>
      <c r="Q146" s="1476" t="n"/>
      <c r="R146" s="1476" t="n"/>
      <c r="S146" s="1475" t="n"/>
      <c r="T146" s="1476" t="n"/>
      <c r="U146" s="1476" t="n"/>
      <c r="V146" s="1476" t="n"/>
      <c r="W146" s="1476" t="n"/>
      <c r="X146" s="1475" t="n"/>
      <c r="Y146" s="1476" t="n"/>
      <c r="Z146" s="1476" t="n"/>
      <c r="AA146" s="1476" t="n"/>
      <c r="AB146" s="1476" t="n"/>
      <c r="AC146" s="1475" t="n"/>
      <c r="AD146" s="1476" t="n"/>
      <c r="AE146" s="1476" t="n"/>
      <c r="AF146" s="1476" t="n"/>
      <c r="AG146" s="1476" t="n"/>
      <c r="AH146" s="1475" t="n"/>
      <c r="AI146" s="1476" t="n"/>
      <c r="AJ146" s="1476" t="n"/>
      <c r="AK146" s="1527" t="n"/>
      <c r="AL146" s="1476" t="n"/>
      <c r="AM146" s="1475" t="n"/>
      <c r="AN146" s="1476" t="n"/>
      <c r="AO146" s="1476" t="n"/>
      <c r="AP146" s="1476" t="n"/>
      <c r="AQ146" s="1476" t="n"/>
      <c r="AR146" s="1475" t="n"/>
      <c r="AS146" s="1475" t="n"/>
      <c r="AT146" s="1475" t="n"/>
      <c r="AU146" s="1475" t="n"/>
      <c r="AV146" s="1437" t="n"/>
    </row>
    <row r="147" hidden="1" outlineLevel="1" ht="14.4" customFormat="1" customHeight="1" s="1418">
      <c r="A147" s="1530" t="inlineStr">
        <is>
          <t>Key Metrics - Company Stats (FS/IP)</t>
        </is>
      </c>
      <c r="B147" s="1531" t="n"/>
      <c r="C147" s="1531" t="n"/>
      <c r="D147" s="1531" t="n"/>
      <c r="E147" s="1531" t="n"/>
      <c r="F147" s="1531" t="n"/>
      <c r="G147" s="1531" t="n"/>
      <c r="H147" s="1531" t="n"/>
      <c r="I147" s="1531" t="n"/>
      <c r="J147" s="1531" t="n"/>
      <c r="K147" s="1531" t="n"/>
      <c r="L147" s="1531" t="n"/>
      <c r="M147" s="1531" t="n"/>
      <c r="N147" s="1531" t="n"/>
      <c r="O147" s="1531" t="n"/>
      <c r="P147" s="1531" t="n"/>
      <c r="Q147" s="1531" t="n"/>
      <c r="R147" s="1531" t="n"/>
      <c r="S147" s="1531" t="n"/>
      <c r="T147" s="1531" t="n"/>
      <c r="U147" s="1531" t="n"/>
      <c r="V147" s="1531" t="n"/>
      <c r="W147" s="1531" t="n"/>
      <c r="X147" s="1531" t="n"/>
      <c r="Y147" s="1531" t="n"/>
      <c r="Z147" s="1531" t="n"/>
      <c r="AA147" s="1531" t="n"/>
      <c r="AB147" s="1531" t="n"/>
      <c r="AC147" s="1531" t="n"/>
      <c r="AD147" s="1531" t="n"/>
      <c r="AE147" s="1531" t="n"/>
      <c r="AF147" s="1531" t="n"/>
      <c r="AG147" s="1531" t="n"/>
      <c r="AH147" s="1531" t="n"/>
      <c r="AI147" s="1531" t="n"/>
      <c r="AJ147" s="1531" t="n"/>
      <c r="AK147" s="1533" t="n"/>
      <c r="AL147" s="1531" t="n"/>
      <c r="AM147" s="1531" t="n"/>
      <c r="AN147" s="1531" t="n"/>
      <c r="AO147" s="1531" t="n"/>
      <c r="AP147" s="1531" t="n"/>
      <c r="AQ147" s="1531" t="n"/>
      <c r="AR147" s="1531" t="n"/>
      <c r="AS147" s="1531" t="n"/>
      <c r="AT147" s="1531" t="n"/>
      <c r="AU147" s="1531" t="n"/>
      <c r="AV147" s="1422" t="n"/>
    </row>
    <row r="148" hidden="1" outlineLevel="1" ht="14.4" customFormat="1" customHeight="1" s="1597">
      <c r="A148" s="1617" t="inlineStr">
        <is>
          <t>Revenue recognized related to customer commitments as % of total revenue, %</t>
        </is>
      </c>
      <c r="B148" s="1618" t="n"/>
      <c r="C148" s="1619" t="n"/>
      <c r="D148" s="1619" t="n"/>
      <c r="E148" s="1619" t="n"/>
      <c r="F148" s="1619" t="n"/>
      <c r="G148" s="1619" t="n"/>
      <c r="H148" s="1619" t="n"/>
      <c r="I148" s="1619" t="n"/>
      <c r="J148" s="1619" t="n"/>
      <c r="K148" s="1619" t="n"/>
      <c r="L148" s="1619" t="n"/>
      <c r="M148" s="1619" t="n"/>
      <c r="N148" s="1619" t="n"/>
      <c r="O148" s="1620" t="n"/>
      <c r="P148" s="1620" t="n"/>
      <c r="Q148" s="1620" t="n"/>
      <c r="R148" s="1620" t="n"/>
      <c r="S148" s="1619" t="n"/>
      <c r="T148" s="1620" t="n"/>
      <c r="U148" s="1620" t="n"/>
      <c r="V148" s="1620" t="n"/>
      <c r="W148" s="1620" t="n"/>
      <c r="X148" s="1621" t="n">
        <v>0.2</v>
      </c>
      <c r="Y148" s="1620" t="n"/>
      <c r="Z148" s="1620" t="n"/>
      <c r="AA148" s="1622" t="n">
        <v>0.84</v>
      </c>
      <c r="AB148" s="1620" t="n"/>
      <c r="AC148" s="1621" t="n">
        <v>0.88</v>
      </c>
      <c r="AD148" s="1622" t="n">
        <v>0.9399999999999999</v>
      </c>
      <c r="AE148" s="1622" t="n">
        <v>0.96</v>
      </c>
      <c r="AF148" s="1622" t="n">
        <v>0.95</v>
      </c>
      <c r="AG148" s="1620" t="n"/>
      <c r="AH148" s="1621" t="n">
        <v>0.96</v>
      </c>
      <c r="AI148" s="1622" t="n">
        <v>0.98</v>
      </c>
      <c r="AJ148" s="1622" t="n">
        <v>0.98</v>
      </c>
      <c r="AK148" s="1623" t="n">
        <v>0.98</v>
      </c>
      <c r="AL148" s="1620" t="n"/>
      <c r="AM148" s="1619" t="n"/>
      <c r="AN148" s="1620" t="n"/>
      <c r="AO148" s="1620" t="n"/>
      <c r="AP148" s="1620" t="n"/>
      <c r="AQ148" s="1620" t="n"/>
      <c r="AR148" s="1619" t="n"/>
      <c r="AS148" s="1619" t="n"/>
      <c r="AT148" s="1619" t="n"/>
      <c r="AU148" s="1619" t="n"/>
      <c r="AV148" s="1605" t="n"/>
    </row>
    <row r="149" hidden="1" outlineLevel="1" ht="14.4" customFormat="1" customHeight="1" s="1480">
      <c r="A149" s="1624" t="inlineStr">
        <is>
          <t>Weighted average contract duration, # of years</t>
        </is>
      </c>
      <c r="B149" s="1482" t="n"/>
      <c r="C149" s="1483" t="n"/>
      <c r="D149" s="1483" t="n"/>
      <c r="E149" s="1483" t="n"/>
      <c r="F149" s="1483" t="n"/>
      <c r="G149" s="1483" t="n"/>
      <c r="H149" s="1483" t="n"/>
      <c r="I149" s="1483" t="n"/>
      <c r="J149" s="1483" t="n"/>
      <c r="K149" s="1483" t="n"/>
      <c r="L149" s="1483" t="n"/>
      <c r="M149" s="1483" t="n"/>
      <c r="N149" s="1483" t="n"/>
      <c r="O149" s="1484" t="n"/>
      <c r="P149" s="1484" t="n"/>
      <c r="Q149" s="1484" t="n"/>
      <c r="R149" s="1484" t="n"/>
      <c r="S149" s="1483" t="n"/>
      <c r="T149" s="1484" t="n"/>
      <c r="U149" s="1484" t="n"/>
      <c r="V149" s="1484" t="n"/>
      <c r="W149" s="1484" t="n"/>
      <c r="X149" s="1483" t="n"/>
      <c r="Y149" s="1484" t="n"/>
      <c r="Z149" s="1484" t="n"/>
      <c r="AA149" s="1484" t="n"/>
      <c r="AB149" s="1484" t="n"/>
      <c r="AC149" s="1483" t="n"/>
      <c r="AD149" s="1484" t="n"/>
      <c r="AE149" s="1484" t="n"/>
      <c r="AF149" s="1484" t="n"/>
      <c r="AG149" s="1484" t="n"/>
      <c r="AH149" s="1625" t="n">
        <v>4</v>
      </c>
      <c r="AI149" s="1484" t="n"/>
      <c r="AJ149" s="1484" t="n"/>
      <c r="AK149" s="1487" t="n"/>
      <c r="AL149" s="1484" t="n"/>
      <c r="AM149" s="1483" t="n"/>
      <c r="AN149" s="1484" t="n"/>
      <c r="AO149" s="1484" t="n"/>
      <c r="AP149" s="1484" t="n"/>
      <c r="AQ149" s="1484" t="n"/>
      <c r="AR149" s="1483" t="n"/>
      <c r="AS149" s="1483" t="n"/>
      <c r="AT149" s="1483" t="n"/>
      <c r="AU149" s="1483" t="n"/>
      <c r="AV149" s="1488" t="n"/>
    </row>
    <row r="150" hidden="1" outlineLevel="1" ht="14.4" customFormat="1" customHeight="1" s="1597">
      <c r="A150" s="1626" t="n"/>
      <c r="B150" s="1618" t="n"/>
      <c r="C150" s="1619" t="n"/>
      <c r="D150" s="1619" t="n"/>
      <c r="E150" s="1619" t="n"/>
      <c r="F150" s="1619" t="n"/>
      <c r="G150" s="1619" t="n"/>
      <c r="H150" s="1619" t="n"/>
      <c r="I150" s="1619" t="n"/>
      <c r="J150" s="1619" t="n"/>
      <c r="K150" s="1619" t="n"/>
      <c r="L150" s="1619" t="n"/>
      <c r="M150" s="1619" t="n"/>
      <c r="N150" s="1619" t="n"/>
      <c r="O150" s="1620" t="n"/>
      <c r="P150" s="1620" t="n"/>
      <c r="Q150" s="1620" t="n"/>
      <c r="R150" s="1620" t="n"/>
      <c r="S150" s="1619" t="n"/>
      <c r="T150" s="1620" t="n"/>
      <c r="U150" s="1620" t="n"/>
      <c r="V150" s="1620" t="n"/>
      <c r="W150" s="1620" t="n"/>
      <c r="X150" s="1619" t="n"/>
      <c r="Y150" s="1620" t="n"/>
      <c r="Z150" s="1620" t="n"/>
      <c r="AA150" s="1620" t="n"/>
      <c r="AB150" s="1620" t="n"/>
      <c r="AC150" s="1619" t="n"/>
      <c r="AD150" s="1620" t="n"/>
      <c r="AE150" s="1620" t="n"/>
      <c r="AF150" s="1620" t="n"/>
      <c r="AG150" s="1620" t="n"/>
      <c r="AH150" s="1619" t="n"/>
      <c r="AI150" s="1620" t="n"/>
      <c r="AJ150" s="1620" t="n"/>
      <c r="AK150" s="1627" t="n"/>
      <c r="AL150" s="1620" t="n"/>
      <c r="AM150" s="1619" t="n"/>
      <c r="AN150" s="1620" t="n"/>
      <c r="AO150" s="1620" t="n"/>
      <c r="AP150" s="1620" t="n"/>
      <c r="AQ150" s="1620" t="n"/>
      <c r="AR150" s="1619" t="n"/>
      <c r="AS150" s="1619" t="n"/>
      <c r="AT150" s="1619" t="n"/>
      <c r="AU150" s="1619" t="n"/>
      <c r="AV150" s="1605" t="n"/>
    </row>
    <row r="151" hidden="1" outlineLevel="1" ht="14.4" customFormat="1" customHeight="1" s="1480">
      <c r="A151" s="1624" t="inlineStr">
        <is>
          <t>Revenue recognized pursuant to the Microsoft Master Services Agreement, mm</t>
        </is>
      </c>
      <c r="B151" s="1482" t="n"/>
      <c r="C151" s="1483" t="n"/>
      <c r="D151" s="1483" t="n"/>
      <c r="E151" s="1483" t="n"/>
      <c r="F151" s="1483" t="n"/>
      <c r="G151" s="1483" t="n"/>
      <c r="H151" s="1483" t="n"/>
      <c r="I151" s="1483" t="n"/>
      <c r="J151" s="1483" t="n"/>
      <c r="K151" s="1483" t="n"/>
      <c r="L151" s="1483" t="n"/>
      <c r="M151" s="1483" t="n"/>
      <c r="N151" s="1483" t="n"/>
      <c r="O151" s="1484" t="n"/>
      <c r="P151" s="1484" t="n"/>
      <c r="Q151" s="1484" t="n"/>
      <c r="R151" s="1484" t="n"/>
      <c r="S151" s="1483" t="n"/>
      <c r="T151" s="1484" t="n"/>
      <c r="U151" s="1484" t="n"/>
      <c r="V151" s="1484" t="n"/>
      <c r="W151" s="1484" t="n"/>
      <c r="X151" s="1483" t="n"/>
      <c r="Y151" s="1484" t="n"/>
      <c r="Z151" s="1484" t="n"/>
      <c r="AA151" s="1484" t="n"/>
      <c r="AB151" s="1484" t="n"/>
      <c r="AC151" s="1625" t="n">
        <v>81</v>
      </c>
      <c r="AD151" s="1484" t="n"/>
      <c r="AE151" s="1484" t="n"/>
      <c r="AF151" s="1484" t="n"/>
      <c r="AG151" s="1484" t="n"/>
      <c r="AH151" s="1625" t="n">
        <v>1200</v>
      </c>
      <c r="AI151" s="1484" t="n"/>
      <c r="AJ151" s="1484" t="n"/>
      <c r="AK151" s="1487" t="n"/>
      <c r="AL151" s="1484" t="n"/>
      <c r="AM151" s="1483" t="n"/>
      <c r="AN151" s="1484" t="n"/>
      <c r="AO151" s="1484" t="n"/>
      <c r="AP151" s="1484" t="n"/>
      <c r="AQ151" s="1484" t="n"/>
      <c r="AR151" s="1483" t="n"/>
      <c r="AS151" s="1483" t="n"/>
      <c r="AT151" s="1483" t="n"/>
      <c r="AU151" s="1483" t="n"/>
      <c r="AV151" s="1488" t="n"/>
    </row>
    <row r="152" hidden="1" outlineLevel="1" ht="14.4" customFormat="1" customHeight="1" s="1438">
      <c r="A152" s="1513" t="n"/>
      <c r="B152" s="1440" t="n"/>
      <c r="C152" s="1441" t="n"/>
      <c r="D152" s="1441" t="n"/>
      <c r="E152" s="1441" t="n"/>
      <c r="F152" s="1441" t="n"/>
      <c r="G152" s="1441" t="n"/>
      <c r="H152" s="1441" t="n"/>
      <c r="I152" s="1441" t="n"/>
      <c r="J152" s="1441" t="n"/>
      <c r="K152" s="1441" t="n"/>
      <c r="L152" s="1441" t="n"/>
      <c r="M152" s="1441" t="n"/>
      <c r="N152" s="1441" t="n"/>
      <c r="O152" s="1442" t="n"/>
      <c r="P152" s="1442" t="n"/>
      <c r="Q152" s="1442" t="n"/>
      <c r="R152" s="1442" t="n"/>
      <c r="S152" s="1441" t="n"/>
      <c r="T152" s="1442" t="n"/>
      <c r="U152" s="1442" t="n"/>
      <c r="V152" s="1442" t="n"/>
      <c r="W152" s="1442" t="n"/>
      <c r="X152" s="1441" t="n"/>
      <c r="Y152" s="1442" t="n"/>
      <c r="Z152" s="1442" t="n"/>
      <c r="AA152" s="1442" t="n"/>
      <c r="AB152" s="1442" t="n"/>
      <c r="AC152" s="1441" t="n"/>
      <c r="AD152" s="1442" t="n"/>
      <c r="AE152" s="1442" t="n"/>
      <c r="AF152" s="1442" t="n"/>
      <c r="AG152" s="1442" t="n"/>
      <c r="AH152" s="1441" t="n"/>
      <c r="AI152" s="1442" t="n"/>
      <c r="AJ152" s="1442" t="n"/>
      <c r="AK152" s="1514" t="n"/>
      <c r="AL152" s="1442" t="n"/>
      <c r="AM152" s="1441" t="n"/>
      <c r="AN152" s="1442" t="n"/>
      <c r="AO152" s="1442" t="n"/>
      <c r="AP152" s="1442" t="n"/>
      <c r="AQ152" s="1442" t="n"/>
      <c r="AR152" s="1441" t="n"/>
      <c r="AS152" s="1441" t="n"/>
      <c r="AT152" s="1441" t="n"/>
      <c r="AU152" s="1441" t="n"/>
      <c r="AV152" s="1446" t="n"/>
    </row>
    <row r="153" hidden="1" outlineLevel="1" ht="14.4" customFormat="1" customHeight="1" s="1418">
      <c r="A153" s="1490" t="inlineStr">
        <is>
          <t>Contracted Power, GW</t>
        </is>
      </c>
      <c r="B153" s="1468" t="n"/>
      <c r="C153" s="1469" t="n"/>
      <c r="D153" s="1469" t="n"/>
      <c r="E153" s="1469" t="n"/>
      <c r="F153" s="1469" t="n"/>
      <c r="G153" s="1469" t="n"/>
      <c r="H153" s="1469" t="n"/>
      <c r="I153" s="1469" t="n"/>
      <c r="J153" s="1469" t="n"/>
      <c r="K153" s="1469" t="n"/>
      <c r="L153" s="1469" t="n"/>
      <c r="M153" s="1469" t="n"/>
      <c r="N153" s="1469" t="n"/>
      <c r="O153" s="1470" t="n"/>
      <c r="P153" s="1470" t="n"/>
      <c r="Q153" s="1470" t="n"/>
      <c r="R153" s="1470" t="n"/>
      <c r="S153" s="1469" t="n"/>
      <c r="T153" s="1470" t="n"/>
      <c r="U153" s="1470" t="n"/>
      <c r="V153" s="1470" t="n"/>
      <c r="W153" s="1470" t="n"/>
      <c r="X153" s="1469" t="n"/>
      <c r="Y153" s="1470" t="n"/>
      <c r="Z153" s="1470" t="n"/>
      <c r="AA153" s="1470" t="n"/>
      <c r="AB153" s="1470" t="n"/>
      <c r="AC153" s="1469" t="n"/>
      <c r="AD153" s="1470" t="n"/>
      <c r="AE153" s="1470" t="n"/>
      <c r="AF153" s="1470" t="n"/>
      <c r="AG153" s="1470" t="n"/>
      <c r="AH153" s="1628" t="n">
        <v>1.3</v>
      </c>
      <c r="AI153" s="1629" t="n">
        <v>1.6</v>
      </c>
      <c r="AJ153" s="1629" t="n">
        <v>2.2</v>
      </c>
      <c r="AK153" s="1630" t="n">
        <v>2.9</v>
      </c>
      <c r="AL153" s="1470" t="n"/>
      <c r="AM153" s="1469" t="n"/>
      <c r="AN153" s="1470" t="n"/>
      <c r="AO153" s="1470" t="n"/>
      <c r="AP153" s="1470" t="n"/>
      <c r="AQ153" s="1470" t="n"/>
      <c r="AR153" s="1469" t="n"/>
      <c r="AS153" s="1469" t="n"/>
      <c r="AT153" s="1469" t="n"/>
      <c r="AU153" s="1469" t="n"/>
      <c r="AV153" s="1422" t="n"/>
    </row>
    <row r="154" hidden="1" outlineLevel="1" ht="14.4" customFormat="1" customHeight="1" s="1480">
      <c r="A154" s="1624" t="inlineStr">
        <is>
          <t>Active Power Consumption, MW</t>
        </is>
      </c>
      <c r="B154" s="1482" t="n"/>
      <c r="C154" s="1483" t="n"/>
      <c r="D154" s="1483" t="n"/>
      <c r="E154" s="1483" t="n"/>
      <c r="F154" s="1483" t="n"/>
      <c r="G154" s="1483" t="n"/>
      <c r="H154" s="1483" t="n"/>
      <c r="I154" s="1483" t="n"/>
      <c r="J154" s="1483" t="n"/>
      <c r="K154" s="1483" t="n"/>
      <c r="L154" s="1483" t="n"/>
      <c r="M154" s="1483" t="n"/>
      <c r="N154" s="1483" t="n"/>
      <c r="O154" s="1484" t="n"/>
      <c r="P154" s="1484" t="n"/>
      <c r="Q154" s="1484" t="n"/>
      <c r="R154" s="1484" t="n"/>
      <c r="S154" s="1483" t="n"/>
      <c r="T154" s="1484" t="n"/>
      <c r="U154" s="1484" t="n"/>
      <c r="V154" s="1484" t="n"/>
      <c r="W154" s="1484" t="n"/>
      <c r="X154" s="1625" t="n">
        <v>10</v>
      </c>
      <c r="Y154" s="1484" t="n"/>
      <c r="Z154" s="1484" t="n"/>
      <c r="AA154" s="1484" t="n"/>
      <c r="AB154" s="1484" t="n"/>
      <c r="AC154" s="1625" t="n">
        <v>70</v>
      </c>
      <c r="AD154" s="1484" t="n"/>
      <c r="AE154" s="1484" t="n"/>
      <c r="AF154" s="1484" t="n"/>
      <c r="AG154" s="1484" t="n"/>
      <c r="AH154" s="1625" t="n">
        <v>360</v>
      </c>
      <c r="AI154" s="1631" t="n">
        <v>420</v>
      </c>
      <c r="AJ154" s="1631" t="n">
        <v>470</v>
      </c>
      <c r="AK154" s="1632" t="n">
        <v>590</v>
      </c>
      <c r="AL154" s="1484" t="n"/>
      <c r="AM154" s="1483" t="n"/>
      <c r="AN154" s="1484" t="n"/>
      <c r="AO154" s="1484" t="n"/>
      <c r="AP154" s="1484" t="n"/>
      <c r="AQ154" s="1484" t="n"/>
      <c r="AR154" s="1483" t="n"/>
      <c r="AS154" s="1483" t="n"/>
      <c r="AT154" s="1483" t="n"/>
      <c r="AU154" s="1483" t="n"/>
      <c r="AV154" s="1488" t="n"/>
    </row>
    <row r="155" hidden="1" outlineLevel="1" ht="14.4" customFormat="1" customHeight="1" s="1480">
      <c r="A155" s="1624" t="inlineStr">
        <is>
          <t>GPUSs online, 000 units</t>
        </is>
      </c>
      <c r="B155" s="1482" t="n"/>
      <c r="C155" s="1483" t="n"/>
      <c r="D155" s="1483" t="n"/>
      <c r="E155" s="1483" t="n"/>
      <c r="F155" s="1483" t="n"/>
      <c r="G155" s="1483" t="n"/>
      <c r="H155" s="1483" t="n"/>
      <c r="I155" s="1483" t="n"/>
      <c r="J155" s="1483" t="n"/>
      <c r="K155" s="1483" t="n"/>
      <c r="L155" s="1483" t="n"/>
      <c r="M155" s="1483" t="n"/>
      <c r="N155" s="1483" t="n"/>
      <c r="O155" s="1484" t="n"/>
      <c r="P155" s="1484" t="n"/>
      <c r="Q155" s="1484" t="n"/>
      <c r="R155" s="1484" t="n"/>
      <c r="S155" s="1483" t="n"/>
      <c r="T155" s="1484" t="n"/>
      <c r="U155" s="1484" t="n"/>
      <c r="V155" s="1484" t="n"/>
      <c r="W155" s="1484" t="n"/>
      <c r="X155" s="1625" t="n">
        <v>17</v>
      </c>
      <c r="Y155" s="1484" t="n"/>
      <c r="Z155" s="1484" t="n"/>
      <c r="AA155" s="1484" t="n"/>
      <c r="AB155" s="1484" t="n"/>
      <c r="AC155" s="1625" t="n">
        <v>53</v>
      </c>
      <c r="AD155" s="1484" t="n"/>
      <c r="AE155" s="1484" t="n"/>
      <c r="AF155" s="1484" t="n"/>
      <c r="AG155" s="1484" t="n"/>
      <c r="AH155" s="1625" t="n">
        <v>250</v>
      </c>
      <c r="AI155" s="1484" t="n"/>
      <c r="AJ155" s="1484" t="n"/>
      <c r="AK155" s="1487" t="n"/>
      <c r="AL155" s="1484" t="n"/>
      <c r="AM155" s="1483" t="n"/>
      <c r="AN155" s="1484" t="n"/>
      <c r="AO155" s="1484" t="n"/>
      <c r="AP155" s="1484" t="n"/>
      <c r="AQ155" s="1484" t="n"/>
      <c r="AR155" s="1483" t="n"/>
      <c r="AS155" s="1483" t="n"/>
      <c r="AT155" s="1483" t="n"/>
      <c r="AU155" s="1483" t="n"/>
      <c r="AV155" s="1488" t="n"/>
    </row>
    <row r="156" hidden="1" outlineLevel="1" ht="14.4" customFormat="1" customHeight="1" s="1480">
      <c r="A156" s="1624" t="inlineStr">
        <is>
          <t>Data centers, # of data centers</t>
        </is>
      </c>
      <c r="B156" s="1482" t="n"/>
      <c r="C156" s="1483" t="n"/>
      <c r="D156" s="1483" t="n"/>
      <c r="E156" s="1483" t="n"/>
      <c r="F156" s="1483" t="n"/>
      <c r="G156" s="1483" t="n"/>
      <c r="H156" s="1483" t="n"/>
      <c r="I156" s="1483" t="n"/>
      <c r="J156" s="1483" t="n"/>
      <c r="K156" s="1483" t="n"/>
      <c r="L156" s="1483" t="n"/>
      <c r="M156" s="1483" t="n"/>
      <c r="N156" s="1483" t="n"/>
      <c r="O156" s="1484" t="n"/>
      <c r="P156" s="1484" t="n"/>
      <c r="Q156" s="1484" t="n"/>
      <c r="R156" s="1484" t="n"/>
      <c r="S156" s="1483" t="n"/>
      <c r="T156" s="1484" t="n"/>
      <c r="U156" s="1484" t="n"/>
      <c r="V156" s="1484" t="n"/>
      <c r="W156" s="1484" t="n"/>
      <c r="X156" s="1625" t="n">
        <v>3</v>
      </c>
      <c r="Y156" s="1484" t="n"/>
      <c r="Z156" s="1484" t="n"/>
      <c r="AA156" s="1484" t="n"/>
      <c r="AB156" s="1484" t="n"/>
      <c r="AC156" s="1625" t="n">
        <v>10</v>
      </c>
      <c r="AD156" s="1484" t="n"/>
      <c r="AE156" s="1484" t="n"/>
      <c r="AF156" s="1484" t="n"/>
      <c r="AG156" s="1484" t="n"/>
      <c r="AH156" s="1625" t="n">
        <v>32</v>
      </c>
      <c r="AI156" s="1631" t="n">
        <v>33</v>
      </c>
      <c r="AJ156" s="1631" t="n">
        <v>33</v>
      </c>
      <c r="AK156" s="1632" t="n">
        <v>41</v>
      </c>
      <c r="AL156" s="1484" t="n"/>
      <c r="AM156" s="1483" t="n"/>
      <c r="AN156" s="1484" t="n"/>
      <c r="AO156" s="1484" t="n"/>
      <c r="AP156" s="1484" t="n"/>
      <c r="AQ156" s="1484" t="n"/>
      <c r="AR156" s="1483" t="n"/>
      <c r="AS156" s="1483" t="n"/>
      <c r="AT156" s="1483" t="n"/>
      <c r="AU156" s="1483" t="n"/>
      <c r="AV156" s="1488" t="n"/>
    </row>
    <row r="157" hidden="1" outlineLevel="1" ht="14.4" customFormat="1" customHeight="1" s="1480">
      <c r="A157" s="1624" t="inlineStr">
        <is>
          <t>Employees, # of total employees</t>
        </is>
      </c>
      <c r="B157" s="1482" t="n"/>
      <c r="C157" s="1483" t="n"/>
      <c r="D157" s="1483" t="n"/>
      <c r="E157" s="1483" t="n"/>
      <c r="F157" s="1483" t="n"/>
      <c r="G157" s="1483" t="n"/>
      <c r="H157" s="1483" t="n"/>
      <c r="I157" s="1483" t="n"/>
      <c r="J157" s="1483" t="n"/>
      <c r="K157" s="1483" t="n"/>
      <c r="L157" s="1483" t="n"/>
      <c r="M157" s="1483" t="n"/>
      <c r="N157" s="1483" t="n"/>
      <c r="O157" s="1484" t="n"/>
      <c r="P157" s="1484" t="n"/>
      <c r="Q157" s="1484" t="n"/>
      <c r="R157" s="1484" t="n"/>
      <c r="S157" s="1483" t="n"/>
      <c r="T157" s="1484" t="n"/>
      <c r="U157" s="1484" t="n"/>
      <c r="V157" s="1484" t="n"/>
      <c r="W157" s="1484" t="n"/>
      <c r="X157" s="1483" t="n"/>
      <c r="Y157" s="1484" t="n"/>
      <c r="Z157" s="1484" t="n"/>
      <c r="AA157" s="1484" t="n"/>
      <c r="AB157" s="1484" t="n"/>
      <c r="AC157" s="1483" t="n"/>
      <c r="AD157" s="1484" t="n"/>
      <c r="AE157" s="1484" t="n"/>
      <c r="AF157" s="1484" t="n"/>
      <c r="AG157" s="1484" t="n"/>
      <c r="AH157" s="1625" t="n">
        <v>881</v>
      </c>
      <c r="AI157" s="1484" t="n"/>
      <c r="AJ157" s="1484" t="n"/>
      <c r="AK157" s="1487" t="n"/>
      <c r="AL157" s="1484" t="n"/>
      <c r="AM157" s="1483" t="n"/>
      <c r="AN157" s="1484" t="n"/>
      <c r="AO157" s="1484" t="n"/>
      <c r="AP157" s="1484" t="n"/>
      <c r="AQ157" s="1484" t="n"/>
      <c r="AR157" s="1483" t="n"/>
      <c r="AS157" s="1483" t="n"/>
      <c r="AT157" s="1483" t="n"/>
      <c r="AU157" s="1483" t="n"/>
      <c r="AV157" s="1488" t="n"/>
    </row>
    <row r="158" hidden="1" outlineLevel="1" ht="14.4" customFormat="1" customHeight="1" s="1480">
      <c r="A158" s="1633" t="n"/>
      <c r="B158" s="1482" t="n"/>
      <c r="C158" s="1483" t="n"/>
      <c r="D158" s="1483" t="n"/>
      <c r="E158" s="1483" t="n"/>
      <c r="F158" s="1483" t="n"/>
      <c r="G158" s="1483" t="n"/>
      <c r="H158" s="1483" t="n"/>
      <c r="I158" s="1483" t="n"/>
      <c r="J158" s="1483" t="n"/>
      <c r="K158" s="1483" t="n"/>
      <c r="L158" s="1483" t="n"/>
      <c r="M158" s="1483" t="n"/>
      <c r="N158" s="1483" t="n"/>
      <c r="O158" s="1484" t="n"/>
      <c r="P158" s="1484" t="n"/>
      <c r="Q158" s="1484" t="n"/>
      <c r="R158" s="1484" t="n"/>
      <c r="S158" s="1483" t="n"/>
      <c r="T158" s="1484" t="n"/>
      <c r="U158" s="1484" t="n"/>
      <c r="V158" s="1484" t="n"/>
      <c r="W158" s="1484" t="n"/>
      <c r="X158" s="1483" t="n"/>
      <c r="Y158" s="1484" t="n"/>
      <c r="Z158" s="1484" t="n"/>
      <c r="AA158" s="1484" t="n"/>
      <c r="AB158" s="1484" t="n"/>
      <c r="AC158" s="1483" t="n"/>
      <c r="AD158" s="1484" t="n"/>
      <c r="AE158" s="1484" t="n"/>
      <c r="AF158" s="1484" t="n"/>
      <c r="AG158" s="1484" t="n"/>
      <c r="AH158" s="1483" t="n"/>
      <c r="AI158" s="1484" t="n"/>
      <c r="AJ158" s="1484" t="n"/>
      <c r="AK158" s="1487" t="n"/>
      <c r="AL158" s="1484" t="n"/>
      <c r="AM158" s="1483" t="n"/>
      <c r="AN158" s="1484" t="n"/>
      <c r="AO158" s="1484" t="n"/>
      <c r="AP158" s="1484" t="n"/>
      <c r="AQ158" s="1484" t="n"/>
      <c r="AR158" s="1483" t="n"/>
      <c r="AS158" s="1483" t="n"/>
      <c r="AT158" s="1483" t="n"/>
      <c r="AU158" s="1483" t="n"/>
      <c r="AV158" s="1488" t="n"/>
    </row>
    <row r="159" hidden="1" outlineLevel="1" ht="14.4" customFormat="1" customHeight="1" s="1418">
      <c r="A159" s="1530" t="inlineStr">
        <is>
          <t>Key Metrics - Industry Stats (FS)</t>
        </is>
      </c>
      <c r="B159" s="1531" t="n"/>
      <c r="C159" s="1531" t="n"/>
      <c r="D159" s="1531" t="n"/>
      <c r="E159" s="1531" t="n"/>
      <c r="F159" s="1531" t="n"/>
      <c r="G159" s="1531" t="n"/>
      <c r="H159" s="1531" t="n"/>
      <c r="I159" s="1531" t="n"/>
      <c r="J159" s="1531" t="n"/>
      <c r="K159" s="1531" t="n"/>
      <c r="L159" s="1531" t="n"/>
      <c r="M159" s="1531" t="n"/>
      <c r="N159" s="1531" t="n"/>
      <c r="O159" s="1531" t="n"/>
      <c r="P159" s="1531" t="n"/>
      <c r="Q159" s="1531" t="n"/>
      <c r="R159" s="1531" t="n"/>
      <c r="S159" s="1531" t="n"/>
      <c r="T159" s="1531" t="n"/>
      <c r="U159" s="1531" t="n"/>
      <c r="V159" s="1531" t="n"/>
      <c r="W159" s="1531" t="n"/>
      <c r="X159" s="1531" t="n"/>
      <c r="Y159" s="1531" t="n"/>
      <c r="Z159" s="1531" t="n"/>
      <c r="AA159" s="1531" t="n"/>
      <c r="AB159" s="1531" t="n"/>
      <c r="AC159" s="1531" t="n"/>
      <c r="AD159" s="1531" t="n"/>
      <c r="AE159" s="1531" t="n"/>
      <c r="AF159" s="1531" t="n"/>
      <c r="AG159" s="1531" t="n"/>
      <c r="AH159" s="1531" t="n"/>
      <c r="AI159" s="1531" t="n"/>
      <c r="AJ159" s="1531" t="n"/>
      <c r="AK159" s="1533" t="n"/>
      <c r="AL159" s="1531" t="n"/>
      <c r="AM159" s="1531" t="n"/>
      <c r="AN159" s="1531" t="n"/>
      <c r="AO159" s="1531" t="n"/>
      <c r="AP159" s="1531" t="n"/>
      <c r="AQ159" s="1531" t="n"/>
      <c r="AR159" s="1531" t="n"/>
      <c r="AS159" s="1531" t="n"/>
      <c r="AT159" s="1531" t="n"/>
      <c r="AU159" s="1531" t="n"/>
      <c r="AV159" s="1422" t="n"/>
    </row>
    <row r="160" hidden="1" outlineLevel="1" ht="14.4" customFormat="1" customHeight="1" s="1480">
      <c r="A160" s="1481" t="inlineStr">
        <is>
          <t>Training infrastructure market size, bn</t>
        </is>
      </c>
      <c r="B160" s="1482" t="n"/>
      <c r="C160" s="1483" t="n"/>
      <c r="D160" s="1483" t="n"/>
      <c r="E160" s="1483" t="n"/>
      <c r="F160" s="1483" t="n"/>
      <c r="G160" s="1483" t="n"/>
      <c r="H160" s="1483" t="n"/>
      <c r="I160" s="1483" t="n"/>
      <c r="J160" s="1483" t="n"/>
      <c r="K160" s="1483" t="n"/>
      <c r="L160" s="1483" t="n"/>
      <c r="M160" s="1483" t="n"/>
      <c r="N160" s="1483" t="n"/>
      <c r="O160" s="1484" t="n"/>
      <c r="P160" s="1484" t="n"/>
      <c r="Q160" s="1484" t="n"/>
      <c r="R160" s="1484" t="n"/>
      <c r="S160" s="1483" t="n"/>
      <c r="T160" s="1484" t="n"/>
      <c r="U160" s="1484" t="n"/>
      <c r="V160" s="1484" t="n"/>
      <c r="W160" s="1484" t="n"/>
      <c r="X160" s="1483" t="n"/>
      <c r="Y160" s="1484" t="n"/>
      <c r="Z160" s="1484" t="n"/>
      <c r="AA160" s="1484" t="n"/>
      <c r="AB160" s="1484" t="n"/>
      <c r="AC160" s="1483" t="n"/>
      <c r="AD160" s="1484" t="n"/>
      <c r="AE160" s="1484" t="n"/>
      <c r="AF160" s="1484" t="n"/>
      <c r="AG160" s="1484" t="n"/>
      <c r="AH160" s="1483" t="n"/>
      <c r="AI160" s="1484" t="n"/>
      <c r="AJ160" s="1484" t="n"/>
      <c r="AK160" s="1487" t="n"/>
      <c r="AL160" s="1484" t="n"/>
      <c r="AM160" s="1483" t="n"/>
      <c r="AN160" s="1484" t="n"/>
      <c r="AO160" s="1484" t="n"/>
      <c r="AP160" s="1484" t="n"/>
      <c r="AQ160" s="1484" t="n"/>
      <c r="AR160" s="1483" t="n"/>
      <c r="AS160" s="1483" t="n"/>
      <c r="AT160" s="1625" t="n">
        <v>330</v>
      </c>
      <c r="AU160" s="1483" t="n"/>
      <c r="AV160" s="1488" t="n"/>
    </row>
    <row r="161" hidden="1" outlineLevel="1" ht="14.4" customFormat="1" customHeight="1" s="1480">
      <c r="A161" s="1481" t="inlineStr">
        <is>
          <t>Inference infrastructure market size, bn</t>
        </is>
      </c>
      <c r="B161" s="1482" t="n"/>
      <c r="C161" s="1483" t="n"/>
      <c r="D161" s="1483" t="n"/>
      <c r="E161" s="1483" t="n"/>
      <c r="F161" s="1483" t="n"/>
      <c r="G161" s="1483" t="n"/>
      <c r="H161" s="1483" t="n"/>
      <c r="I161" s="1483" t="n"/>
      <c r="J161" s="1483" t="n"/>
      <c r="K161" s="1483" t="n"/>
      <c r="L161" s="1483" t="n"/>
      <c r="M161" s="1483" t="n"/>
      <c r="N161" s="1483" t="n"/>
      <c r="O161" s="1484" t="n"/>
      <c r="P161" s="1484" t="n"/>
      <c r="Q161" s="1484" t="n"/>
      <c r="R161" s="1484" t="n"/>
      <c r="S161" s="1483" t="n"/>
      <c r="T161" s="1484" t="n"/>
      <c r="U161" s="1484" t="n"/>
      <c r="V161" s="1484" t="n"/>
      <c r="W161" s="1484" t="n"/>
      <c r="X161" s="1483" t="n"/>
      <c r="Y161" s="1484" t="n"/>
      <c r="Z161" s="1484" t="n"/>
      <c r="AA161" s="1484" t="n"/>
      <c r="AB161" s="1484" t="n"/>
      <c r="AC161" s="1483" t="n"/>
      <c r="AD161" s="1484" t="n"/>
      <c r="AE161" s="1484" t="n"/>
      <c r="AF161" s="1484" t="n"/>
      <c r="AG161" s="1484" t="n"/>
      <c r="AH161" s="1483" t="n"/>
      <c r="AI161" s="1484" t="n"/>
      <c r="AJ161" s="1484" t="n"/>
      <c r="AK161" s="1487" t="n"/>
      <c r="AL161" s="1484" t="n"/>
      <c r="AM161" s="1483" t="n"/>
      <c r="AN161" s="1484" t="n"/>
      <c r="AO161" s="1484" t="n"/>
      <c r="AP161" s="1484" t="n"/>
      <c r="AQ161" s="1484" t="n"/>
      <c r="AR161" s="1483" t="n"/>
      <c r="AS161" s="1483" t="n"/>
      <c r="AT161" s="1625" t="n">
        <v>49</v>
      </c>
      <c r="AU161" s="1483" t="n"/>
      <c r="AV161" s="1488" t="n"/>
    </row>
    <row r="162" hidden="1" outlineLevel="1" ht="14.4" customFormat="1" customHeight="1" s="1480">
      <c r="A162" s="1481" t="inlineStr">
        <is>
          <t>Workload monitoring market size, bn</t>
        </is>
      </c>
      <c r="B162" s="1482" t="n"/>
      <c r="C162" s="1483" t="n"/>
      <c r="D162" s="1483" t="n"/>
      <c r="E162" s="1483" t="n"/>
      <c r="F162" s="1483" t="n"/>
      <c r="G162" s="1483" t="n"/>
      <c r="H162" s="1483" t="n"/>
      <c r="I162" s="1483" t="n"/>
      <c r="J162" s="1483" t="n"/>
      <c r="K162" s="1483" t="n"/>
      <c r="L162" s="1483" t="n"/>
      <c r="M162" s="1483" t="n"/>
      <c r="N162" s="1483" t="n"/>
      <c r="O162" s="1484" t="n"/>
      <c r="P162" s="1484" t="n"/>
      <c r="Q162" s="1484" t="n"/>
      <c r="R162" s="1484" t="n"/>
      <c r="S162" s="1483" t="n"/>
      <c r="T162" s="1484" t="n"/>
      <c r="U162" s="1484" t="n"/>
      <c r="V162" s="1484" t="n"/>
      <c r="W162" s="1484" t="n"/>
      <c r="X162" s="1483" t="n"/>
      <c r="Y162" s="1484" t="n"/>
      <c r="Z162" s="1484" t="n"/>
      <c r="AA162" s="1484" t="n"/>
      <c r="AB162" s="1484" t="n"/>
      <c r="AC162" s="1483" t="n"/>
      <c r="AD162" s="1484" t="n"/>
      <c r="AE162" s="1484" t="n"/>
      <c r="AF162" s="1484" t="n"/>
      <c r="AG162" s="1484" t="n"/>
      <c r="AH162" s="1483" t="n"/>
      <c r="AI162" s="1484" t="n"/>
      <c r="AJ162" s="1484" t="n"/>
      <c r="AK162" s="1487" t="n"/>
      <c r="AL162" s="1484" t="n"/>
      <c r="AM162" s="1483" t="n"/>
      <c r="AN162" s="1484" t="n"/>
      <c r="AO162" s="1484" t="n"/>
      <c r="AP162" s="1484" t="n"/>
      <c r="AQ162" s="1484" t="n"/>
      <c r="AR162" s="1483" t="n"/>
      <c r="AS162" s="1483" t="n"/>
      <c r="AT162" s="1625" t="n">
        <v>20</v>
      </c>
      <c r="AU162" s="1483" t="n"/>
      <c r="AV162" s="1488" t="n"/>
    </row>
    <row r="163" hidden="1" outlineLevel="1" ht="14.4" customFormat="1" customHeight="1" s="1493">
      <c r="A163" s="1634" t="inlineStr">
        <is>
          <t>TAM, bn</t>
        </is>
      </c>
      <c r="B163" s="1635" t="n"/>
      <c r="C163" s="1636" t="n"/>
      <c r="D163" s="1636" t="n"/>
      <c r="E163" s="1636" t="n"/>
      <c r="F163" s="1636" t="n"/>
      <c r="G163" s="1636" t="n"/>
      <c r="H163" s="1636" t="n"/>
      <c r="I163" s="1636" t="n"/>
      <c r="J163" s="1636" t="n"/>
      <c r="K163" s="1636" t="n"/>
      <c r="L163" s="1636" t="n"/>
      <c r="M163" s="1636" t="n"/>
      <c r="N163" s="1636" t="n"/>
      <c r="O163" s="1637" t="n"/>
      <c r="P163" s="1637" t="n"/>
      <c r="Q163" s="1637" t="n"/>
      <c r="R163" s="1637" t="n"/>
      <c r="S163" s="1636" t="n"/>
      <c r="T163" s="1637" t="n"/>
      <c r="U163" s="1637" t="n"/>
      <c r="V163" s="1637" t="n"/>
      <c r="W163" s="1637" t="n"/>
      <c r="X163" s="1636" t="n"/>
      <c r="Y163" s="1637" t="n"/>
      <c r="Z163" s="1637" t="n"/>
      <c r="AA163" s="1637" t="n"/>
      <c r="AB163" s="1637" t="n"/>
      <c r="AC163" s="1638" t="n">
        <v>79</v>
      </c>
      <c r="AD163" s="1637" t="n"/>
      <c r="AE163" s="1637" t="n"/>
      <c r="AF163" s="1637" t="n"/>
      <c r="AG163" s="1637" t="n"/>
      <c r="AH163" s="1636" t="n"/>
      <c r="AI163" s="1637" t="n"/>
      <c r="AJ163" s="1637" t="n"/>
      <c r="AK163" s="1639" t="n"/>
      <c r="AL163" s="1637" t="n"/>
      <c r="AM163" s="1636" t="n"/>
      <c r="AN163" s="1637" t="n"/>
      <c r="AO163" s="1637" t="n"/>
      <c r="AP163" s="1637" t="n"/>
      <c r="AQ163" s="1637" t="n"/>
      <c r="AR163" s="1636" t="n"/>
      <c r="AS163" s="1636" t="n"/>
      <c r="AT163" s="1640">
        <f>SUM(AT160:AT162)</f>
        <v/>
      </c>
      <c r="AU163" s="1636" t="n"/>
      <c r="AV163" s="1494" t="n"/>
    </row>
    <row r="164" hidden="1" outlineLevel="1" ht="14.4" customFormat="1" customHeight="1" s="1438">
      <c r="A164" s="1513" t="n"/>
      <c r="B164" s="1440" t="n"/>
      <c r="C164" s="1441" t="n"/>
      <c r="D164" s="1441" t="n"/>
      <c r="E164" s="1441" t="n"/>
      <c r="F164" s="1441" t="n"/>
      <c r="G164" s="1441" t="n"/>
      <c r="H164" s="1441" t="n"/>
      <c r="I164" s="1441" t="n"/>
      <c r="J164" s="1441" t="n"/>
      <c r="K164" s="1441" t="n"/>
      <c r="L164" s="1441" t="n"/>
      <c r="M164" s="1441" t="n"/>
      <c r="N164" s="1441" t="n"/>
      <c r="O164" s="1442" t="n"/>
      <c r="P164" s="1442" t="n"/>
      <c r="Q164" s="1442" t="n"/>
      <c r="R164" s="1442" t="n"/>
      <c r="S164" s="1441" t="n"/>
      <c r="T164" s="1442" t="n"/>
      <c r="U164" s="1442" t="n"/>
      <c r="V164" s="1442" t="n"/>
      <c r="W164" s="1442" t="n"/>
      <c r="X164" s="1441" t="n"/>
      <c r="Y164" s="1442" t="n"/>
      <c r="Z164" s="1442" t="n"/>
      <c r="AA164" s="1442" t="n"/>
      <c r="AB164" s="1442" t="n"/>
      <c r="AC164" s="1441" t="n"/>
      <c r="AD164" s="1442" t="n"/>
      <c r="AE164" s="1442" t="n"/>
      <c r="AF164" s="1442" t="n"/>
      <c r="AG164" s="1442" t="n"/>
      <c r="AH164" s="1441" t="n"/>
      <c r="AI164" s="1442" t="n"/>
      <c r="AJ164" s="1442" t="n"/>
      <c r="AK164" s="1514" t="n"/>
      <c r="AL164" s="1442" t="n"/>
      <c r="AM164" s="1441" t="n"/>
      <c r="AN164" s="1442" t="n"/>
      <c r="AO164" s="1442" t="n"/>
      <c r="AP164" s="1442" t="n"/>
      <c r="AQ164" s="1442" t="n"/>
      <c r="AR164" s="1441" t="n"/>
      <c r="AS164" s="1441" t="n"/>
      <c r="AT164" s="1441" t="n"/>
      <c r="AU164" s="1441" t="n"/>
      <c r="AV164" s="1446" t="n"/>
    </row>
    <row r="165" hidden="1" outlineLevel="1" ht="14.4" customFormat="1" customHeight="1" s="1418">
      <c r="A165" s="1530" t="inlineStr">
        <is>
          <t>Key Metrics - Revenue Breakdown (FS)</t>
        </is>
      </c>
      <c r="B165" s="1531" t="n"/>
      <c r="C165" s="1531" t="n"/>
      <c r="D165" s="1531" t="n"/>
      <c r="E165" s="1531" t="n"/>
      <c r="F165" s="1531" t="n"/>
      <c r="G165" s="1531" t="n"/>
      <c r="H165" s="1531" t="n"/>
      <c r="I165" s="1531" t="n"/>
      <c r="J165" s="1531" t="n"/>
      <c r="K165" s="1531" t="n"/>
      <c r="L165" s="1531" t="n"/>
      <c r="M165" s="1531" t="n"/>
      <c r="N165" s="1531" t="n"/>
      <c r="O165" s="1531" t="n"/>
      <c r="P165" s="1531" t="n"/>
      <c r="Q165" s="1531" t="n"/>
      <c r="R165" s="1531" t="n"/>
      <c r="S165" s="1531" t="n"/>
      <c r="T165" s="1531" t="n"/>
      <c r="U165" s="1531" t="n"/>
      <c r="V165" s="1531" t="n"/>
      <c r="W165" s="1531" t="n"/>
      <c r="X165" s="1531" t="n"/>
      <c r="Y165" s="1531" t="n"/>
      <c r="Z165" s="1531" t="n"/>
      <c r="AA165" s="1531" t="n"/>
      <c r="AB165" s="1531" t="n"/>
      <c r="AC165" s="1531" t="n"/>
      <c r="AD165" s="1531" t="n"/>
      <c r="AE165" s="1531" t="n"/>
      <c r="AF165" s="1531" t="n"/>
      <c r="AG165" s="1531" t="n"/>
      <c r="AH165" s="1531" t="n"/>
      <c r="AI165" s="1531" t="n"/>
      <c r="AJ165" s="1531" t="n"/>
      <c r="AK165" s="1533" t="n"/>
      <c r="AL165" s="1531" t="n"/>
      <c r="AM165" s="1531" t="n"/>
      <c r="AN165" s="1531" t="n"/>
      <c r="AO165" s="1531" t="n"/>
      <c r="AP165" s="1531" t="n"/>
      <c r="AQ165" s="1531" t="n"/>
      <c r="AR165" s="1531" t="n"/>
      <c r="AS165" s="1531" t="n"/>
      <c r="AT165" s="1531" t="n"/>
      <c r="AU165" s="1531" t="n"/>
      <c r="AV165" s="1422" t="n"/>
    </row>
    <row r="166" hidden="1" outlineLevel="1" ht="14.4" customFormat="1" customHeight="1" s="1432">
      <c r="A166" s="1523" t="inlineStr">
        <is>
          <t>Committed Contracts revenue mix, %</t>
        </is>
      </c>
      <c r="B166" s="1474" t="n"/>
      <c r="C166" s="1475" t="n"/>
      <c r="D166" s="1475" t="n"/>
      <c r="E166" s="1475" t="n"/>
      <c r="F166" s="1475" t="n"/>
      <c r="G166" s="1475" t="n"/>
      <c r="H166" s="1475" t="n"/>
      <c r="I166" s="1475" t="n"/>
      <c r="J166" s="1475" t="n"/>
      <c r="K166" s="1475" t="n"/>
      <c r="L166" s="1475" t="n"/>
      <c r="M166" s="1475" t="n"/>
      <c r="N166" s="1475" t="n"/>
      <c r="O166" s="1476" t="n"/>
      <c r="P166" s="1476" t="n"/>
      <c r="Q166" s="1476" t="n"/>
      <c r="R166" s="1476" t="n"/>
      <c r="S166" s="1475" t="n"/>
      <c r="T166" s="1476" t="n"/>
      <c r="U166" s="1476" t="n"/>
      <c r="V166" s="1476" t="n"/>
      <c r="W166" s="1476" t="n"/>
      <c r="X166" s="1524" t="n">
        <v>0.2</v>
      </c>
      <c r="Y166" s="1476" t="n"/>
      <c r="Z166" s="1476" t="n"/>
      <c r="AA166" s="1476" t="n"/>
      <c r="AB166" s="1476" t="n"/>
      <c r="AC166" s="1524" t="n">
        <v>0.88</v>
      </c>
      <c r="AD166" s="1476">
        <f>AD148</f>
        <v/>
      </c>
      <c r="AE166" s="1476">
        <f>AE148</f>
        <v/>
      </c>
      <c r="AF166" s="1476" t="n"/>
      <c r="AG166" s="1476" t="n"/>
      <c r="AH166" s="1524" t="n">
        <v>0.96</v>
      </c>
      <c r="AI166" s="1476">
        <f>AI148</f>
        <v/>
      </c>
      <c r="AJ166" s="1476">
        <f>AJ148</f>
        <v/>
      </c>
      <c r="AK166" s="1527">
        <f>AK148</f>
        <v/>
      </c>
      <c r="AL166" s="1476" t="n"/>
      <c r="AM166" s="1475" t="n"/>
      <c r="AN166" s="1476" t="n"/>
      <c r="AO166" s="1476" t="n"/>
      <c r="AP166" s="1476" t="n"/>
      <c r="AQ166" s="1476" t="n"/>
      <c r="AR166" s="1475" t="n"/>
      <c r="AS166" s="1475" t="n"/>
      <c r="AT166" s="1475" t="n"/>
      <c r="AU166" s="1475" t="n"/>
      <c r="AV166" s="1437" t="n"/>
    </row>
    <row r="167" hidden="1" outlineLevel="1" ht="14.4" customFormat="1" customHeight="1" s="1432">
      <c r="A167" s="1523" t="inlineStr">
        <is>
          <t>On-Demand Platform Access revenue mix, %</t>
        </is>
      </c>
      <c r="B167" s="1474" t="n"/>
      <c r="C167" s="1475" t="n"/>
      <c r="D167" s="1475" t="n"/>
      <c r="E167" s="1475" t="n"/>
      <c r="F167" s="1475" t="n"/>
      <c r="G167" s="1475" t="n"/>
      <c r="H167" s="1475" t="n"/>
      <c r="I167" s="1475" t="n"/>
      <c r="J167" s="1475" t="n"/>
      <c r="K167" s="1475" t="n"/>
      <c r="L167" s="1475" t="n"/>
      <c r="M167" s="1475" t="n"/>
      <c r="N167" s="1475" t="n"/>
      <c r="O167" s="1476" t="n"/>
      <c r="P167" s="1476" t="n"/>
      <c r="Q167" s="1476" t="n"/>
      <c r="R167" s="1476" t="n"/>
      <c r="S167" s="1475" t="n"/>
      <c r="T167" s="1476" t="n"/>
      <c r="U167" s="1476" t="n"/>
      <c r="V167" s="1476" t="n"/>
      <c r="W167" s="1476" t="n"/>
      <c r="X167" s="1475">
        <f>X171/X172</f>
        <v/>
      </c>
      <c r="Y167" s="1476" t="n"/>
      <c r="Z167" s="1476" t="n"/>
      <c r="AA167" s="1476" t="n"/>
      <c r="AB167" s="1476" t="n"/>
      <c r="AC167" s="1475">
        <f>AC171/AC172</f>
        <v/>
      </c>
      <c r="AD167" s="1476">
        <f>AD171/AD172</f>
        <v/>
      </c>
      <c r="AE167" s="1476">
        <f>AE171/AE172</f>
        <v/>
      </c>
      <c r="AF167" s="1476" t="n"/>
      <c r="AG167" s="1476" t="n"/>
      <c r="AH167" s="1475">
        <f>AH171/AH172</f>
        <v/>
      </c>
      <c r="AI167" s="1476">
        <f>AI171/AI172</f>
        <v/>
      </c>
      <c r="AJ167" s="1476">
        <f>AJ171/AJ172</f>
        <v/>
      </c>
      <c r="AK167" s="1527">
        <f>AK171/AK172</f>
        <v/>
      </c>
      <c r="AL167" s="1476" t="n"/>
      <c r="AM167" s="1475" t="n"/>
      <c r="AN167" s="1476" t="n"/>
      <c r="AO167" s="1476" t="n"/>
      <c r="AP167" s="1476" t="n"/>
      <c r="AQ167" s="1476" t="n"/>
      <c r="AR167" s="1475" t="n"/>
      <c r="AS167" s="1475" t="n"/>
      <c r="AT167" s="1475" t="n"/>
      <c r="AU167" s="1475" t="n"/>
      <c r="AV167" s="1437" t="n"/>
    </row>
    <row r="168" hidden="1" outlineLevel="1" ht="14.4" customFormat="1" customHeight="1" s="1641">
      <c r="A168" s="1642" t="inlineStr">
        <is>
          <t>Total revenue mix, %</t>
        </is>
      </c>
      <c r="B168" s="1643" t="n"/>
      <c r="C168" s="1644" t="n"/>
      <c r="D168" s="1644" t="n"/>
      <c r="E168" s="1644" t="n"/>
      <c r="F168" s="1644" t="n"/>
      <c r="G168" s="1644" t="n"/>
      <c r="H168" s="1644" t="n"/>
      <c r="I168" s="1644" t="n"/>
      <c r="J168" s="1644" t="n"/>
      <c r="K168" s="1644" t="n"/>
      <c r="L168" s="1644" t="n"/>
      <c r="M168" s="1644" t="n"/>
      <c r="N168" s="1644" t="n"/>
      <c r="O168" s="1645" t="n"/>
      <c r="P168" s="1645" t="n"/>
      <c r="Q168" s="1645" t="n"/>
      <c r="R168" s="1645" t="n"/>
      <c r="S168" s="1644" t="n"/>
      <c r="T168" s="1645" t="n"/>
      <c r="U168" s="1645" t="n"/>
      <c r="V168" s="1645" t="n"/>
      <c r="W168" s="1645" t="n"/>
      <c r="X168" s="1644">
        <f>X166+X167</f>
        <v/>
      </c>
      <c r="Y168" s="1645" t="n"/>
      <c r="Z168" s="1645" t="n"/>
      <c r="AA168" s="1645" t="n"/>
      <c r="AB168" s="1645" t="n"/>
      <c r="AC168" s="1646">
        <f>AC166+AC167</f>
        <v/>
      </c>
      <c r="AD168" s="1645">
        <f>AD166+AD167</f>
        <v/>
      </c>
      <c r="AE168" s="1645">
        <f>AE166+AE167</f>
        <v/>
      </c>
      <c r="AF168" s="1645" t="n"/>
      <c r="AG168" s="1645" t="n"/>
      <c r="AH168" s="1644">
        <f>AH166+AH167</f>
        <v/>
      </c>
      <c r="AI168" s="1645">
        <f>AI166+AI167</f>
        <v/>
      </c>
      <c r="AJ168" s="1645">
        <f>AJ166+AJ167</f>
        <v/>
      </c>
      <c r="AK168" s="1647">
        <f>AK166+AK167</f>
        <v/>
      </c>
      <c r="AL168" s="1645" t="n"/>
      <c r="AM168" s="1644" t="n"/>
      <c r="AN168" s="1645" t="n"/>
      <c r="AO168" s="1645" t="n"/>
      <c r="AP168" s="1645" t="n"/>
      <c r="AQ168" s="1645" t="n"/>
      <c r="AR168" s="1644" t="n"/>
      <c r="AS168" s="1644" t="n"/>
      <c r="AT168" s="1644" t="n"/>
      <c r="AU168" s="1644" t="n"/>
      <c r="AV168" s="1648" t="n"/>
    </row>
    <row r="169" hidden="1" outlineLevel="1" ht="14.4" customFormat="1" customHeight="1" s="1438">
      <c r="A169" s="1513" t="n"/>
      <c r="B169" s="1440" t="n"/>
      <c r="C169" s="1441" t="n"/>
      <c r="D169" s="1441" t="n"/>
      <c r="E169" s="1441" t="n"/>
      <c r="F169" s="1441" t="n"/>
      <c r="G169" s="1441" t="n"/>
      <c r="H169" s="1441" t="n"/>
      <c r="I169" s="1441" t="n"/>
      <c r="J169" s="1441" t="n"/>
      <c r="K169" s="1441" t="n"/>
      <c r="L169" s="1441" t="n"/>
      <c r="M169" s="1441" t="n"/>
      <c r="N169" s="1441" t="n"/>
      <c r="O169" s="1442" t="n"/>
      <c r="P169" s="1442" t="n"/>
      <c r="Q169" s="1442" t="n"/>
      <c r="R169" s="1442" t="n"/>
      <c r="S169" s="1441" t="n"/>
      <c r="T169" s="1442" t="n"/>
      <c r="U169" s="1442" t="n"/>
      <c r="V169" s="1442" t="n"/>
      <c r="W169" s="1442" t="n"/>
      <c r="X169" s="1441" t="n"/>
      <c r="Y169" s="1442" t="n"/>
      <c r="Z169" s="1442" t="n"/>
      <c r="AA169" s="1442" t="n"/>
      <c r="AB169" s="1442" t="n"/>
      <c r="AC169" s="1441" t="n"/>
      <c r="AD169" s="1442" t="n"/>
      <c r="AE169" s="1442" t="n"/>
      <c r="AF169" s="1442" t="n"/>
      <c r="AG169" s="1442" t="n"/>
      <c r="AH169" s="1441" t="n"/>
      <c r="AI169" s="1442" t="n"/>
      <c r="AJ169" s="1442" t="n"/>
      <c r="AK169" s="1514" t="n"/>
      <c r="AL169" s="1442" t="n"/>
      <c r="AM169" s="1441" t="n"/>
      <c r="AN169" s="1442" t="n"/>
      <c r="AO169" s="1442" t="n"/>
      <c r="AP169" s="1442" t="n"/>
      <c r="AQ169" s="1442" t="n"/>
      <c r="AR169" s="1441" t="n"/>
      <c r="AS169" s="1441" t="n"/>
      <c r="AT169" s="1441" t="n"/>
      <c r="AU169" s="1441" t="n"/>
      <c r="AV169" s="1446" t="n"/>
    </row>
    <row r="170" hidden="1" outlineLevel="1" ht="14.4" customFormat="1" customHeight="1" s="1480">
      <c r="A170" s="1481" t="inlineStr">
        <is>
          <t>Committed Contracts revenue, mm</t>
        </is>
      </c>
      <c r="B170" s="1482" t="n"/>
      <c r="C170" s="1483" t="n"/>
      <c r="D170" s="1483" t="n"/>
      <c r="E170" s="1483" t="n"/>
      <c r="F170" s="1483" t="n"/>
      <c r="G170" s="1483" t="n"/>
      <c r="H170" s="1483" t="n"/>
      <c r="I170" s="1483" t="n"/>
      <c r="J170" s="1483" t="n"/>
      <c r="K170" s="1483" t="n"/>
      <c r="L170" s="1483" t="n"/>
      <c r="M170" s="1483" t="n"/>
      <c r="N170" s="1483" t="n"/>
      <c r="O170" s="1484" t="n"/>
      <c r="P170" s="1484" t="n"/>
      <c r="Q170" s="1484" t="n"/>
      <c r="R170" s="1484" t="n"/>
      <c r="S170" s="1483" t="n"/>
      <c r="T170" s="1484" t="n"/>
      <c r="U170" s="1484" t="n"/>
      <c r="V170" s="1484" t="n"/>
      <c r="W170" s="1484" t="n"/>
      <c r="X170" s="1483">
        <f>X166*X280</f>
        <v/>
      </c>
      <c r="Y170" s="1484" t="n"/>
      <c r="Z170" s="1484" t="n"/>
      <c r="AA170" s="1484" t="n"/>
      <c r="AB170" s="1484" t="n"/>
      <c r="AC170" s="1483">
        <f>AC166*AC280</f>
        <v/>
      </c>
      <c r="AD170" s="1484">
        <f>AD166*AD280</f>
        <v/>
      </c>
      <c r="AE170" s="1484">
        <f>AE166*AE280</f>
        <v/>
      </c>
      <c r="AF170" s="1484" t="n"/>
      <c r="AG170" s="1484" t="n"/>
      <c r="AH170" s="1483">
        <f>AH166*AH280</f>
        <v/>
      </c>
      <c r="AI170" s="1484">
        <f>AI166*AI280</f>
        <v/>
      </c>
      <c r="AJ170" s="1484">
        <f>AJ166*AJ280</f>
        <v/>
      </c>
      <c r="AK170" s="1487">
        <f>AK166*AK280</f>
        <v/>
      </c>
      <c r="AL170" s="1484" t="n"/>
      <c r="AM170" s="1483" t="n"/>
      <c r="AN170" s="1484" t="n"/>
      <c r="AO170" s="1484" t="n"/>
      <c r="AP170" s="1484" t="n"/>
      <c r="AQ170" s="1484" t="n"/>
      <c r="AR170" s="1483" t="n"/>
      <c r="AS170" s="1483" t="n"/>
      <c r="AT170" s="1483" t="n"/>
      <c r="AU170" s="1483" t="n"/>
      <c r="AV170" s="1488" t="n"/>
    </row>
    <row r="171" hidden="1" outlineLevel="1" ht="14.4" customFormat="1" customHeight="1" s="1480">
      <c r="A171" s="1481" t="inlineStr">
        <is>
          <t>On-Demand Platform Access revenue, mm</t>
        </is>
      </c>
      <c r="B171" s="1482" t="n"/>
      <c r="C171" s="1483" t="n"/>
      <c r="D171" s="1483" t="n"/>
      <c r="E171" s="1483" t="n"/>
      <c r="F171" s="1483" t="n"/>
      <c r="G171" s="1483" t="n"/>
      <c r="H171" s="1483" t="n"/>
      <c r="I171" s="1483" t="n"/>
      <c r="J171" s="1483" t="n"/>
      <c r="K171" s="1483" t="n"/>
      <c r="L171" s="1483" t="n"/>
      <c r="M171" s="1483" t="n"/>
      <c r="N171" s="1483" t="n"/>
      <c r="O171" s="1484" t="n"/>
      <c r="P171" s="1484" t="n"/>
      <c r="Q171" s="1484" t="n"/>
      <c r="R171" s="1484" t="n"/>
      <c r="S171" s="1483" t="n"/>
      <c r="T171" s="1484" t="n"/>
      <c r="U171" s="1484" t="n"/>
      <c r="V171" s="1484" t="n"/>
      <c r="W171" s="1484" t="n"/>
      <c r="X171" s="1483">
        <f>X172-X170</f>
        <v/>
      </c>
      <c r="Y171" s="1484" t="n"/>
      <c r="Z171" s="1484" t="n"/>
      <c r="AA171" s="1484" t="n"/>
      <c r="AB171" s="1484" t="n"/>
      <c r="AC171" s="1483">
        <f>AC172-AC170</f>
        <v/>
      </c>
      <c r="AD171" s="1484">
        <f>AD172-AD170</f>
        <v/>
      </c>
      <c r="AE171" s="1484">
        <f>AE172-AE170</f>
        <v/>
      </c>
      <c r="AF171" s="1484" t="n"/>
      <c r="AG171" s="1484" t="n"/>
      <c r="AH171" s="1483">
        <f>AH172-AH170</f>
        <v/>
      </c>
      <c r="AI171" s="1484">
        <f>AI172-AI170</f>
        <v/>
      </c>
      <c r="AJ171" s="1484">
        <f>AJ172-AJ170</f>
        <v/>
      </c>
      <c r="AK171" s="1487">
        <f>AK172-AK170</f>
        <v/>
      </c>
      <c r="AL171" s="1484" t="n"/>
      <c r="AM171" s="1483" t="n"/>
      <c r="AN171" s="1484" t="n"/>
      <c r="AO171" s="1484" t="n"/>
      <c r="AP171" s="1484" t="n"/>
      <c r="AQ171" s="1484" t="n"/>
      <c r="AR171" s="1483" t="n"/>
      <c r="AS171" s="1483" t="n"/>
      <c r="AT171" s="1483" t="n"/>
      <c r="AU171" s="1483" t="n"/>
      <c r="AV171" s="1488" t="n"/>
    </row>
    <row r="172" hidden="1" outlineLevel="1" ht="14.4" customFormat="1" customHeight="1" s="1493">
      <c r="A172" s="1634" t="inlineStr">
        <is>
          <t>Total revenue, mm</t>
        </is>
      </c>
      <c r="B172" s="1635" t="n"/>
      <c r="C172" s="1636" t="n"/>
      <c r="D172" s="1636" t="n"/>
      <c r="E172" s="1636" t="n"/>
      <c r="F172" s="1636" t="n"/>
      <c r="G172" s="1636" t="n"/>
      <c r="H172" s="1636" t="n"/>
      <c r="I172" s="1636" t="n"/>
      <c r="J172" s="1636" t="n"/>
      <c r="K172" s="1636" t="n"/>
      <c r="L172" s="1636" t="n"/>
      <c r="M172" s="1636" t="n"/>
      <c r="N172" s="1636" t="n"/>
      <c r="O172" s="1637" t="n"/>
      <c r="P172" s="1637" t="n"/>
      <c r="Q172" s="1637" t="n"/>
      <c r="R172" s="1637" t="n"/>
      <c r="S172" s="1636" t="n"/>
      <c r="T172" s="1637" t="n"/>
      <c r="U172" s="1637" t="n"/>
      <c r="V172" s="1637" t="n"/>
      <c r="W172" s="1637" t="n"/>
      <c r="X172" s="1636">
        <f>X280</f>
        <v/>
      </c>
      <c r="Y172" s="1637" t="n"/>
      <c r="Z172" s="1637" t="n"/>
      <c r="AA172" s="1637" t="n"/>
      <c r="AB172" s="1637" t="n"/>
      <c r="AC172" s="1640">
        <f>AC280</f>
        <v/>
      </c>
      <c r="AD172" s="1637">
        <f>AD280</f>
        <v/>
      </c>
      <c r="AE172" s="1637">
        <f>AE280</f>
        <v/>
      </c>
      <c r="AF172" s="1637" t="n"/>
      <c r="AG172" s="1637" t="n"/>
      <c r="AH172" s="1636">
        <f>AH280</f>
        <v/>
      </c>
      <c r="AI172" s="1637">
        <f>AI280</f>
        <v/>
      </c>
      <c r="AJ172" s="1637">
        <f>AJ280</f>
        <v/>
      </c>
      <c r="AK172" s="1639">
        <f>AK280</f>
        <v/>
      </c>
      <c r="AL172" s="1637" t="n"/>
      <c r="AM172" s="1636" t="n"/>
      <c r="AN172" s="1637" t="n"/>
      <c r="AO172" s="1637" t="n"/>
      <c r="AP172" s="1637" t="n"/>
      <c r="AQ172" s="1637" t="n"/>
      <c r="AR172" s="1636" t="n"/>
      <c r="AS172" s="1636" t="n"/>
      <c r="AT172" s="1636" t="n"/>
      <c r="AU172" s="1636" t="n"/>
      <c r="AV172" s="1494" t="n"/>
    </row>
    <row r="173" hidden="1" outlineLevel="1" ht="14.4" customFormat="1" customHeight="1" s="1438">
      <c r="A173" s="1513" t="n"/>
      <c r="B173" s="1440" t="n"/>
      <c r="C173" s="1441" t="n"/>
      <c r="D173" s="1441" t="n"/>
      <c r="E173" s="1441" t="n"/>
      <c r="F173" s="1441" t="n"/>
      <c r="G173" s="1441" t="n"/>
      <c r="H173" s="1441" t="n"/>
      <c r="I173" s="1441" t="n"/>
      <c r="J173" s="1441" t="n"/>
      <c r="K173" s="1441" t="n"/>
      <c r="L173" s="1441" t="n"/>
      <c r="M173" s="1441" t="n"/>
      <c r="N173" s="1441" t="n"/>
      <c r="O173" s="1442" t="n"/>
      <c r="P173" s="1442" t="n"/>
      <c r="Q173" s="1442" t="n"/>
      <c r="R173" s="1442" t="n"/>
      <c r="S173" s="1441" t="n"/>
      <c r="T173" s="1442" t="n"/>
      <c r="U173" s="1442" t="n"/>
      <c r="V173" s="1442" t="n"/>
      <c r="W173" s="1442" t="n"/>
      <c r="X173" s="1441" t="n"/>
      <c r="Y173" s="1442" t="n"/>
      <c r="Z173" s="1442" t="n"/>
      <c r="AA173" s="1442" t="n"/>
      <c r="AB173" s="1442" t="n"/>
      <c r="AC173" s="1441" t="n"/>
      <c r="AD173" s="1442" t="n"/>
      <c r="AE173" s="1442" t="n"/>
      <c r="AF173" s="1442" t="n"/>
      <c r="AG173" s="1442" t="n"/>
      <c r="AH173" s="1441" t="n"/>
      <c r="AI173" s="1442" t="n"/>
      <c r="AJ173" s="1442" t="n"/>
      <c r="AK173" s="1514" t="n"/>
      <c r="AL173" s="1442" t="n"/>
      <c r="AM173" s="1441" t="n"/>
      <c r="AN173" s="1442" t="n"/>
      <c r="AO173" s="1442" t="n"/>
      <c r="AP173" s="1442" t="n"/>
      <c r="AQ173" s="1442" t="n"/>
      <c r="AR173" s="1441" t="n"/>
      <c r="AS173" s="1441" t="n"/>
      <c r="AT173" s="1441" t="n"/>
      <c r="AU173" s="1441" t="n"/>
      <c r="AV173" s="1446" t="n"/>
    </row>
    <row r="174" hidden="1" outlineLevel="1" ht="14.4" customFormat="1" customHeight="1" s="1418">
      <c r="A174" s="1530" t="inlineStr">
        <is>
          <t>Key Metrics - SaaS Metrics</t>
        </is>
      </c>
      <c r="B174" s="1531" t="n"/>
      <c r="C174" s="1531" t="n"/>
      <c r="D174" s="1531" t="n"/>
      <c r="E174" s="1531" t="n"/>
      <c r="F174" s="1531" t="n"/>
      <c r="G174" s="1531" t="n"/>
      <c r="H174" s="1531" t="n"/>
      <c r="I174" s="1531" t="n"/>
      <c r="J174" s="1531" t="n"/>
      <c r="K174" s="1531" t="n"/>
      <c r="L174" s="1531" t="n"/>
      <c r="M174" s="1531" t="n"/>
      <c r="N174" s="1531" t="n"/>
      <c r="O174" s="1531" t="n"/>
      <c r="P174" s="1531" t="n"/>
      <c r="Q174" s="1531" t="n"/>
      <c r="R174" s="1531" t="n"/>
      <c r="S174" s="1531" t="n"/>
      <c r="T174" s="1531" t="n"/>
      <c r="U174" s="1531" t="n"/>
      <c r="V174" s="1531" t="n"/>
      <c r="W174" s="1531" t="n"/>
      <c r="X174" s="1531" t="n"/>
      <c r="Y174" s="1531" t="n"/>
      <c r="Z174" s="1531" t="n"/>
      <c r="AA174" s="1531" t="n"/>
      <c r="AB174" s="1531" t="n"/>
      <c r="AC174" s="1531" t="n"/>
      <c r="AD174" s="1531" t="n"/>
      <c r="AE174" s="1531" t="n"/>
      <c r="AF174" s="1531" t="n"/>
      <c r="AG174" s="1531" t="n"/>
      <c r="AH174" s="1531" t="n"/>
      <c r="AI174" s="1531" t="n"/>
      <c r="AJ174" s="1531" t="n"/>
      <c r="AK174" s="1533" t="n"/>
      <c r="AL174" s="1531" t="n"/>
      <c r="AM174" s="1531" t="n"/>
      <c r="AN174" s="1531" t="n"/>
      <c r="AO174" s="1531" t="n"/>
      <c r="AP174" s="1531" t="n"/>
      <c r="AQ174" s="1531" t="n"/>
      <c r="AR174" s="1531" t="n"/>
      <c r="AS174" s="1531" t="n"/>
      <c r="AT174" s="1531" t="n"/>
      <c r="AU174" s="1531" t="n"/>
      <c r="AV174" s="1422" t="n"/>
    </row>
    <row r="175" hidden="1" outlineLevel="1" ht="14.4" customFormat="1" customHeight="1" s="1456">
      <c r="A175" s="1572" t="inlineStr">
        <is>
          <t>Y/Y RPO growth, %</t>
        </is>
      </c>
      <c r="B175" s="1458" t="n"/>
      <c r="C175" s="1459" t="n"/>
      <c r="D175" s="1459" t="n"/>
      <c r="E175" s="1459" t="n"/>
      <c r="F175" s="1459" t="n"/>
      <c r="G175" s="1459" t="n"/>
      <c r="H175" s="1459" t="n"/>
      <c r="I175" s="1459" t="n"/>
      <c r="J175" s="1459" t="n"/>
      <c r="K175" s="1459" t="n"/>
      <c r="L175" s="1459" t="n"/>
      <c r="M175" s="1459" t="n"/>
      <c r="N175" s="1459" t="n"/>
      <c r="O175" s="1460" t="n"/>
      <c r="P175" s="1460" t="n"/>
      <c r="Q175" s="1460" t="n"/>
      <c r="R175" s="1460" t="n"/>
      <c r="S175" s="1459" t="n"/>
      <c r="T175" s="1460" t="n"/>
      <c r="U175" s="1460" t="n"/>
      <c r="V175" s="1460" t="n"/>
      <c r="W175" s="1460" t="n"/>
      <c r="X175" s="1459" t="n"/>
      <c r="Y175" s="1460" t="n"/>
      <c r="Z175" s="1460" t="n"/>
      <c r="AA175" s="1460" t="n"/>
      <c r="AB175" s="1460" t="n"/>
      <c r="AC175" s="1459" t="n"/>
      <c r="AD175" s="1460" t="n"/>
      <c r="AE175" s="1460" t="n"/>
      <c r="AF175" s="1460" t="n"/>
      <c r="AG175" s="1460" t="n"/>
      <c r="AH175" s="1459">
        <f>AH34/AC34-1</f>
        <v/>
      </c>
      <c r="AI175" s="1460" t="n"/>
      <c r="AJ175" s="1460">
        <f>AJ34/AE34-1</f>
        <v/>
      </c>
      <c r="AK175" s="1464">
        <f>AK34/AF34-1</f>
        <v/>
      </c>
      <c r="AL175" s="1460" t="n"/>
      <c r="AM175" s="1459" t="n"/>
      <c r="AN175" s="1460" t="n"/>
      <c r="AO175" s="1460" t="n"/>
      <c r="AP175" s="1460" t="n"/>
      <c r="AQ175" s="1460" t="n"/>
      <c r="AR175" s="1459" t="n"/>
      <c r="AS175" s="1459" t="n"/>
      <c r="AT175" s="1459" t="n"/>
      <c r="AU175" s="1459" t="n"/>
      <c r="AV175" s="1463" t="n"/>
    </row>
    <row r="176" hidden="1" outlineLevel="1" ht="14.4" customFormat="1" customHeight="1" s="1438">
      <c r="A176" s="1513" t="inlineStr">
        <is>
          <t>RPO bookings, mm</t>
        </is>
      </c>
      <c r="B176" s="1440" t="n"/>
      <c r="C176" s="1441" t="n"/>
      <c r="D176" s="1441" t="n"/>
      <c r="E176" s="1441" t="n"/>
      <c r="F176" s="1441" t="n"/>
      <c r="G176" s="1441" t="n"/>
      <c r="H176" s="1441" t="n"/>
      <c r="I176" s="1441" t="n"/>
      <c r="J176" s="1441" t="n"/>
      <c r="K176" s="1441" t="n"/>
      <c r="L176" s="1441" t="n"/>
      <c r="M176" s="1441" t="n"/>
      <c r="N176" s="1441" t="n"/>
      <c r="O176" s="1442" t="n"/>
      <c r="P176" s="1442" t="n"/>
      <c r="Q176" s="1442" t="n"/>
      <c r="R176" s="1442" t="n"/>
      <c r="S176" s="1441" t="n"/>
      <c r="T176" s="1442" t="n"/>
      <c r="U176" s="1442" t="n"/>
      <c r="V176" s="1442" t="n"/>
      <c r="W176" s="1442" t="n"/>
      <c r="X176" s="1441" t="n"/>
      <c r="Y176" s="1442" t="n"/>
      <c r="Z176" s="1442" t="n"/>
      <c r="AA176" s="1442" t="n"/>
      <c r="AB176" s="1442" t="n"/>
      <c r="AC176" s="1441" t="n"/>
      <c r="AD176" s="1442" t="n"/>
      <c r="AE176" s="1442" t="n"/>
      <c r="AF176" s="1442" t="n"/>
      <c r="AG176" s="1442">
        <f>AG280+(AG34-AF34)</f>
        <v/>
      </c>
      <c r="AH176" s="1441">
        <f>AH280+(AH34-AC34)</f>
        <v/>
      </c>
      <c r="AI176" s="1442" t="n"/>
      <c r="AJ176" s="1442">
        <f>AJ280+(AJ34-AE34)</f>
        <v/>
      </c>
      <c r="AK176" s="1514">
        <f>AK280+(AK34-AF34)</f>
        <v/>
      </c>
      <c r="AL176" s="1442" t="n"/>
      <c r="AM176" s="1441" t="n"/>
      <c r="AN176" s="1442" t="n"/>
      <c r="AO176" s="1442" t="n"/>
      <c r="AP176" s="1442" t="n"/>
      <c r="AQ176" s="1442" t="n"/>
      <c r="AR176" s="1441" t="n"/>
      <c r="AS176" s="1441" t="n"/>
      <c r="AT176" s="1441" t="n"/>
      <c r="AU176" s="1441" t="n"/>
      <c r="AV176" s="1446" t="n"/>
    </row>
    <row r="177" hidden="1" outlineLevel="1" ht="14.4" customFormat="1" customHeight="1" s="1447">
      <c r="A177" s="1569" t="inlineStr">
        <is>
          <t>Y/Y RPO bookings growth, %</t>
        </is>
      </c>
      <c r="B177" s="1449" t="n"/>
      <c r="C177" s="1450" t="n"/>
      <c r="D177" s="1450" t="n"/>
      <c r="E177" s="1450" t="n"/>
      <c r="F177" s="1450" t="n"/>
      <c r="G177" s="1450" t="n"/>
      <c r="H177" s="1450" t="n"/>
      <c r="I177" s="1450" t="n"/>
      <c r="J177" s="1450" t="n"/>
      <c r="K177" s="1450" t="n"/>
      <c r="L177" s="1450" t="n"/>
      <c r="M177" s="1450" t="n"/>
      <c r="N177" s="1450" t="n"/>
      <c r="O177" s="1451" t="n"/>
      <c r="P177" s="1451" t="n"/>
      <c r="Q177" s="1451" t="n"/>
      <c r="R177" s="1451" t="n"/>
      <c r="S177" s="1450" t="n"/>
      <c r="T177" s="1451" t="n"/>
      <c r="U177" s="1451" t="n"/>
      <c r="V177" s="1451" t="n"/>
      <c r="W177" s="1451" t="n"/>
      <c r="X177" s="1450" t="n"/>
      <c r="Y177" s="1451" t="n"/>
      <c r="Z177" s="1451" t="n"/>
      <c r="AA177" s="1451" t="n"/>
      <c r="AB177" s="1451" t="n"/>
      <c r="AC177" s="1450" t="n"/>
      <c r="AD177" s="1451" t="n"/>
      <c r="AE177" s="1451" t="n"/>
      <c r="AF177" s="1451" t="n"/>
      <c r="AG177" s="1451" t="n"/>
      <c r="AH177" s="1450" t="n"/>
      <c r="AI177" s="1451" t="n"/>
      <c r="AJ177" s="1451" t="n"/>
      <c r="AK177" s="1452" t="n"/>
      <c r="AL177" s="1451" t="n"/>
      <c r="AM177" s="1450" t="n"/>
      <c r="AN177" s="1451" t="n"/>
      <c r="AO177" s="1451" t="n"/>
      <c r="AP177" s="1451" t="n"/>
      <c r="AQ177" s="1451" t="n"/>
      <c r="AR177" s="1450" t="n"/>
      <c r="AS177" s="1450" t="n"/>
      <c r="AT177" s="1450" t="n"/>
      <c r="AU177" s="1450" t="n"/>
      <c r="AV177" s="1455" t="n"/>
    </row>
    <row r="178" hidden="1" outlineLevel="1" ht="14.4" customFormat="1" customHeight="1" s="1418">
      <c r="A178" s="1489" t="n"/>
      <c r="B178" s="1468" t="n"/>
      <c r="C178" s="1469" t="n"/>
      <c r="D178" s="1469" t="n"/>
      <c r="E178" s="1469" t="n"/>
      <c r="F178" s="1469" t="n"/>
      <c r="G178" s="1469" t="n"/>
      <c r="H178" s="1469" t="n"/>
      <c r="I178" s="1469" t="n"/>
      <c r="J178" s="1469" t="n"/>
      <c r="K178" s="1469" t="n"/>
      <c r="L178" s="1469" t="n"/>
      <c r="M178" s="1469" t="n"/>
      <c r="N178" s="1469" t="n"/>
      <c r="O178" s="1470" t="n"/>
      <c r="P178" s="1470" t="n"/>
      <c r="Q178" s="1470" t="n"/>
      <c r="R178" s="1470" t="n"/>
      <c r="S178" s="1469" t="n"/>
      <c r="T178" s="1470" t="n"/>
      <c r="U178" s="1470" t="n"/>
      <c r="V178" s="1470" t="n"/>
      <c r="W178" s="1470" t="n"/>
      <c r="X178" s="1469" t="n"/>
      <c r="Y178" s="1470" t="n"/>
      <c r="Z178" s="1470" t="n"/>
      <c r="AA178" s="1470" t="n"/>
      <c r="AB178" s="1470" t="n"/>
      <c r="AC178" s="1469" t="n"/>
      <c r="AD178" s="1470" t="n"/>
      <c r="AE178" s="1470" t="n"/>
      <c r="AF178" s="1470" t="n"/>
      <c r="AG178" s="1470" t="n"/>
      <c r="AH178" s="1469" t="n"/>
      <c r="AI178" s="1470" t="n"/>
      <c r="AJ178" s="1470" t="n"/>
      <c r="AK178" s="1471" t="n"/>
      <c r="AL178" s="1470" t="n"/>
      <c r="AM178" s="1469" t="n"/>
      <c r="AN178" s="1470" t="n"/>
      <c r="AO178" s="1470" t="n"/>
      <c r="AP178" s="1470" t="n"/>
      <c r="AQ178" s="1470" t="n"/>
      <c r="AR178" s="1469" t="n"/>
      <c r="AS178" s="1469" t="n"/>
      <c r="AT178" s="1469" t="n"/>
      <c r="AU178" s="1469" t="n"/>
      <c r="AV178" s="1422" t="n"/>
    </row>
    <row r="179" hidden="1" outlineLevel="1" ht="14.4" customFormat="1" customHeight="1" s="1438">
      <c r="A179" s="1513" t="inlineStr">
        <is>
          <t>Calculated billings, mm</t>
        </is>
      </c>
      <c r="B179" s="1440" t="n"/>
      <c r="C179" s="1441" t="n"/>
      <c r="D179" s="1441" t="n"/>
      <c r="E179" s="1441" t="n"/>
      <c r="F179" s="1441" t="n"/>
      <c r="G179" s="1441" t="n"/>
      <c r="H179" s="1441" t="n"/>
      <c r="I179" s="1441" t="n"/>
      <c r="J179" s="1441" t="n"/>
      <c r="K179" s="1441" t="n"/>
      <c r="L179" s="1441" t="n"/>
      <c r="M179" s="1441" t="n"/>
      <c r="N179" s="1441" t="n"/>
      <c r="O179" s="1442" t="n"/>
      <c r="P179" s="1442" t="n"/>
      <c r="Q179" s="1442" t="n"/>
      <c r="R179" s="1442" t="n"/>
      <c r="S179" s="1441" t="n"/>
      <c r="T179" s="1442" t="n"/>
      <c r="U179" s="1442" t="n"/>
      <c r="V179" s="1442" t="n"/>
      <c r="W179" s="1442" t="n"/>
      <c r="X179" s="1441">
        <f>X280+X584</f>
        <v/>
      </c>
      <c r="Y179" s="1442" t="n"/>
      <c r="Z179" s="1442" t="n"/>
      <c r="AA179" s="1442" t="n"/>
      <c r="AB179" s="1442">
        <f>AB280+AB584</f>
        <v/>
      </c>
      <c r="AC179" s="1441">
        <f>AC280+AC584</f>
        <v/>
      </c>
      <c r="AD179" s="1442">
        <f>AD280+AD584</f>
        <v/>
      </c>
      <c r="AE179" s="1442">
        <f>AE280+AE584</f>
        <v/>
      </c>
      <c r="AF179" s="1442">
        <f>AF280+AF584</f>
        <v/>
      </c>
      <c r="AG179" s="1442">
        <f>AG280+AG584</f>
        <v/>
      </c>
      <c r="AH179" s="1441">
        <f>AH280+AH584</f>
        <v/>
      </c>
      <c r="AI179" s="1442">
        <f>AI280+AI584</f>
        <v/>
      </c>
      <c r="AJ179" s="1442">
        <f>AJ280+AJ584</f>
        <v/>
      </c>
      <c r="AK179" s="1514">
        <f>AK280+AK584</f>
        <v/>
      </c>
      <c r="AL179" s="1442" t="n"/>
      <c r="AM179" s="1441" t="n"/>
      <c r="AN179" s="1442" t="n"/>
      <c r="AO179" s="1442" t="n"/>
      <c r="AP179" s="1442" t="n"/>
      <c r="AQ179" s="1442" t="n"/>
      <c r="AR179" s="1441" t="n"/>
      <c r="AS179" s="1441" t="n"/>
      <c r="AT179" s="1441" t="n"/>
      <c r="AU179" s="1441" t="n"/>
      <c r="AV179" s="1446" t="n"/>
    </row>
    <row r="180" hidden="1" outlineLevel="1" ht="14.4" customFormat="1" customHeight="1" s="1456">
      <c r="A180" s="1572" t="inlineStr">
        <is>
          <t>Y/Y Calculated billings growth, %</t>
        </is>
      </c>
      <c r="B180" s="1458" t="n"/>
      <c r="C180" s="1459" t="n"/>
      <c r="D180" s="1459" t="n"/>
      <c r="E180" s="1459" t="n"/>
      <c r="F180" s="1459" t="n"/>
      <c r="G180" s="1459" t="n"/>
      <c r="H180" s="1459" t="n"/>
      <c r="I180" s="1459" t="n"/>
      <c r="J180" s="1459" t="n"/>
      <c r="K180" s="1459" t="n"/>
      <c r="L180" s="1459" t="n"/>
      <c r="M180" s="1459" t="n"/>
      <c r="N180" s="1459" t="n"/>
      <c r="O180" s="1460" t="n"/>
      <c r="P180" s="1460" t="n"/>
      <c r="Q180" s="1460" t="n"/>
      <c r="R180" s="1460" t="n"/>
      <c r="S180" s="1459" t="n"/>
      <c r="T180" s="1460" t="n"/>
      <c r="U180" s="1460" t="n"/>
      <c r="V180" s="1460" t="n"/>
      <c r="W180" s="1460" t="n"/>
      <c r="X180" s="1459" t="n"/>
      <c r="Y180" s="1460" t="n"/>
      <c r="Z180" s="1460" t="n"/>
      <c r="AA180" s="1460" t="n"/>
      <c r="AB180" s="1460" t="n"/>
      <c r="AC180" s="1459">
        <f>AC179/X179-1</f>
        <v/>
      </c>
      <c r="AD180" s="1460" t="n"/>
      <c r="AE180" s="1460" t="n"/>
      <c r="AF180" s="1460" t="n"/>
      <c r="AG180" s="1460">
        <f>AG179/AB179-1</f>
        <v/>
      </c>
      <c r="AH180" s="1459">
        <f>AH179/AC179-1</f>
        <v/>
      </c>
      <c r="AI180" s="1460">
        <f>AI179/AD179-1</f>
        <v/>
      </c>
      <c r="AJ180" s="1460">
        <f>AJ179/AE179-1</f>
        <v/>
      </c>
      <c r="AK180" s="1464">
        <f>AK179/AF179-1</f>
        <v/>
      </c>
      <c r="AL180" s="1460" t="n"/>
      <c r="AM180" s="1459" t="n"/>
      <c r="AN180" s="1460" t="n"/>
      <c r="AO180" s="1460" t="n"/>
      <c r="AP180" s="1460" t="n"/>
      <c r="AQ180" s="1460" t="n"/>
      <c r="AR180" s="1459" t="n"/>
      <c r="AS180" s="1459" t="n"/>
      <c r="AT180" s="1459" t="n"/>
      <c r="AU180" s="1459" t="n"/>
      <c r="AV180" s="1463" t="n"/>
    </row>
    <row r="181" hidden="1" outlineLevel="1" ht="14.4" customFormat="1" customHeight="1" s="1418">
      <c r="A181" s="1489" t="n"/>
      <c r="B181" s="1468" t="n"/>
      <c r="C181" s="1469" t="n"/>
      <c r="D181" s="1469" t="n"/>
      <c r="E181" s="1469" t="n"/>
      <c r="F181" s="1469" t="n"/>
      <c r="G181" s="1469" t="n"/>
      <c r="H181" s="1469" t="n"/>
      <c r="I181" s="1469" t="n"/>
      <c r="J181" s="1469" t="n"/>
      <c r="K181" s="1469" t="n"/>
      <c r="L181" s="1469" t="n"/>
      <c r="M181" s="1469" t="n"/>
      <c r="N181" s="1469" t="n"/>
      <c r="O181" s="1470" t="n"/>
      <c r="P181" s="1470" t="n"/>
      <c r="Q181" s="1470" t="n"/>
      <c r="R181" s="1470" t="n"/>
      <c r="S181" s="1469" t="n"/>
      <c r="T181" s="1470" t="n"/>
      <c r="U181" s="1470" t="n"/>
      <c r="V181" s="1470" t="n"/>
      <c r="W181" s="1470" t="n"/>
      <c r="X181" s="1469" t="n"/>
      <c r="Y181" s="1470" t="n"/>
      <c r="Z181" s="1470" t="n"/>
      <c r="AA181" s="1470" t="n"/>
      <c r="AB181" s="1470" t="n"/>
      <c r="AC181" s="1469" t="n"/>
      <c r="AD181" s="1470" t="n"/>
      <c r="AE181" s="1470" t="n"/>
      <c r="AF181" s="1470" t="n"/>
      <c r="AG181" s="1470" t="n"/>
      <c r="AH181" s="1469" t="n"/>
      <c r="AI181" s="1470" t="n"/>
      <c r="AJ181" s="1470" t="n"/>
      <c r="AK181" s="1471" t="n"/>
      <c r="AL181" s="1470" t="n"/>
      <c r="AM181" s="1469" t="n"/>
      <c r="AN181" s="1470" t="n"/>
      <c r="AO181" s="1470" t="n"/>
      <c r="AP181" s="1470" t="n"/>
      <c r="AQ181" s="1470" t="n"/>
      <c r="AR181" s="1469" t="n"/>
      <c r="AS181" s="1469" t="n"/>
      <c r="AT181" s="1469" t="n"/>
      <c r="AU181" s="1469" t="n"/>
      <c r="AV181" s="1422" t="n"/>
    </row>
    <row r="182" hidden="1" outlineLevel="2" ht="14.4" customFormat="1" customHeight="1" s="1418">
      <c r="A182" s="1467" t="inlineStr">
        <is>
          <t>Free Cash Flow, mm</t>
        </is>
      </c>
      <c r="B182" s="1468" t="n"/>
      <c r="C182" s="1469" t="n"/>
      <c r="D182" s="1469" t="n"/>
      <c r="E182" s="1469" t="n"/>
      <c r="F182" s="1469" t="n"/>
      <c r="G182" s="1469" t="n"/>
      <c r="H182" s="1469" t="n"/>
      <c r="I182" s="1469" t="n"/>
      <c r="J182" s="1469" t="n"/>
      <c r="K182" s="1469" t="n"/>
      <c r="L182" s="1469" t="n"/>
      <c r="M182" s="1469" t="n"/>
      <c r="N182" s="1469" t="n"/>
      <c r="O182" s="1470" t="n"/>
      <c r="P182" s="1470" t="n"/>
      <c r="Q182" s="1470" t="n"/>
      <c r="R182" s="1470" t="n"/>
      <c r="S182" s="1469" t="n"/>
      <c r="T182" s="1470" t="n"/>
      <c r="U182" s="1470" t="n"/>
      <c r="V182" s="1470" t="n"/>
      <c r="W182" s="1470" t="n"/>
      <c r="X182" s="1469">
        <f>X588+X436</f>
        <v/>
      </c>
      <c r="Y182" s="1470" t="n"/>
      <c r="Z182" s="1470" t="n"/>
      <c r="AA182" s="1470">
        <f>AA588+AA436</f>
        <v/>
      </c>
      <c r="AB182" s="1470">
        <f>AB588+AB436</f>
        <v/>
      </c>
      <c r="AC182" s="1469">
        <f>AC588+AC436</f>
        <v/>
      </c>
      <c r="AD182" s="1470">
        <f>AD588+AD436</f>
        <v/>
      </c>
      <c r="AE182" s="1470" t="n"/>
      <c r="AF182" s="1470">
        <f>AF588+AF436</f>
        <v/>
      </c>
      <c r="AG182" s="1470">
        <f>AG588+AG436</f>
        <v/>
      </c>
      <c r="AH182" s="1469">
        <f>AH588+AH436</f>
        <v/>
      </c>
      <c r="AI182" s="1470">
        <f>AI588+AI436</f>
        <v/>
      </c>
      <c r="AJ182" s="1470">
        <f>AJ588+AJ436</f>
        <v/>
      </c>
      <c r="AK182" s="1471">
        <f>AK588+AK436</f>
        <v/>
      </c>
      <c r="AL182" s="1470" t="n"/>
      <c r="AM182" s="1469" t="n"/>
      <c r="AN182" s="1470" t="n"/>
      <c r="AO182" s="1470" t="n"/>
      <c r="AP182" s="1470" t="n"/>
      <c r="AQ182" s="1470" t="n"/>
      <c r="AR182" s="1469" t="n"/>
      <c r="AS182" s="1469" t="n"/>
      <c r="AT182" s="1469" t="n"/>
      <c r="AU182" s="1469" t="n"/>
      <c r="AV182" s="1422" t="n"/>
    </row>
    <row r="183" hidden="1" outlineLevel="2" ht="14.4" customFormat="1" customHeight="1" s="1418">
      <c r="A183" s="1467" t="inlineStr">
        <is>
          <t>LTM Free Cash Flow, mm</t>
        </is>
      </c>
      <c r="B183" s="1468" t="n"/>
      <c r="C183" s="1469" t="n"/>
      <c r="D183" s="1469" t="n"/>
      <c r="E183" s="1469" t="n"/>
      <c r="F183" s="1469" t="n"/>
      <c r="G183" s="1469" t="n"/>
      <c r="H183" s="1469" t="n"/>
      <c r="I183" s="1469" t="n"/>
      <c r="J183" s="1469" t="n"/>
      <c r="K183" s="1469" t="n"/>
      <c r="L183" s="1469" t="n"/>
      <c r="M183" s="1469" t="n"/>
      <c r="N183" s="1469" t="n"/>
      <c r="O183" s="1470" t="n"/>
      <c r="P183" s="1470" t="n"/>
      <c r="Q183" s="1470" t="n"/>
      <c r="R183" s="1470" t="n"/>
      <c r="S183" s="1469" t="n"/>
      <c r="T183" s="1470" t="n"/>
      <c r="U183" s="1470" t="n"/>
      <c r="V183" s="1470" t="n"/>
      <c r="W183" s="1470">
        <f>X183</f>
        <v/>
      </c>
      <c r="X183" s="1469">
        <f>X182</f>
        <v/>
      </c>
      <c r="Y183" s="1470" t="n"/>
      <c r="Z183" s="1470" t="n"/>
      <c r="AA183" s="1470" t="n"/>
      <c r="AB183" s="1470">
        <f>AB182+AA182</f>
        <v/>
      </c>
      <c r="AC183" s="1469">
        <f>AC182</f>
        <v/>
      </c>
      <c r="AD183" s="1470" t="n"/>
      <c r="AE183" s="1470" t="n"/>
      <c r="AF183" s="1470">
        <f>AF182+AB182</f>
        <v/>
      </c>
      <c r="AG183" s="1470">
        <f>AG182+AF182</f>
        <v/>
      </c>
      <c r="AH183" s="1469">
        <f>AH182</f>
        <v/>
      </c>
      <c r="AI183" s="1470" t="n"/>
      <c r="AJ183" s="1470">
        <f>AJ182+AI182+AG182+AF182</f>
        <v/>
      </c>
      <c r="AK183" s="1471">
        <f>AK182+AG182</f>
        <v/>
      </c>
      <c r="AL183" s="1470" t="n"/>
      <c r="AM183" s="1469" t="n"/>
      <c r="AN183" s="1470" t="n"/>
      <c r="AO183" s="1470" t="n"/>
      <c r="AP183" s="1470" t="n"/>
      <c r="AQ183" s="1470" t="n"/>
      <c r="AR183" s="1469" t="n"/>
      <c r="AS183" s="1469" t="n"/>
      <c r="AT183" s="1469" t="n"/>
      <c r="AU183" s="1469" t="n"/>
      <c r="AV183" s="1422" t="n"/>
    </row>
    <row r="184" hidden="1" outlineLevel="2" ht="14.4" customFormat="1" customHeight="1" s="1418">
      <c r="A184" s="1467" t="inlineStr">
        <is>
          <t>LTM Revenue, mm</t>
        </is>
      </c>
      <c r="B184" s="1468" t="n"/>
      <c r="C184" s="1469" t="n"/>
      <c r="D184" s="1469" t="n"/>
      <c r="E184" s="1469" t="n"/>
      <c r="F184" s="1469" t="n"/>
      <c r="G184" s="1469" t="n"/>
      <c r="H184" s="1469" t="n"/>
      <c r="I184" s="1469" t="n"/>
      <c r="J184" s="1469" t="n"/>
      <c r="K184" s="1469" t="n"/>
      <c r="L184" s="1469" t="n"/>
      <c r="M184" s="1469" t="n"/>
      <c r="N184" s="1469" t="n"/>
      <c r="O184" s="1470" t="n"/>
      <c r="P184" s="1470" t="n"/>
      <c r="Q184" s="1470" t="n"/>
      <c r="R184" s="1470" t="n"/>
      <c r="S184" s="1469" t="n"/>
      <c r="T184" s="1470" t="n"/>
      <c r="U184" s="1470" t="n"/>
      <c r="V184" s="1470" t="n"/>
      <c r="W184" s="1470">
        <f>X184</f>
        <v/>
      </c>
      <c r="X184" s="1469">
        <f>X280</f>
        <v/>
      </c>
      <c r="Y184" s="1470" t="n"/>
      <c r="Z184" s="1470" t="n"/>
      <c r="AA184" s="1470" t="n"/>
      <c r="AB184" s="1470">
        <f>AC184</f>
        <v/>
      </c>
      <c r="AC184" s="1469">
        <f>AC280</f>
        <v/>
      </c>
      <c r="AD184" s="1470" t="n"/>
      <c r="AE184" s="1470" t="n"/>
      <c r="AF184" s="1470">
        <f>AF280+AE280+AD280+AB280</f>
        <v/>
      </c>
      <c r="AG184" s="1470">
        <f>AG280+AF280+AE280+AD280</f>
        <v/>
      </c>
      <c r="AH184" s="1469">
        <f>AH280</f>
        <v/>
      </c>
      <c r="AI184" s="1470">
        <f>SUM(AI280,AG280,AF280,AE280)</f>
        <v/>
      </c>
      <c r="AJ184" s="1470">
        <f>SUM(AJ280,AI280,AG280,AF280)</f>
        <v/>
      </c>
      <c r="AK184" s="1471">
        <f>AK280+AJ280+AI280+AG280</f>
        <v/>
      </c>
      <c r="AL184" s="1470" t="n"/>
      <c r="AM184" s="1469" t="n"/>
      <c r="AN184" s="1470" t="n"/>
      <c r="AO184" s="1470" t="n"/>
      <c r="AP184" s="1470" t="n"/>
      <c r="AQ184" s="1470" t="n"/>
      <c r="AR184" s="1469" t="n"/>
      <c r="AS184" s="1469" t="n"/>
      <c r="AT184" s="1469" t="n"/>
      <c r="AU184" s="1469" t="n"/>
      <c r="AV184" s="1422" t="n"/>
    </row>
    <row r="185" hidden="1" outlineLevel="2" ht="14.4" customFormat="1" customHeight="1" s="1432">
      <c r="A185" s="1616" t="inlineStr">
        <is>
          <t>Y/Y LTM Revenue growth, %</t>
        </is>
      </c>
      <c r="B185" s="1474" t="n"/>
      <c r="C185" s="1475" t="n"/>
      <c r="D185" s="1475" t="n"/>
      <c r="E185" s="1475" t="n"/>
      <c r="F185" s="1475" t="n"/>
      <c r="G185" s="1475" t="n"/>
      <c r="H185" s="1475" t="n"/>
      <c r="I185" s="1475" t="n"/>
      <c r="J185" s="1475" t="n"/>
      <c r="K185" s="1475" t="n"/>
      <c r="L185" s="1475" t="n"/>
      <c r="M185" s="1475" t="n"/>
      <c r="N185" s="1475" t="n"/>
      <c r="O185" s="1476" t="n"/>
      <c r="P185" s="1476" t="n"/>
      <c r="Q185" s="1476" t="n"/>
      <c r="R185" s="1476" t="n"/>
      <c r="S185" s="1475" t="n"/>
      <c r="T185" s="1476" t="n"/>
      <c r="U185" s="1476" t="n"/>
      <c r="V185" s="1476" t="n"/>
      <c r="W185" s="1476" t="n"/>
      <c r="X185" s="1475" t="n"/>
      <c r="Y185" s="1476" t="n"/>
      <c r="Z185" s="1476" t="n"/>
      <c r="AA185" s="1476" t="n"/>
      <c r="AB185" s="1476">
        <f>AB184/W184-1</f>
        <v/>
      </c>
      <c r="AC185" s="1475">
        <f>AC184/X184-1</f>
        <v/>
      </c>
      <c r="AD185" s="1476" t="n"/>
      <c r="AE185" s="1476" t="n"/>
      <c r="AF185" s="1476" t="n"/>
      <c r="AG185" s="1476">
        <f>AG184/AB184-1</f>
        <v/>
      </c>
      <c r="AH185" s="1475">
        <f>AH184/AC184-1</f>
        <v/>
      </c>
      <c r="AI185" s="1476" t="n"/>
      <c r="AJ185" s="1476" t="n"/>
      <c r="AK185" s="1527">
        <f>AK184/AF184-1</f>
        <v/>
      </c>
      <c r="AL185" s="1476" t="n"/>
      <c r="AM185" s="1475" t="n"/>
      <c r="AN185" s="1476" t="n"/>
      <c r="AO185" s="1476" t="n"/>
      <c r="AP185" s="1476" t="n"/>
      <c r="AQ185" s="1476" t="n"/>
      <c r="AR185" s="1475" t="n"/>
      <c r="AS185" s="1475" t="n"/>
      <c r="AT185" s="1475" t="n"/>
      <c r="AU185" s="1475" t="n"/>
      <c r="AV185" s="1437" t="n"/>
    </row>
    <row r="186" hidden="1" outlineLevel="2" ht="14.4" customFormat="1" customHeight="1" s="1432">
      <c r="A186" s="1649" t="inlineStr">
        <is>
          <t>LTM Free Cash Flow margin, %</t>
        </is>
      </c>
      <c r="B186" s="1650" t="n"/>
      <c r="C186" s="1651" t="n"/>
      <c r="D186" s="1651" t="n"/>
      <c r="E186" s="1651" t="n"/>
      <c r="F186" s="1651" t="n"/>
      <c r="G186" s="1651" t="n"/>
      <c r="H186" s="1651" t="n"/>
      <c r="I186" s="1651" t="n"/>
      <c r="J186" s="1651" t="n"/>
      <c r="K186" s="1651" t="n"/>
      <c r="L186" s="1651" t="n"/>
      <c r="M186" s="1651" t="n"/>
      <c r="N186" s="1651" t="n"/>
      <c r="O186" s="1652" t="n"/>
      <c r="P186" s="1652" t="n"/>
      <c r="Q186" s="1652" t="n"/>
      <c r="R186" s="1652" t="n"/>
      <c r="S186" s="1651" t="n"/>
      <c r="T186" s="1652" t="n"/>
      <c r="U186" s="1652" t="n"/>
      <c r="V186" s="1652" t="n"/>
      <c r="W186" s="1652">
        <f>W183/W184</f>
        <v/>
      </c>
      <c r="X186" s="1651">
        <f>X183/X184</f>
        <v/>
      </c>
      <c r="Y186" s="1652" t="n"/>
      <c r="Z186" s="1652" t="n"/>
      <c r="AA186" s="1652" t="n"/>
      <c r="AB186" s="1652">
        <f>AB183/AB184</f>
        <v/>
      </c>
      <c r="AC186" s="1651">
        <f>AC183/AC184</f>
        <v/>
      </c>
      <c r="AD186" s="1652" t="n"/>
      <c r="AE186" s="1652" t="n"/>
      <c r="AF186" s="1652">
        <f>AF183/AF184</f>
        <v/>
      </c>
      <c r="AG186" s="1652">
        <f>AG183/AG184</f>
        <v/>
      </c>
      <c r="AH186" s="1651">
        <f>AH183/AH184</f>
        <v/>
      </c>
      <c r="AI186" s="1652" t="n"/>
      <c r="AJ186" s="1652">
        <f>AJ183/AJ184</f>
        <v/>
      </c>
      <c r="AK186" s="1653">
        <f>AK183/AK184</f>
        <v/>
      </c>
      <c r="AL186" s="1652" t="n"/>
      <c r="AM186" s="1651" t="n"/>
      <c r="AN186" s="1652" t="n"/>
      <c r="AO186" s="1652" t="n"/>
      <c r="AP186" s="1652" t="n"/>
      <c r="AQ186" s="1652" t="n"/>
      <c r="AR186" s="1651" t="n"/>
      <c r="AS186" s="1651" t="n"/>
      <c r="AT186" s="1651" t="n"/>
      <c r="AU186" s="1651" t="n"/>
      <c r="AV186" s="1437" t="n"/>
    </row>
    <row r="187" hidden="1" outlineLevel="1" collapsed="1" ht="14.4" customFormat="1" customHeight="1" s="651">
      <c r="A187" s="646" t="inlineStr">
        <is>
          <t>The Rule of 40</t>
        </is>
      </c>
      <c r="B187" s="647" t="n"/>
      <c r="C187" s="1293" t="n"/>
      <c r="D187" s="1293" t="n"/>
      <c r="E187" s="1293" t="n"/>
      <c r="F187" s="1293" t="n"/>
      <c r="G187" s="1293" t="n"/>
      <c r="H187" s="1293" t="n"/>
      <c r="I187" s="1293" t="n"/>
      <c r="J187" s="1293" t="n"/>
      <c r="K187" s="1293" t="n"/>
      <c r="L187" s="1293" t="n"/>
      <c r="M187" s="1293" t="n"/>
      <c r="N187" s="1293" t="n"/>
      <c r="O187" s="723" t="n"/>
      <c r="P187" s="723" t="n"/>
      <c r="Q187" s="723" t="n"/>
      <c r="R187" s="723" t="n"/>
      <c r="S187" s="1293" t="n"/>
      <c r="T187" s="723" t="n"/>
      <c r="U187" s="723" t="n"/>
      <c r="V187" s="723" t="n"/>
      <c r="W187" s="723" t="n"/>
      <c r="X187" s="1293" t="n"/>
      <c r="Y187" s="723" t="n"/>
      <c r="Z187" s="723" t="n"/>
      <c r="AA187" s="723" t="n"/>
      <c r="AB187" s="723">
        <f>AB185+AB186</f>
        <v/>
      </c>
      <c r="AC187" s="1293">
        <f>AC185+AC186</f>
        <v/>
      </c>
      <c r="AD187" s="723" t="n"/>
      <c r="AE187" s="723" t="n"/>
      <c r="AF187" s="723" t="n"/>
      <c r="AG187" s="723">
        <f>AG185+AG186</f>
        <v/>
      </c>
      <c r="AH187" s="1293">
        <f>AH185+AH186</f>
        <v/>
      </c>
      <c r="AI187" s="723" t="n"/>
      <c r="AJ187" s="723" t="n"/>
      <c r="AK187" s="832">
        <f>AK185+AK186</f>
        <v/>
      </c>
      <c r="AL187" s="723" t="n"/>
      <c r="AM187" s="1293" t="n"/>
      <c r="AN187" s="723" t="n"/>
      <c r="AO187" s="723" t="n"/>
      <c r="AP187" s="723" t="n"/>
      <c r="AQ187" s="723" t="n"/>
      <c r="AR187" s="1293" t="n"/>
      <c r="AS187" s="1293" t="n"/>
      <c r="AT187" s="1293" t="n"/>
      <c r="AU187" s="1293" t="n"/>
      <c r="AV187" s="650" t="n"/>
    </row>
    <row r="188" hidden="1" outlineLevel="1" ht="14.4" customFormat="1" customHeight="1" s="1418">
      <c r="A188" s="1489" t="n"/>
      <c r="B188" s="1468" t="n"/>
      <c r="C188" s="1469" t="n"/>
      <c r="D188" s="1469" t="n"/>
      <c r="E188" s="1469" t="n"/>
      <c r="F188" s="1469" t="n"/>
      <c r="G188" s="1469" t="n"/>
      <c r="H188" s="1469" t="n"/>
      <c r="I188" s="1469" t="n"/>
      <c r="J188" s="1469" t="n"/>
      <c r="K188" s="1469" t="n"/>
      <c r="L188" s="1469" t="n"/>
      <c r="M188" s="1469" t="n"/>
      <c r="N188" s="1469" t="n"/>
      <c r="O188" s="1470" t="n"/>
      <c r="P188" s="1470" t="n"/>
      <c r="Q188" s="1470" t="n"/>
      <c r="R188" s="1470" t="n"/>
      <c r="S188" s="1469" t="n"/>
      <c r="T188" s="1470" t="n"/>
      <c r="U188" s="1470" t="n"/>
      <c r="V188" s="1470" t="n"/>
      <c r="W188" s="1470" t="n"/>
      <c r="X188" s="1469" t="n"/>
      <c r="Y188" s="1470" t="n"/>
      <c r="Z188" s="1470" t="n"/>
      <c r="AA188" s="1470" t="n"/>
      <c r="AB188" s="1470" t="n"/>
      <c r="AC188" s="1469" t="n"/>
      <c r="AD188" s="1470" t="n"/>
      <c r="AE188" s="1470" t="n"/>
      <c r="AF188" s="1470" t="n"/>
      <c r="AG188" s="1470" t="n"/>
      <c r="AH188" s="1469" t="n"/>
      <c r="AI188" s="1470" t="n"/>
      <c r="AJ188" s="1470" t="n"/>
      <c r="AK188" s="1471" t="n"/>
      <c r="AL188" s="1470" t="n"/>
      <c r="AM188" s="1469" t="n"/>
      <c r="AN188" s="1470" t="n"/>
      <c r="AO188" s="1470" t="n"/>
      <c r="AP188" s="1470" t="n"/>
      <c r="AQ188" s="1470" t="n"/>
      <c r="AR188" s="1469" t="n"/>
      <c r="AS188" s="1469" t="n"/>
      <c r="AT188" s="1469" t="n"/>
      <c r="AU188" s="1469" t="n"/>
      <c r="AV188" s="1422" t="n"/>
    </row>
    <row r="189" hidden="1" outlineLevel="1" ht="14.4" customFormat="1" customHeight="1" s="1641">
      <c r="A189" s="1654" t="inlineStr">
        <is>
          <t>Contribution margin, %</t>
        </is>
      </c>
      <c r="B189" s="1655" t="n"/>
      <c r="C189" s="1656" t="n"/>
      <c r="D189" s="1656" t="n"/>
      <c r="E189" s="1656" t="n"/>
      <c r="F189" s="1656" t="n"/>
      <c r="G189" s="1656" t="n"/>
      <c r="H189" s="1656" t="n"/>
      <c r="I189" s="1656" t="n"/>
      <c r="J189" s="1656" t="n"/>
      <c r="K189" s="1656" t="n"/>
      <c r="L189" s="1656" t="n"/>
      <c r="M189" s="1656" t="n"/>
      <c r="N189" s="1656" t="n"/>
      <c r="O189" s="1657" t="n"/>
      <c r="P189" s="1657" t="n"/>
      <c r="Q189" s="1657" t="n"/>
      <c r="R189" s="1657" t="n"/>
      <c r="S189" s="1656" t="n"/>
      <c r="T189" s="1657" t="n"/>
      <c r="U189" s="1657" t="n"/>
      <c r="V189" s="1657" t="n"/>
      <c r="W189" s="1657" t="n"/>
      <c r="X189" s="1656">
        <f>X269-X272</f>
        <v/>
      </c>
      <c r="Y189" s="1657" t="n"/>
      <c r="Z189" s="1657" t="n"/>
      <c r="AA189" s="1657">
        <f>AA269-AA272</f>
        <v/>
      </c>
      <c r="AB189" s="1657">
        <f>AB269-AB272</f>
        <v/>
      </c>
      <c r="AC189" s="1656">
        <f>AC269-AC272</f>
        <v/>
      </c>
      <c r="AD189" s="1657">
        <f>AD269-AD272</f>
        <v/>
      </c>
      <c r="AE189" s="1657">
        <f>AE269-AE272</f>
        <v/>
      </c>
      <c r="AF189" s="1657">
        <f>AF269-AF272</f>
        <v/>
      </c>
      <c r="AG189" s="1657">
        <f>AG269-AG272</f>
        <v/>
      </c>
      <c r="AH189" s="1656">
        <f>AH269-AH272</f>
        <v/>
      </c>
      <c r="AI189" s="1657">
        <f>AI269-AI272</f>
        <v/>
      </c>
      <c r="AJ189" s="1657">
        <f>AJ269-AJ272</f>
        <v/>
      </c>
      <c r="AK189" s="1658">
        <f>AK269-AK272</f>
        <v/>
      </c>
      <c r="AL189" s="1657" t="n"/>
      <c r="AM189" s="1656" t="n"/>
      <c r="AN189" s="1657" t="n"/>
      <c r="AO189" s="1657" t="n"/>
      <c r="AP189" s="1657" t="n"/>
      <c r="AQ189" s="1657" t="n"/>
      <c r="AR189" s="1656" t="n"/>
      <c r="AS189" s="1656" t="n"/>
      <c r="AT189" s="1656" t="n"/>
      <c r="AU189" s="1656" t="n"/>
      <c r="AV189" s="1648" t="n"/>
    </row>
    <row r="190" collapsed="1" ht="14.4" customFormat="1" customHeight="1" s="1418">
      <c r="A190" s="1489" t="n"/>
      <c r="B190" s="1468" t="n"/>
      <c r="C190" s="1469" t="n"/>
      <c r="D190" s="1469" t="n"/>
      <c r="E190" s="1469" t="n"/>
      <c r="F190" s="1469" t="n"/>
      <c r="G190" s="1469" t="n"/>
      <c r="H190" s="1469" t="n"/>
      <c r="I190" s="1469" t="n"/>
      <c r="J190" s="1469" t="n"/>
      <c r="K190" s="1469" t="n"/>
      <c r="L190" s="1469" t="n"/>
      <c r="M190" s="1469" t="n"/>
      <c r="N190" s="1469" t="n"/>
      <c r="O190" s="1470" t="n"/>
      <c r="P190" s="1470" t="n"/>
      <c r="Q190" s="1470" t="n"/>
      <c r="R190" s="1470" t="n"/>
      <c r="S190" s="1469" t="n"/>
      <c r="T190" s="1470" t="n"/>
      <c r="U190" s="1470" t="n"/>
      <c r="V190" s="1470" t="n"/>
      <c r="W190" s="1470" t="n"/>
      <c r="X190" s="1469" t="n"/>
      <c r="Y190" s="1470" t="n"/>
      <c r="Z190" s="1470" t="n"/>
      <c r="AA190" s="1470" t="n"/>
      <c r="AB190" s="1470" t="n"/>
      <c r="AC190" s="1469" t="n"/>
      <c r="AD190" s="1470" t="n"/>
      <c r="AE190" s="1470" t="n"/>
      <c r="AF190" s="1470" t="n"/>
      <c r="AG190" s="1470" t="n"/>
      <c r="AH190" s="1469" t="n"/>
      <c r="AI190" s="1470" t="n"/>
      <c r="AJ190" s="1470" t="n"/>
      <c r="AK190" s="1471" t="n"/>
      <c r="AL190" s="1470" t="n"/>
      <c r="AM190" s="1469" t="n"/>
      <c r="AN190" s="1470" t="n"/>
      <c r="AO190" s="1470" t="n"/>
      <c r="AP190" s="1470" t="n"/>
      <c r="AQ190" s="1470" t="n"/>
      <c r="AR190" s="1469" t="n"/>
      <c r="AS190" s="1469" t="n"/>
      <c r="AT190" s="1469" t="n"/>
      <c r="AU190" s="1469" t="n"/>
      <c r="AV190" s="1422" t="n"/>
    </row>
    <row r="191" ht="14.4" customFormat="1" customHeight="1" s="1418">
      <c r="A191" s="1530" t="inlineStr">
        <is>
          <t>Key Metrics - Assets Obtained through Lease Liability (MD&amp;A)</t>
        </is>
      </c>
      <c r="B191" s="1531" t="n"/>
      <c r="C191" s="1531" t="n"/>
      <c r="D191" s="1531" t="n"/>
      <c r="E191" s="1531" t="n"/>
      <c r="F191" s="1531" t="n"/>
      <c r="G191" s="1531" t="n"/>
      <c r="H191" s="1531" t="n"/>
      <c r="I191" s="1531" t="n"/>
      <c r="J191" s="1531" t="n"/>
      <c r="K191" s="1531" t="n"/>
      <c r="L191" s="1531" t="n"/>
      <c r="M191" s="1531" t="n"/>
      <c r="N191" s="1531" t="n"/>
      <c r="O191" s="1531" t="n"/>
      <c r="P191" s="1531" t="n"/>
      <c r="Q191" s="1531" t="n"/>
      <c r="R191" s="1531" t="n"/>
      <c r="S191" s="1531" t="n"/>
      <c r="T191" s="1531" t="n"/>
      <c r="U191" s="1531" t="n"/>
      <c r="V191" s="1531" t="n"/>
      <c r="W191" s="1531" t="n"/>
      <c r="X191" s="1531" t="n"/>
      <c r="Y191" s="1531" t="n"/>
      <c r="Z191" s="1531" t="n"/>
      <c r="AA191" s="1532" t="n"/>
      <c r="AB191" s="1531" t="n"/>
      <c r="AC191" s="1531" t="n"/>
      <c r="AD191" s="1531" t="n"/>
      <c r="AE191" s="1531" t="n"/>
      <c r="AF191" s="1532" t="n"/>
      <c r="AG191" s="1531" t="n"/>
      <c r="AH191" s="1531" t="n"/>
      <c r="AI191" s="1531" t="n"/>
      <c r="AJ191" s="1531" t="n"/>
      <c r="AK191" s="1659" t="n"/>
      <c r="AL191" s="1531" t="n"/>
      <c r="AM191" s="1531" t="n"/>
      <c r="AN191" s="1531" t="n"/>
      <c r="AO191" s="1531" t="n"/>
      <c r="AP191" s="1531" t="n"/>
      <c r="AQ191" s="1531" t="n"/>
      <c r="AR191" s="1531" t="n"/>
      <c r="AS191" s="1531" t="n"/>
      <c r="AT191" s="1531" t="n"/>
      <c r="AU191" s="1531" t="n"/>
      <c r="AV191" s="1422" t="n"/>
    </row>
    <row r="192" hidden="1" outlineLevel="1" ht="14.4" customFormat="1" customHeight="1" s="1418">
      <c r="A192" s="1489" t="inlineStr">
        <is>
          <t>Cumulative operating lease ROU assets acquired through lease liability, mm</t>
        </is>
      </c>
      <c r="B192" s="1468" t="n"/>
      <c r="C192" s="1469" t="n"/>
      <c r="D192" s="1469" t="n"/>
      <c r="E192" s="1469" t="n"/>
      <c r="F192" s="1469" t="n"/>
      <c r="G192" s="1469" t="n"/>
      <c r="H192" s="1469" t="n"/>
      <c r="I192" s="1469" t="n"/>
      <c r="J192" s="1469" t="n"/>
      <c r="K192" s="1469" t="n"/>
      <c r="L192" s="1469" t="n"/>
      <c r="M192" s="1469" t="n"/>
      <c r="N192" s="1469" t="n"/>
      <c r="O192" s="1470" t="n"/>
      <c r="P192" s="1470" t="n"/>
      <c r="Q192" s="1470" t="n"/>
      <c r="R192" s="1470" t="n"/>
      <c r="S192" s="1469" t="n"/>
      <c r="T192" s="1470" t="n"/>
      <c r="U192" s="1470" t="n"/>
      <c r="V192" s="1470" t="n"/>
      <c r="W192" s="1470" t="n"/>
      <c r="X192" s="1628" t="n">
        <v>1.21</v>
      </c>
      <c r="Y192" s="1470" t="n"/>
      <c r="Z192" s="1470" t="n"/>
      <c r="AA192" s="1470" t="n"/>
      <c r="AB192" s="1470" t="n"/>
      <c r="AC192" s="1628" t="n">
        <v>481.145</v>
      </c>
      <c r="AD192" s="1629" t="n">
        <v>431.838</v>
      </c>
      <c r="AE192" s="1629" t="n">
        <v>887.179</v>
      </c>
      <c r="AF192" s="1629" t="n">
        <v>1368.808</v>
      </c>
      <c r="AG192" s="1470">
        <f>AH192</f>
        <v/>
      </c>
      <c r="AH192" s="1628" t="n">
        <v>2222.257</v>
      </c>
      <c r="AI192" s="1629" t="n">
        <v>535.524</v>
      </c>
      <c r="AJ192" s="1629" t="n">
        <v>968.63</v>
      </c>
      <c r="AK192" s="1630" t="n">
        <v>2323.202</v>
      </c>
      <c r="AL192" s="1470" t="n"/>
      <c r="AM192" s="1469" t="n"/>
      <c r="AN192" s="1470" t="n"/>
      <c r="AO192" s="1470" t="n"/>
      <c r="AP192" s="1470" t="n"/>
      <c r="AQ192" s="1470" t="n"/>
      <c r="AR192" s="1469" t="n"/>
      <c r="AS192" s="1469" t="n"/>
      <c r="AT192" s="1469" t="n"/>
      <c r="AU192" s="1469" t="n"/>
      <c r="AV192" s="1422" t="n"/>
    </row>
    <row r="193" hidden="1" outlineLevel="1" ht="14.4" customFormat="1" customHeight="1" s="1418">
      <c r="A193" s="1489" t="inlineStr">
        <is>
          <t>Operating lease ROU assets acquired through lease liability, mm</t>
        </is>
      </c>
      <c r="B193" s="1468" t="n"/>
      <c r="C193" s="1469" t="n"/>
      <c r="D193" s="1469" t="n"/>
      <c r="E193" s="1469" t="n"/>
      <c r="F193" s="1469" t="n"/>
      <c r="G193" s="1469" t="n"/>
      <c r="H193" s="1469" t="n"/>
      <c r="I193" s="1469" t="n"/>
      <c r="J193" s="1469" t="n"/>
      <c r="K193" s="1469" t="n"/>
      <c r="L193" s="1469" t="n"/>
      <c r="M193" s="1469" t="n"/>
      <c r="N193" s="1469" t="n"/>
      <c r="O193" s="1470" t="n"/>
      <c r="P193" s="1470" t="n"/>
      <c r="Q193" s="1470" t="n"/>
      <c r="R193" s="1470" t="n"/>
      <c r="S193" s="1469" t="n"/>
      <c r="T193" s="1470" t="n"/>
      <c r="U193" s="1470" t="n"/>
      <c r="V193" s="1470" t="n"/>
      <c r="W193" s="1470" t="n"/>
      <c r="X193" s="1469">
        <f>X192</f>
        <v/>
      </c>
      <c r="Y193" s="1470" t="n"/>
      <c r="Z193" s="1470" t="n"/>
      <c r="AA193" s="1470" t="n"/>
      <c r="AB193" s="1470" t="n"/>
      <c r="AC193" s="1469">
        <f>AC192</f>
        <v/>
      </c>
      <c r="AD193" s="1470">
        <f>AD192</f>
        <v/>
      </c>
      <c r="AE193" s="1470">
        <f>AE192-AD192</f>
        <v/>
      </c>
      <c r="AF193" s="1470">
        <f>AF192-AE192</f>
        <v/>
      </c>
      <c r="AG193" s="1470">
        <f>AG192-AF192</f>
        <v/>
      </c>
      <c r="AH193" s="1469">
        <f>AH192</f>
        <v/>
      </c>
      <c r="AI193" s="1470">
        <f>AI192</f>
        <v/>
      </c>
      <c r="AJ193" s="1470">
        <f>AJ192-AI192</f>
        <v/>
      </c>
      <c r="AK193" s="1471">
        <f>AK192-AJ192</f>
        <v/>
      </c>
      <c r="AL193" s="1470" t="n"/>
      <c r="AM193" s="1469" t="n"/>
      <c r="AN193" s="1470" t="n"/>
      <c r="AO193" s="1470" t="n"/>
      <c r="AP193" s="1470" t="n"/>
      <c r="AQ193" s="1470" t="n"/>
      <c r="AR193" s="1469" t="n"/>
      <c r="AS193" s="1469" t="n"/>
      <c r="AT193" s="1469" t="n"/>
      <c r="AU193" s="1469" t="n"/>
      <c r="AV193" s="1422" t="n"/>
    </row>
    <row r="194" hidden="1" outlineLevel="1" ht="14.4" customFormat="1" customHeight="1" s="1418">
      <c r="A194" s="1489" t="n"/>
      <c r="B194" s="1468" t="n"/>
      <c r="C194" s="1469" t="n"/>
      <c r="D194" s="1469" t="n"/>
      <c r="E194" s="1469" t="n"/>
      <c r="F194" s="1469" t="n"/>
      <c r="G194" s="1469" t="n"/>
      <c r="H194" s="1469" t="n"/>
      <c r="I194" s="1469" t="n"/>
      <c r="J194" s="1469" t="n"/>
      <c r="K194" s="1469" t="n"/>
      <c r="L194" s="1469" t="n"/>
      <c r="M194" s="1469" t="n"/>
      <c r="N194" s="1469" t="n"/>
      <c r="O194" s="1470" t="n"/>
      <c r="P194" s="1470" t="n"/>
      <c r="Q194" s="1470" t="n"/>
      <c r="R194" s="1470" t="n"/>
      <c r="S194" s="1469" t="n"/>
      <c r="T194" s="1470" t="n"/>
      <c r="U194" s="1470" t="n"/>
      <c r="V194" s="1470" t="n"/>
      <c r="W194" s="1470" t="n"/>
      <c r="X194" s="1469" t="n"/>
      <c r="Y194" s="1470" t="n"/>
      <c r="Z194" s="1470" t="n"/>
      <c r="AA194" s="1470" t="n"/>
      <c r="AB194" s="1470" t="n"/>
      <c r="AC194" s="1469" t="n"/>
      <c r="AD194" s="1470" t="n"/>
      <c r="AE194" s="1470" t="n"/>
      <c r="AF194" s="1470" t="n"/>
      <c r="AG194" s="1470" t="n"/>
      <c r="AH194" s="1469" t="n"/>
      <c r="AI194" s="1470" t="n"/>
      <c r="AJ194" s="1470" t="n"/>
      <c r="AK194" s="1471" t="n"/>
      <c r="AL194" s="1470" t="n"/>
      <c r="AM194" s="1469" t="n"/>
      <c r="AN194" s="1470" t="n"/>
      <c r="AO194" s="1470" t="n"/>
      <c r="AP194" s="1470" t="n"/>
      <c r="AQ194" s="1470" t="n"/>
      <c r="AR194" s="1469" t="n"/>
      <c r="AS194" s="1469" t="n"/>
      <c r="AT194" s="1469" t="n"/>
      <c r="AU194" s="1469" t="n"/>
      <c r="AV194" s="1422" t="n"/>
    </row>
    <row r="195" hidden="1" outlineLevel="1" ht="14.4" customFormat="1" customHeight="1" s="1418">
      <c r="A195" s="1489" t="inlineStr">
        <is>
          <t>Finance lease ROU assets acquired through lease liability, mm</t>
        </is>
      </c>
      <c r="B195" s="1468" t="n"/>
      <c r="C195" s="1469" t="n"/>
      <c r="D195" s="1469" t="n"/>
      <c r="E195" s="1469" t="n"/>
      <c r="F195" s="1469" t="n"/>
      <c r="G195" s="1469" t="n"/>
      <c r="H195" s="1469" t="n"/>
      <c r="I195" s="1469" t="n"/>
      <c r="J195" s="1469" t="n"/>
      <c r="K195" s="1469" t="n"/>
      <c r="L195" s="1469" t="n"/>
      <c r="M195" s="1469" t="n"/>
      <c r="N195" s="1469" t="n"/>
      <c r="O195" s="1470" t="n"/>
      <c r="P195" s="1470" t="n"/>
      <c r="Q195" s="1470" t="n"/>
      <c r="R195" s="1470" t="n"/>
      <c r="S195" s="1469" t="n"/>
      <c r="T195" s="1470" t="n"/>
      <c r="U195" s="1470" t="n"/>
      <c r="V195" s="1470" t="n"/>
      <c r="W195" s="1470" t="n"/>
      <c r="X195" s="1628" t="n">
        <v>14.622</v>
      </c>
      <c r="Y195" s="1470" t="n"/>
      <c r="Z195" s="1470" t="n"/>
      <c r="AA195" s="1470" t="n"/>
      <c r="AB195" s="1470" t="n"/>
      <c r="AC195" s="1628" t="n">
        <v>0</v>
      </c>
      <c r="AD195" s="1470" t="n"/>
      <c r="AE195" s="1470" t="n"/>
      <c r="AF195" s="1470" t="n"/>
      <c r="AG195" s="1470" t="n"/>
      <c r="AH195" s="1628" t="n">
        <v>141.916</v>
      </c>
      <c r="AI195" s="1470" t="n"/>
      <c r="AJ195" s="1470" t="n"/>
      <c r="AK195" s="1471" t="n"/>
      <c r="AL195" s="1470" t="n"/>
      <c r="AM195" s="1469" t="n"/>
      <c r="AN195" s="1470" t="n"/>
      <c r="AO195" s="1470" t="n"/>
      <c r="AP195" s="1470" t="n"/>
      <c r="AQ195" s="1470" t="n"/>
      <c r="AR195" s="1469" t="n"/>
      <c r="AS195" s="1469" t="n"/>
      <c r="AT195" s="1469" t="n"/>
      <c r="AU195" s="1469" t="n"/>
      <c r="AV195" s="1422" t="n"/>
    </row>
    <row r="196" collapsed="1" ht="14.4" customFormat="1" customHeight="1" s="1418">
      <c r="A196" s="1489" t="n"/>
      <c r="B196" s="1468" t="n"/>
      <c r="C196" s="1469" t="n"/>
      <c r="D196" s="1469" t="n"/>
      <c r="E196" s="1469" t="n"/>
      <c r="F196" s="1469" t="n"/>
      <c r="G196" s="1469" t="n"/>
      <c r="H196" s="1469" t="n"/>
      <c r="I196" s="1469" t="n"/>
      <c r="J196" s="1469" t="n"/>
      <c r="K196" s="1469" t="n"/>
      <c r="L196" s="1469" t="n"/>
      <c r="M196" s="1469" t="n"/>
      <c r="N196" s="1469" t="n"/>
      <c r="O196" s="1470" t="n"/>
      <c r="P196" s="1470" t="n"/>
      <c r="Q196" s="1470" t="n"/>
      <c r="R196" s="1470" t="n"/>
      <c r="S196" s="1469" t="n"/>
      <c r="T196" s="1470" t="n"/>
      <c r="U196" s="1470" t="n"/>
      <c r="V196" s="1470" t="n"/>
      <c r="W196" s="1470" t="n"/>
      <c r="X196" s="1469" t="n"/>
      <c r="Y196" s="1470" t="n"/>
      <c r="Z196" s="1470" t="n"/>
      <c r="AA196" s="1470" t="n"/>
      <c r="AB196" s="1470" t="n"/>
      <c r="AC196" s="1469" t="n"/>
      <c r="AD196" s="1470" t="n"/>
      <c r="AE196" s="1470" t="n"/>
      <c r="AF196" s="1470" t="n"/>
      <c r="AG196" s="1470" t="n"/>
      <c r="AH196" s="1469" t="n"/>
      <c r="AI196" s="1470" t="n"/>
      <c r="AJ196" s="1470" t="n"/>
      <c r="AK196" s="1471" t="n"/>
      <c r="AL196" s="1470" t="n"/>
      <c r="AM196" s="1469" t="n"/>
      <c r="AN196" s="1470" t="n"/>
      <c r="AO196" s="1470" t="n"/>
      <c r="AP196" s="1470" t="n"/>
      <c r="AQ196" s="1470" t="n"/>
      <c r="AR196" s="1469" t="n"/>
      <c r="AS196" s="1469" t="n"/>
      <c r="AT196" s="1469" t="n"/>
      <c r="AU196" s="1469" t="n"/>
      <c r="AV196" s="1422" t="n"/>
    </row>
    <row r="197" ht="14.4" customFormat="1" customHeight="1" s="1418">
      <c r="A197" s="1530" t="inlineStr">
        <is>
          <t>Key Metrics - Future Operating Lease Payments (MD&amp;A)</t>
        </is>
      </c>
      <c r="B197" s="1531" t="n"/>
      <c r="C197" s="1531" t="n"/>
      <c r="D197" s="1531" t="n"/>
      <c r="E197" s="1531" t="n"/>
      <c r="F197" s="1531" t="n"/>
      <c r="G197" s="1531" t="n"/>
      <c r="H197" s="1531" t="n"/>
      <c r="I197" s="1531" t="n"/>
      <c r="J197" s="1531" t="n"/>
      <c r="K197" s="1531" t="n"/>
      <c r="L197" s="1531" t="n"/>
      <c r="M197" s="1531" t="n"/>
      <c r="N197" s="1531" t="n"/>
      <c r="O197" s="1531" t="n"/>
      <c r="P197" s="1531" t="n"/>
      <c r="Q197" s="1531" t="n"/>
      <c r="R197" s="1531" t="n"/>
      <c r="S197" s="1531" t="n"/>
      <c r="T197" s="1531" t="n"/>
      <c r="U197" s="1531" t="n"/>
      <c r="V197" s="1531" t="n"/>
      <c r="W197" s="1531" t="n"/>
      <c r="X197" s="1531" t="n"/>
      <c r="Y197" s="1531" t="n"/>
      <c r="Z197" s="1531" t="n"/>
      <c r="AA197" s="1532" t="n"/>
      <c r="AB197" s="1531" t="n"/>
      <c r="AC197" s="1531" t="n"/>
      <c r="AD197" s="1531" t="n"/>
      <c r="AE197" s="1531" t="n"/>
      <c r="AF197" s="1532" t="n"/>
      <c r="AG197" s="1531" t="n"/>
      <c r="AH197" s="1531" t="n"/>
      <c r="AI197" s="1531" t="n"/>
      <c r="AJ197" s="1531" t="n"/>
      <c r="AK197" s="1659" t="n"/>
      <c r="AL197" s="1531" t="n"/>
      <c r="AM197" s="1531" t="n"/>
      <c r="AN197" s="1531" t="n"/>
      <c r="AO197" s="1531" t="n"/>
      <c r="AP197" s="1531" t="n"/>
      <c r="AQ197" s="1531" t="n"/>
      <c r="AR197" s="1531" t="n"/>
      <c r="AS197" s="1531" t="n"/>
      <c r="AT197" s="1531" t="n"/>
      <c r="AU197" s="1531" t="n"/>
      <c r="AV197" s="1422" t="n"/>
    </row>
    <row r="198" hidden="1" outlineLevel="1" ht="14.4" customFormat="1" customHeight="1" s="1418">
      <c r="A198" s="1467" t="inlineStr">
        <is>
          <t>Undiscounted operating lease payments - remaining portion of current year, mm</t>
        </is>
      </c>
      <c r="B198" s="1468" t="n"/>
      <c r="C198" s="1469" t="n"/>
      <c r="D198" s="1469" t="n"/>
      <c r="E198" s="1469" t="n"/>
      <c r="F198" s="1469" t="n"/>
      <c r="G198" s="1469" t="n"/>
      <c r="H198" s="1469" t="n"/>
      <c r="I198" s="1469" t="n"/>
      <c r="J198" s="1469" t="n"/>
      <c r="K198" s="1469" t="n"/>
      <c r="L198" s="1469" t="n"/>
      <c r="M198" s="1469" t="n"/>
      <c r="N198" s="1469" t="n"/>
      <c r="O198" s="1470" t="n"/>
      <c r="P198" s="1470" t="n"/>
      <c r="Q198" s="1470" t="n"/>
      <c r="R198" s="1470" t="n"/>
      <c r="S198" s="1469" t="n"/>
      <c r="T198" s="1470" t="n"/>
      <c r="U198" s="1470" t="n"/>
      <c r="V198" s="1470" t="n"/>
      <c r="W198" s="1470" t="n"/>
      <c r="X198" s="1469" t="n"/>
      <c r="Y198" s="1470" t="n"/>
      <c r="Z198" s="1470" t="n"/>
      <c r="AA198" s="1470" t="n"/>
      <c r="AB198" s="1470" t="n"/>
      <c r="AC198" s="1469" t="n"/>
      <c r="AD198" s="1470" t="n"/>
      <c r="AE198" s="1470" t="n"/>
      <c r="AF198" s="1629" t="n">
        <v>90.47499999999999</v>
      </c>
      <c r="AG198" s="1470" t="n"/>
      <c r="AH198" s="1469" t="n"/>
      <c r="AI198" s="1629" t="n">
        <v>448.861</v>
      </c>
      <c r="AJ198" s="1629" t="n">
        <v>336.597</v>
      </c>
      <c r="AK198" s="1630" t="n">
        <v>208.724</v>
      </c>
      <c r="AL198" s="1470" t="n"/>
      <c r="AM198" s="1469" t="n"/>
      <c r="AN198" s="1470" t="n"/>
      <c r="AO198" s="1470" t="n"/>
      <c r="AP198" s="1470" t="n"/>
      <c r="AQ198" s="1470" t="n"/>
      <c r="AR198" s="1469" t="n"/>
      <c r="AS198" s="1469" t="n"/>
      <c r="AT198" s="1469" t="n"/>
      <c r="AU198" s="1469" t="n"/>
      <c r="AV198" s="1422" t="n"/>
    </row>
    <row r="199" hidden="1" outlineLevel="1" ht="14.4" customFormat="1" customHeight="1" s="1418">
      <c r="A199" s="1467" t="inlineStr">
        <is>
          <t>Undiscounted operating lease payments - year 1, mm</t>
        </is>
      </c>
      <c r="B199" s="1468" t="n"/>
      <c r="C199" s="1469" t="n"/>
      <c r="D199" s="1469" t="n"/>
      <c r="E199" s="1469" t="n"/>
      <c r="F199" s="1469" t="n"/>
      <c r="G199" s="1469" t="n"/>
      <c r="H199" s="1469" t="n"/>
      <c r="I199" s="1469" t="n"/>
      <c r="J199" s="1469" t="n"/>
      <c r="K199" s="1469" t="n"/>
      <c r="L199" s="1469" t="n"/>
      <c r="M199" s="1469" t="n"/>
      <c r="N199" s="1469" t="n"/>
      <c r="O199" s="1470" t="n"/>
      <c r="P199" s="1470" t="n"/>
      <c r="Q199" s="1470" t="n"/>
      <c r="R199" s="1470" t="n"/>
      <c r="S199" s="1469" t="n"/>
      <c r="T199" s="1470" t="n"/>
      <c r="U199" s="1470" t="n"/>
      <c r="V199" s="1470" t="n"/>
      <c r="W199" s="1470" t="n"/>
      <c r="X199" s="1469" t="n"/>
      <c r="Y199" s="1470" t="n"/>
      <c r="Z199" s="1470" t="n"/>
      <c r="AA199" s="1470" t="n"/>
      <c r="AB199" s="1470">
        <f>AC199</f>
        <v/>
      </c>
      <c r="AC199" s="1628" t="n">
        <v>93.238</v>
      </c>
      <c r="AD199" s="1470" t="n"/>
      <c r="AE199" s="1470" t="n"/>
      <c r="AF199" s="1629" t="n">
        <v>367.648</v>
      </c>
      <c r="AG199" s="1470">
        <f>AH199</f>
        <v/>
      </c>
      <c r="AH199" s="1628" t="n">
        <v>507.855</v>
      </c>
      <c r="AI199" s="1629" t="n">
        <v>617.026</v>
      </c>
      <c r="AJ199" s="1629" t="n">
        <v>683.723</v>
      </c>
      <c r="AK199" s="1630" t="n">
        <v>845.764</v>
      </c>
      <c r="AL199" s="1470" t="n"/>
      <c r="AM199" s="1469" t="n"/>
      <c r="AN199" s="1470" t="n"/>
      <c r="AO199" s="1470" t="n"/>
      <c r="AP199" s="1470" t="n"/>
      <c r="AQ199" s="1470" t="n"/>
      <c r="AR199" s="1469" t="n"/>
      <c r="AS199" s="1469" t="n"/>
      <c r="AT199" s="1469" t="n"/>
      <c r="AU199" s="1469" t="n"/>
      <c r="AV199" s="1422" t="n"/>
    </row>
    <row r="200" hidden="1" outlineLevel="1" ht="14.4" customFormat="1" customHeight="1" s="1418">
      <c r="A200" s="1467" t="inlineStr">
        <is>
          <t>Undiscounted operating lease payments - year 2, mm</t>
        </is>
      </c>
      <c r="B200" s="1468" t="n"/>
      <c r="C200" s="1469" t="n"/>
      <c r="D200" s="1469" t="n"/>
      <c r="E200" s="1469" t="n"/>
      <c r="F200" s="1469" t="n"/>
      <c r="G200" s="1469" t="n"/>
      <c r="H200" s="1469" t="n"/>
      <c r="I200" s="1469" t="n"/>
      <c r="J200" s="1469" t="n"/>
      <c r="K200" s="1469" t="n"/>
      <c r="L200" s="1469" t="n"/>
      <c r="M200" s="1469" t="n"/>
      <c r="N200" s="1469" t="n"/>
      <c r="O200" s="1470" t="n"/>
      <c r="P200" s="1470" t="n"/>
      <c r="Q200" s="1470" t="n"/>
      <c r="R200" s="1470" t="n"/>
      <c r="S200" s="1469" t="n"/>
      <c r="T200" s="1470" t="n"/>
      <c r="U200" s="1470" t="n"/>
      <c r="V200" s="1470" t="n"/>
      <c r="W200" s="1470" t="n"/>
      <c r="X200" s="1469" t="n"/>
      <c r="Y200" s="1470" t="n"/>
      <c r="Z200" s="1470" t="n"/>
      <c r="AA200" s="1470" t="n"/>
      <c r="AB200" s="1470">
        <f>AC200</f>
        <v/>
      </c>
      <c r="AC200" s="1628" t="n">
        <v>95.905</v>
      </c>
      <c r="AD200" s="1470" t="n"/>
      <c r="AE200" s="1470" t="n"/>
      <c r="AF200" s="1629" t="n">
        <v>376.833</v>
      </c>
      <c r="AG200" s="1470">
        <f>AH200</f>
        <v/>
      </c>
      <c r="AH200" s="1628" t="n">
        <v>525.8049999999999</v>
      </c>
      <c r="AI200" s="1629" t="n">
        <v>633.249</v>
      </c>
      <c r="AJ200" s="1629" t="n">
        <v>700.9109999999999</v>
      </c>
      <c r="AK200" s="1630" t="n">
        <v>871.784</v>
      </c>
      <c r="AL200" s="1470" t="n"/>
      <c r="AM200" s="1469" t="n"/>
      <c r="AN200" s="1470" t="n"/>
      <c r="AO200" s="1470" t="n"/>
      <c r="AP200" s="1470" t="n"/>
      <c r="AQ200" s="1470" t="n"/>
      <c r="AR200" s="1469" t="n"/>
      <c r="AS200" s="1469" t="n"/>
      <c r="AT200" s="1469" t="n"/>
      <c r="AU200" s="1469" t="n"/>
      <c r="AV200" s="1422" t="n"/>
    </row>
    <row r="201" hidden="1" outlineLevel="1" ht="14.4" customFormat="1" customHeight="1" s="1418">
      <c r="A201" s="1467" t="inlineStr">
        <is>
          <t>Undiscounted operating lease payments - year 3, mm</t>
        </is>
      </c>
      <c r="B201" s="1468" t="n"/>
      <c r="C201" s="1469" t="n"/>
      <c r="D201" s="1469" t="n"/>
      <c r="E201" s="1469" t="n"/>
      <c r="F201" s="1469" t="n"/>
      <c r="G201" s="1469" t="n"/>
      <c r="H201" s="1469" t="n"/>
      <c r="I201" s="1469" t="n"/>
      <c r="J201" s="1469" t="n"/>
      <c r="K201" s="1469" t="n"/>
      <c r="L201" s="1469" t="n"/>
      <c r="M201" s="1469" t="n"/>
      <c r="N201" s="1469" t="n"/>
      <c r="O201" s="1470" t="n"/>
      <c r="P201" s="1470" t="n"/>
      <c r="Q201" s="1470" t="n"/>
      <c r="R201" s="1470" t="n"/>
      <c r="S201" s="1469" t="n"/>
      <c r="T201" s="1470" t="n"/>
      <c r="U201" s="1470" t="n"/>
      <c r="V201" s="1470" t="n"/>
      <c r="W201" s="1470" t="n"/>
      <c r="X201" s="1469" t="n"/>
      <c r="Y201" s="1470" t="n"/>
      <c r="Z201" s="1470" t="n"/>
      <c r="AA201" s="1470" t="n"/>
      <c r="AB201" s="1470">
        <f>AC201</f>
        <v/>
      </c>
      <c r="AC201" s="1628" t="n">
        <v>97.562</v>
      </c>
      <c r="AD201" s="1470" t="n"/>
      <c r="AE201" s="1470" t="n"/>
      <c r="AF201" s="1629" t="n">
        <v>385.928</v>
      </c>
      <c r="AG201" s="1470">
        <f>AH201</f>
        <v/>
      </c>
      <c r="AH201" s="1628" t="n">
        <v>538.9880000000001</v>
      </c>
      <c r="AI201" s="1629" t="n">
        <v>641.528</v>
      </c>
      <c r="AJ201" s="1629" t="n">
        <v>710.95</v>
      </c>
      <c r="AK201" s="1630" t="n">
        <v>894.792</v>
      </c>
      <c r="AL201" s="1470" t="n"/>
      <c r="AM201" s="1469" t="n"/>
      <c r="AN201" s="1470" t="n"/>
      <c r="AO201" s="1470" t="n"/>
      <c r="AP201" s="1470" t="n"/>
      <c r="AQ201" s="1470" t="n"/>
      <c r="AR201" s="1469" t="n"/>
      <c r="AS201" s="1469" t="n"/>
      <c r="AT201" s="1469" t="n"/>
      <c r="AU201" s="1469" t="n"/>
      <c r="AV201" s="1422" t="n"/>
    </row>
    <row r="202" hidden="1" outlineLevel="1" ht="14.4" customFormat="1" customHeight="1" s="1418">
      <c r="A202" s="1467" t="inlineStr">
        <is>
          <t>Undiscounted operating lease payments - year 4, mm</t>
        </is>
      </c>
      <c r="B202" s="1468" t="n"/>
      <c r="C202" s="1469" t="n"/>
      <c r="D202" s="1469" t="n"/>
      <c r="E202" s="1469" t="n"/>
      <c r="F202" s="1469" t="n"/>
      <c r="G202" s="1469" t="n"/>
      <c r="H202" s="1469" t="n"/>
      <c r="I202" s="1469" t="n"/>
      <c r="J202" s="1469" t="n"/>
      <c r="K202" s="1469" t="n"/>
      <c r="L202" s="1469" t="n"/>
      <c r="M202" s="1469" t="n"/>
      <c r="N202" s="1469" t="n"/>
      <c r="O202" s="1470" t="n"/>
      <c r="P202" s="1470" t="n"/>
      <c r="Q202" s="1470" t="n"/>
      <c r="R202" s="1470" t="n"/>
      <c r="S202" s="1469" t="n"/>
      <c r="T202" s="1470" t="n"/>
      <c r="U202" s="1470" t="n"/>
      <c r="V202" s="1470" t="n"/>
      <c r="W202" s="1470" t="n"/>
      <c r="X202" s="1469" t="n"/>
      <c r="Y202" s="1470" t="n"/>
      <c r="Z202" s="1470" t="n"/>
      <c r="AA202" s="1470" t="n"/>
      <c r="AB202" s="1470">
        <f>AC202</f>
        <v/>
      </c>
      <c r="AC202" s="1628" t="n">
        <v>99.19499999999999</v>
      </c>
      <c r="AD202" s="1470" t="n"/>
      <c r="AE202" s="1470" t="n"/>
      <c r="AF202" s="1629" t="n">
        <v>387.26</v>
      </c>
      <c r="AG202" s="1470">
        <f>AH202</f>
        <v/>
      </c>
      <c r="AH202" s="1628" t="n">
        <v>544.028</v>
      </c>
      <c r="AI202" s="1629" t="n">
        <v>576.211</v>
      </c>
      <c r="AJ202" s="1629" t="n">
        <v>647.554</v>
      </c>
      <c r="AK202" s="1630" t="n">
        <v>835.114</v>
      </c>
      <c r="AL202" s="1470" t="n"/>
      <c r="AM202" s="1469" t="n"/>
      <c r="AN202" s="1470" t="n"/>
      <c r="AO202" s="1470" t="n"/>
      <c r="AP202" s="1470" t="n"/>
      <c r="AQ202" s="1470" t="n"/>
      <c r="AR202" s="1469" t="n"/>
      <c r="AS202" s="1469" t="n"/>
      <c r="AT202" s="1469" t="n"/>
      <c r="AU202" s="1469" t="n"/>
      <c r="AV202" s="1422" t="n"/>
    </row>
    <row r="203" hidden="1" outlineLevel="1" ht="14.4" customFormat="1" customHeight="1" s="1418">
      <c r="A203" s="1467" t="inlineStr">
        <is>
          <t>Undiscounted operating lease payments - year 5, mm</t>
        </is>
      </c>
      <c r="B203" s="1468" t="n"/>
      <c r="C203" s="1469" t="n"/>
      <c r="D203" s="1469" t="n"/>
      <c r="E203" s="1469" t="n"/>
      <c r="F203" s="1469" t="n"/>
      <c r="G203" s="1469" t="n"/>
      <c r="H203" s="1469" t="n"/>
      <c r="I203" s="1469" t="n"/>
      <c r="J203" s="1469" t="n"/>
      <c r="K203" s="1469" t="n"/>
      <c r="L203" s="1469" t="n"/>
      <c r="M203" s="1469" t="n"/>
      <c r="N203" s="1469" t="n"/>
      <c r="O203" s="1470" t="n"/>
      <c r="P203" s="1470" t="n"/>
      <c r="Q203" s="1470" t="n"/>
      <c r="R203" s="1470" t="n"/>
      <c r="S203" s="1469" t="n"/>
      <c r="T203" s="1470" t="n"/>
      <c r="U203" s="1470" t="n"/>
      <c r="V203" s="1470" t="n"/>
      <c r="W203" s="1470" t="n"/>
      <c r="X203" s="1469" t="n"/>
      <c r="Y203" s="1470" t="n"/>
      <c r="Z203" s="1470" t="n"/>
      <c r="AA203" s="1470" t="n"/>
      <c r="AB203" s="1470">
        <f>AC203</f>
        <v/>
      </c>
      <c r="AC203" s="1628" t="n">
        <v>93.27500000000001</v>
      </c>
      <c r="AD203" s="1470" t="n"/>
      <c r="AE203" s="1470" t="n"/>
      <c r="AF203" s="1629" t="n">
        <v>316.809</v>
      </c>
      <c r="AG203" s="1470">
        <f>AH203</f>
        <v/>
      </c>
      <c r="AH203" s="1628" t="n">
        <v>475.67</v>
      </c>
      <c r="AI203" s="1470" t="n"/>
      <c r="AJ203" s="1470" t="n"/>
      <c r="AK203" s="1471" t="n"/>
      <c r="AL203" s="1470" t="n"/>
      <c r="AM203" s="1469" t="n"/>
      <c r="AN203" s="1470" t="n"/>
      <c r="AO203" s="1470" t="n"/>
      <c r="AP203" s="1470" t="n"/>
      <c r="AQ203" s="1470" t="n"/>
      <c r="AR203" s="1469" t="n"/>
      <c r="AS203" s="1469" t="n"/>
      <c r="AT203" s="1469" t="n"/>
      <c r="AU203" s="1469" t="n"/>
      <c r="AV203" s="1422" t="n"/>
    </row>
    <row r="204" hidden="1" outlineLevel="1" ht="14.4" customFormat="1" customHeight="1" s="1418">
      <c r="A204" s="1467" t="inlineStr">
        <is>
          <t>Undiscounted operating lease payments - thereafter, mm</t>
        </is>
      </c>
      <c r="B204" s="1468" t="n"/>
      <c r="C204" s="1469" t="n"/>
      <c r="D204" s="1469" t="n"/>
      <c r="E204" s="1469" t="n"/>
      <c r="F204" s="1469" t="n"/>
      <c r="G204" s="1469" t="n"/>
      <c r="H204" s="1469" t="n"/>
      <c r="I204" s="1469" t="n"/>
      <c r="J204" s="1469" t="n"/>
      <c r="K204" s="1469" t="n"/>
      <c r="L204" s="1469" t="n"/>
      <c r="M204" s="1469" t="n"/>
      <c r="N204" s="1469" t="n"/>
      <c r="O204" s="1470" t="n"/>
      <c r="P204" s="1470" t="n"/>
      <c r="Q204" s="1470" t="n"/>
      <c r="R204" s="1470" t="n"/>
      <c r="S204" s="1469" t="n"/>
      <c r="T204" s="1470" t="n"/>
      <c r="U204" s="1470" t="n"/>
      <c r="V204" s="1470" t="n"/>
      <c r="W204" s="1470" t="n"/>
      <c r="X204" s="1469" t="n"/>
      <c r="Y204" s="1470" t="n"/>
      <c r="Z204" s="1470" t="n"/>
      <c r="AA204" s="1470" t="n"/>
      <c r="AB204" s="1470">
        <f>AC204</f>
        <v/>
      </c>
      <c r="AC204" s="1628" t="n">
        <v>281.563</v>
      </c>
      <c r="AD204" s="1470" t="n"/>
      <c r="AE204" s="1470" t="n"/>
      <c r="AF204" s="1629" t="n">
        <v>1002.974</v>
      </c>
      <c r="AG204" s="1470">
        <f>AH204</f>
        <v/>
      </c>
      <c r="AH204" s="1628" t="n">
        <v>1775.509</v>
      </c>
      <c r="AI204" s="1629" t="n">
        <v>2274.731</v>
      </c>
      <c r="AJ204" s="1629" t="n">
        <v>2620.187</v>
      </c>
      <c r="AK204" s="1630" t="n">
        <v>4027.407</v>
      </c>
      <c r="AL204" s="1470" t="n"/>
      <c r="AM204" s="1469" t="n"/>
      <c r="AN204" s="1470" t="n"/>
      <c r="AO204" s="1470" t="n"/>
      <c r="AP204" s="1470" t="n"/>
      <c r="AQ204" s="1470" t="n"/>
      <c r="AR204" s="1469" t="n"/>
      <c r="AS204" s="1469" t="n"/>
      <c r="AT204" s="1469" t="n"/>
      <c r="AU204" s="1469" t="n"/>
      <c r="AV204" s="1422" t="n"/>
    </row>
    <row r="205" hidden="1" outlineLevel="1" ht="14.4" customFormat="1" customHeight="1" s="1438">
      <c r="A205" s="1568" t="inlineStr">
        <is>
          <t>Total undiscounted operating lease payments, mm</t>
        </is>
      </c>
      <c r="B205" s="1660" t="n"/>
      <c r="C205" s="1661" t="n"/>
      <c r="D205" s="1661" t="n"/>
      <c r="E205" s="1661" t="n"/>
      <c r="F205" s="1661" t="n"/>
      <c r="G205" s="1661" t="n"/>
      <c r="H205" s="1661" t="n"/>
      <c r="I205" s="1661" t="n"/>
      <c r="J205" s="1661" t="n"/>
      <c r="K205" s="1661" t="n"/>
      <c r="L205" s="1661" t="n"/>
      <c r="M205" s="1661" t="n"/>
      <c r="N205" s="1661" t="n"/>
      <c r="O205" s="1662" t="n"/>
      <c r="P205" s="1662" t="n"/>
      <c r="Q205" s="1662" t="n"/>
      <c r="R205" s="1662" t="n"/>
      <c r="S205" s="1661" t="n"/>
      <c r="T205" s="1662" t="n"/>
      <c r="U205" s="1662" t="n"/>
      <c r="V205" s="1662" t="n"/>
      <c r="W205" s="1662" t="n"/>
      <c r="X205" s="1661" t="n"/>
      <c r="Y205" s="1662" t="n"/>
      <c r="Z205" s="1662" t="n"/>
      <c r="AA205" s="1662" t="n"/>
      <c r="AB205" s="1662">
        <f>SUM(AB198:AB204)</f>
        <v/>
      </c>
      <c r="AC205" s="1661">
        <f>SUM(AC198:AC204)</f>
        <v/>
      </c>
      <c r="AD205" s="1662" t="n"/>
      <c r="AE205" s="1662" t="n"/>
      <c r="AF205" s="1662">
        <f>SUM(AF198:AF204)</f>
        <v/>
      </c>
      <c r="AG205" s="1662">
        <f>SUM(AG198:AG204)</f>
        <v/>
      </c>
      <c r="AH205" s="1661">
        <f>SUM(AH198:AH204)</f>
        <v/>
      </c>
      <c r="AI205" s="1662">
        <f>SUM(AI198:AI204)</f>
        <v/>
      </c>
      <c r="AJ205" s="1662">
        <f>SUM(AJ198:AJ204)</f>
        <v/>
      </c>
      <c r="AK205" s="1663">
        <f>SUM(AK198:AK204)</f>
        <v/>
      </c>
      <c r="AL205" s="1662" t="n"/>
      <c r="AM205" s="1661" t="n"/>
      <c r="AN205" s="1662" t="n"/>
      <c r="AO205" s="1662" t="n"/>
      <c r="AP205" s="1662" t="n"/>
      <c r="AQ205" s="1662" t="n"/>
      <c r="AR205" s="1661" t="n"/>
      <c r="AS205" s="1661" t="n"/>
      <c r="AT205" s="1661" t="n"/>
      <c r="AU205" s="1661" t="n"/>
      <c r="AV205" s="1446" t="n"/>
    </row>
    <row r="206" hidden="1" outlineLevel="1" ht="14.4" customFormat="1" customHeight="1" s="1418">
      <c r="A206" s="1467" t="inlineStr">
        <is>
          <t>Less: imputed interest, mm</t>
        </is>
      </c>
      <c r="B206" s="1468" t="n"/>
      <c r="C206" s="1469" t="n"/>
      <c r="D206" s="1469" t="n"/>
      <c r="E206" s="1469" t="n"/>
      <c r="F206" s="1469" t="n"/>
      <c r="G206" s="1469" t="n"/>
      <c r="H206" s="1469" t="n"/>
      <c r="I206" s="1469" t="n"/>
      <c r="J206" s="1469" t="n"/>
      <c r="K206" s="1469" t="n"/>
      <c r="L206" s="1469" t="n"/>
      <c r="M206" s="1469" t="n"/>
      <c r="N206" s="1469" t="n"/>
      <c r="O206" s="1470" t="n"/>
      <c r="P206" s="1470" t="n"/>
      <c r="Q206" s="1470" t="n"/>
      <c r="R206" s="1470" t="n"/>
      <c r="S206" s="1469" t="n"/>
      <c r="T206" s="1470" t="n"/>
      <c r="U206" s="1470" t="n"/>
      <c r="V206" s="1470" t="n"/>
      <c r="W206" s="1470" t="n"/>
      <c r="X206" s="1469" t="n"/>
      <c r="Y206" s="1470" t="n"/>
      <c r="Z206" s="1470" t="n"/>
      <c r="AA206" s="1470" t="n"/>
      <c r="AB206" s="1470">
        <f>AC206</f>
        <v/>
      </c>
      <c r="AC206" s="1628" t="n">
        <v>-288.296</v>
      </c>
      <c r="AD206" s="1470" t="n"/>
      <c r="AE206" s="1470" t="n"/>
      <c r="AF206" s="1629" t="n">
        <v>-1134.096</v>
      </c>
      <c r="AG206" s="1470">
        <f>AH206</f>
        <v/>
      </c>
      <c r="AH206" s="1628" t="n">
        <v>-1765.839</v>
      </c>
      <c r="AI206" s="1629" t="n">
        <v>-2084.219</v>
      </c>
      <c r="AJ206" s="1629" t="n">
        <v>-2252.45</v>
      </c>
      <c r="AK206" s="1630" t="n">
        <v>-2959.244</v>
      </c>
      <c r="AL206" s="1470" t="n"/>
      <c r="AM206" s="1469" t="n"/>
      <c r="AN206" s="1470" t="n"/>
      <c r="AO206" s="1470" t="n"/>
      <c r="AP206" s="1470" t="n"/>
      <c r="AQ206" s="1470" t="n"/>
      <c r="AR206" s="1469" t="n"/>
      <c r="AS206" s="1469" t="n"/>
      <c r="AT206" s="1469" t="n"/>
      <c r="AU206" s="1469" t="n"/>
      <c r="AV206" s="1422" t="n"/>
    </row>
    <row r="207" hidden="1" outlineLevel="1" ht="14.4" customFormat="1" customHeight="1" s="1438">
      <c r="A207" s="1568" t="inlineStr">
        <is>
          <t>Present value of operating lease liabilities, mm</t>
        </is>
      </c>
      <c r="B207" s="1660" t="n"/>
      <c r="C207" s="1661" t="n"/>
      <c r="D207" s="1661" t="n"/>
      <c r="E207" s="1661" t="n"/>
      <c r="F207" s="1661" t="n"/>
      <c r="G207" s="1661" t="n"/>
      <c r="H207" s="1661" t="n"/>
      <c r="I207" s="1661" t="n"/>
      <c r="J207" s="1661" t="n"/>
      <c r="K207" s="1661" t="n"/>
      <c r="L207" s="1661" t="n"/>
      <c r="M207" s="1661" t="n"/>
      <c r="N207" s="1661" t="n"/>
      <c r="O207" s="1662" t="n"/>
      <c r="P207" s="1662" t="n"/>
      <c r="Q207" s="1662" t="n"/>
      <c r="R207" s="1662" t="n"/>
      <c r="S207" s="1661" t="n"/>
      <c r="T207" s="1662" t="n"/>
      <c r="U207" s="1662" t="n"/>
      <c r="V207" s="1662" t="n"/>
      <c r="W207" s="1662" t="n"/>
      <c r="X207" s="1661" t="n"/>
      <c r="Y207" s="1662" t="n"/>
      <c r="Z207" s="1662" t="n"/>
      <c r="AA207" s="1662" t="n"/>
      <c r="AB207" s="1662">
        <f>AB205+AB206</f>
        <v/>
      </c>
      <c r="AC207" s="1661">
        <f>AC205+AC206</f>
        <v/>
      </c>
      <c r="AD207" s="1662" t="n"/>
      <c r="AE207" s="1662" t="n"/>
      <c r="AF207" s="1662">
        <f>AF205+AF206</f>
        <v/>
      </c>
      <c r="AG207" s="1662">
        <f>AG205+AG206</f>
        <v/>
      </c>
      <c r="AH207" s="1661">
        <f>AH205+AH206</f>
        <v/>
      </c>
      <c r="AI207" s="1662">
        <f>AI205+AI206</f>
        <v/>
      </c>
      <c r="AJ207" s="1662">
        <f>AJ205+AJ206</f>
        <v/>
      </c>
      <c r="AK207" s="1663">
        <f>AK205+AK206</f>
        <v/>
      </c>
      <c r="AL207" s="1662" t="n"/>
      <c r="AM207" s="1661" t="n"/>
      <c r="AN207" s="1662" t="n"/>
      <c r="AO207" s="1662" t="n"/>
      <c r="AP207" s="1662" t="n"/>
      <c r="AQ207" s="1662" t="n"/>
      <c r="AR207" s="1661" t="n"/>
      <c r="AS207" s="1661" t="n"/>
      <c r="AT207" s="1661" t="n"/>
      <c r="AU207" s="1661" t="n"/>
      <c r="AV207" s="1446" t="n"/>
    </row>
    <row r="208" hidden="1" outlineLevel="1" ht="14.4" customFormat="1" customHeight="1" s="1418">
      <c r="A208" s="1489" t="n"/>
      <c r="B208" s="1468" t="n"/>
      <c r="C208" s="1469" t="n"/>
      <c r="D208" s="1469" t="n"/>
      <c r="E208" s="1469" t="n"/>
      <c r="F208" s="1469" t="n"/>
      <c r="G208" s="1469" t="n"/>
      <c r="H208" s="1469" t="n"/>
      <c r="I208" s="1469" t="n"/>
      <c r="J208" s="1469" t="n"/>
      <c r="K208" s="1469" t="n"/>
      <c r="L208" s="1469" t="n"/>
      <c r="M208" s="1469" t="n"/>
      <c r="N208" s="1469" t="n"/>
      <c r="O208" s="1470" t="n"/>
      <c r="P208" s="1470" t="n"/>
      <c r="Q208" s="1470" t="n"/>
      <c r="R208" s="1470" t="n"/>
      <c r="S208" s="1469" t="n"/>
      <c r="T208" s="1470" t="n"/>
      <c r="U208" s="1470" t="n"/>
      <c r="V208" s="1470" t="n"/>
      <c r="W208" s="1470" t="n"/>
      <c r="X208" s="1469" t="n"/>
      <c r="Y208" s="1470" t="n"/>
      <c r="Z208" s="1470" t="n"/>
      <c r="AA208" s="1470" t="n"/>
      <c r="AB208" s="1470" t="n"/>
      <c r="AC208" s="1469" t="n"/>
      <c r="AD208" s="1470" t="n"/>
      <c r="AE208" s="1470" t="n"/>
      <c r="AF208" s="1470" t="n"/>
      <c r="AG208" s="1470" t="n"/>
      <c r="AH208" s="1469" t="n"/>
      <c r="AI208" s="1470" t="n"/>
      <c r="AJ208" s="1470" t="n"/>
      <c r="AK208" s="1471" t="n"/>
      <c r="AL208" s="1470" t="n"/>
      <c r="AM208" s="1469" t="n"/>
      <c r="AN208" s="1470" t="n"/>
      <c r="AO208" s="1470" t="n"/>
      <c r="AP208" s="1470" t="n"/>
      <c r="AQ208" s="1470" t="n"/>
      <c r="AR208" s="1469" t="n"/>
      <c r="AS208" s="1469" t="n"/>
      <c r="AT208" s="1469" t="n"/>
      <c r="AU208" s="1469" t="n"/>
      <c r="AV208" s="1422" t="n"/>
    </row>
    <row r="209" hidden="1" outlineLevel="1" ht="14.4" customFormat="1" customHeight="1" s="1418">
      <c r="A209" s="1467" t="inlineStr">
        <is>
          <t>Operating lease liabilities, current, mm</t>
        </is>
      </c>
      <c r="B209" s="1468" t="n"/>
      <c r="C209" s="1469" t="n"/>
      <c r="D209" s="1469" t="n"/>
      <c r="E209" s="1469" t="n"/>
      <c r="F209" s="1469" t="n"/>
      <c r="G209" s="1469" t="n"/>
      <c r="H209" s="1469" t="n"/>
      <c r="I209" s="1469" t="n"/>
      <c r="J209" s="1469" t="n"/>
      <c r="K209" s="1469" t="n"/>
      <c r="L209" s="1469" t="n"/>
      <c r="M209" s="1469" t="n"/>
      <c r="N209" s="1469" t="n"/>
      <c r="O209" s="1470" t="n"/>
      <c r="P209" s="1470" t="n"/>
      <c r="Q209" s="1470" t="n"/>
      <c r="R209" s="1470" t="n"/>
      <c r="S209" s="1469" t="n"/>
      <c r="T209" s="1470" t="n"/>
      <c r="U209" s="1470" t="n"/>
      <c r="V209" s="1470" t="n"/>
      <c r="W209" s="1470" t="n"/>
      <c r="X209" s="1469" t="n"/>
      <c r="Y209" s="1470" t="n"/>
      <c r="Z209" s="1470" t="n"/>
      <c r="AA209" s="1470" t="n"/>
      <c r="AB209" s="1470">
        <f>AB699</f>
        <v/>
      </c>
      <c r="AC209" s="1469">
        <f>AC699</f>
        <v/>
      </c>
      <c r="AD209" s="1470" t="n"/>
      <c r="AE209" s="1470" t="n"/>
      <c r="AF209" s="1470">
        <f>AF699</f>
        <v/>
      </c>
      <c r="AG209" s="1470">
        <f>AG699</f>
        <v/>
      </c>
      <c r="AH209" s="1469">
        <f>AH699</f>
        <v/>
      </c>
      <c r="AI209" s="1470">
        <f>AI699</f>
        <v/>
      </c>
      <c r="AJ209" s="1470">
        <f>AJ699</f>
        <v/>
      </c>
      <c r="AK209" s="1471">
        <f>AK699</f>
        <v/>
      </c>
      <c r="AL209" s="1470" t="n"/>
      <c r="AM209" s="1469" t="n"/>
      <c r="AN209" s="1470" t="n"/>
      <c r="AO209" s="1470" t="n"/>
      <c r="AP209" s="1470" t="n"/>
      <c r="AQ209" s="1470" t="n"/>
      <c r="AR209" s="1469" t="n"/>
      <c r="AS209" s="1469" t="n"/>
      <c r="AT209" s="1469" t="n"/>
      <c r="AU209" s="1469" t="n"/>
      <c r="AV209" s="1422" t="n"/>
    </row>
    <row r="210" hidden="1" outlineLevel="1" ht="14.4" customFormat="1" customHeight="1" s="1418">
      <c r="A210" s="1467" t="inlineStr">
        <is>
          <t>Operating lease liabilities, non-current, mm</t>
        </is>
      </c>
      <c r="B210" s="1468" t="n"/>
      <c r="C210" s="1469" t="n"/>
      <c r="D210" s="1469" t="n"/>
      <c r="E210" s="1469" t="n"/>
      <c r="F210" s="1469" t="n"/>
      <c r="G210" s="1469" t="n"/>
      <c r="H210" s="1469" t="n"/>
      <c r="I210" s="1469" t="n"/>
      <c r="J210" s="1469" t="n"/>
      <c r="K210" s="1469" t="n"/>
      <c r="L210" s="1469" t="n"/>
      <c r="M210" s="1469" t="n"/>
      <c r="N210" s="1469" t="n"/>
      <c r="O210" s="1470" t="n"/>
      <c r="P210" s="1470" t="n"/>
      <c r="Q210" s="1470" t="n"/>
      <c r="R210" s="1470" t="n"/>
      <c r="S210" s="1469" t="n"/>
      <c r="T210" s="1470" t="n"/>
      <c r="U210" s="1470" t="n"/>
      <c r="V210" s="1470" t="n"/>
      <c r="W210" s="1470" t="n"/>
      <c r="X210" s="1469" t="n"/>
      <c r="Y210" s="1470" t="n"/>
      <c r="Z210" s="1470" t="n"/>
      <c r="AA210" s="1470" t="n"/>
      <c r="AB210" s="1470">
        <f>AB708</f>
        <v/>
      </c>
      <c r="AC210" s="1469">
        <f>AC708</f>
        <v/>
      </c>
      <c r="AD210" s="1470" t="n"/>
      <c r="AE210" s="1470" t="n"/>
      <c r="AF210" s="1470">
        <f>AF708</f>
        <v/>
      </c>
      <c r="AG210" s="1470">
        <f>AG708</f>
        <v/>
      </c>
      <c r="AH210" s="1469">
        <f>AH708</f>
        <v/>
      </c>
      <c r="AI210" s="1470">
        <f>AI708</f>
        <v/>
      </c>
      <c r="AJ210" s="1470">
        <f>AJ708</f>
        <v/>
      </c>
      <c r="AK210" s="1471">
        <f>AK708</f>
        <v/>
      </c>
      <c r="AL210" s="1470" t="n"/>
      <c r="AM210" s="1469" t="n"/>
      <c r="AN210" s="1470" t="n"/>
      <c r="AO210" s="1470" t="n"/>
      <c r="AP210" s="1470" t="n"/>
      <c r="AQ210" s="1470" t="n"/>
      <c r="AR210" s="1469" t="n"/>
      <c r="AS210" s="1469" t="n"/>
      <c r="AT210" s="1469" t="n"/>
      <c r="AU210" s="1469" t="n"/>
      <c r="AV210" s="1422" t="n"/>
    </row>
    <row r="211" hidden="1" outlineLevel="1" ht="14.4" customFormat="1" customHeight="1" s="1438">
      <c r="A211" s="1568" t="inlineStr">
        <is>
          <t>Total Operating lease liabilities, mm</t>
        </is>
      </c>
      <c r="B211" s="1660" t="n"/>
      <c r="C211" s="1661" t="n"/>
      <c r="D211" s="1661" t="n"/>
      <c r="E211" s="1661" t="n"/>
      <c r="F211" s="1661" t="n"/>
      <c r="G211" s="1661" t="n"/>
      <c r="H211" s="1661" t="n"/>
      <c r="I211" s="1661" t="n"/>
      <c r="J211" s="1661" t="n"/>
      <c r="K211" s="1661" t="n"/>
      <c r="L211" s="1661" t="n"/>
      <c r="M211" s="1661" t="n"/>
      <c r="N211" s="1661" t="n"/>
      <c r="O211" s="1662" t="n"/>
      <c r="P211" s="1662" t="n"/>
      <c r="Q211" s="1662" t="n"/>
      <c r="R211" s="1662" t="n"/>
      <c r="S211" s="1661" t="n"/>
      <c r="T211" s="1662" t="n"/>
      <c r="U211" s="1662" t="n"/>
      <c r="V211" s="1662" t="n"/>
      <c r="W211" s="1662" t="n"/>
      <c r="X211" s="1661" t="n"/>
      <c r="Y211" s="1662" t="n"/>
      <c r="Z211" s="1662" t="n"/>
      <c r="AA211" s="1662" t="n"/>
      <c r="AB211" s="1662">
        <f>SUM(AB209:AB210)</f>
        <v/>
      </c>
      <c r="AC211" s="1661">
        <f>SUM(AC209:AC210)</f>
        <v/>
      </c>
      <c r="AD211" s="1662" t="n"/>
      <c r="AE211" s="1662" t="n"/>
      <c r="AF211" s="1662">
        <f>SUM(AF209:AF210)</f>
        <v/>
      </c>
      <c r="AG211" s="1662">
        <f>SUM(AG209:AG210)</f>
        <v/>
      </c>
      <c r="AH211" s="1661">
        <f>SUM(AH209:AH210)</f>
        <v/>
      </c>
      <c r="AI211" s="1662">
        <f>SUM(AI209:AI210)</f>
        <v/>
      </c>
      <c r="AJ211" s="1662">
        <f>SUM(AJ209:AJ210)</f>
        <v/>
      </c>
      <c r="AK211" s="1663">
        <f>SUM(AK209:AK210)</f>
        <v/>
      </c>
      <c r="AL211" s="1662" t="n"/>
      <c r="AM211" s="1661" t="n"/>
      <c r="AN211" s="1662" t="n"/>
      <c r="AO211" s="1662" t="n"/>
      <c r="AP211" s="1662" t="n"/>
      <c r="AQ211" s="1662" t="n"/>
      <c r="AR211" s="1661" t="n"/>
      <c r="AS211" s="1661" t="n"/>
      <c r="AT211" s="1661" t="n"/>
      <c r="AU211" s="1661" t="n"/>
      <c r="AV211" s="1446" t="n"/>
    </row>
    <row r="212" collapsed="1" ht="14.4" customFormat="1" customHeight="1" s="1438">
      <c r="A212" s="1513" t="n"/>
      <c r="B212" s="1440" t="n"/>
      <c r="C212" s="1441" t="n"/>
      <c r="D212" s="1441" t="n"/>
      <c r="E212" s="1441" t="n"/>
      <c r="F212" s="1441" t="n"/>
      <c r="G212" s="1441" t="n"/>
      <c r="H212" s="1441" t="n"/>
      <c r="I212" s="1441" t="n"/>
      <c r="J212" s="1441" t="n"/>
      <c r="K212" s="1441" t="n"/>
      <c r="L212" s="1441" t="n"/>
      <c r="M212" s="1441" t="n"/>
      <c r="N212" s="1441" t="n"/>
      <c r="O212" s="1442" t="n"/>
      <c r="P212" s="1442" t="n"/>
      <c r="Q212" s="1442" t="n"/>
      <c r="R212" s="1442" t="n"/>
      <c r="S212" s="1441" t="n"/>
      <c r="T212" s="1442" t="n"/>
      <c r="U212" s="1442" t="n"/>
      <c r="V212" s="1442" t="n"/>
      <c r="W212" s="1442" t="n"/>
      <c r="X212" s="1441" t="n"/>
      <c r="Y212" s="1442" t="n"/>
      <c r="Z212" s="1442" t="n"/>
      <c r="AA212" s="1442" t="n"/>
      <c r="AB212" s="1442" t="n"/>
      <c r="AC212" s="1441" t="n"/>
      <c r="AD212" s="1442" t="n"/>
      <c r="AE212" s="1442" t="n"/>
      <c r="AF212" s="1442" t="n"/>
      <c r="AG212" s="1442" t="n"/>
      <c r="AH212" s="1441" t="n"/>
      <c r="AI212" s="1442" t="n"/>
      <c r="AJ212" s="1442" t="n"/>
      <c r="AK212" s="1514" t="n"/>
      <c r="AL212" s="1442" t="n"/>
      <c r="AM212" s="1441" t="n"/>
      <c r="AN212" s="1442" t="n"/>
      <c r="AO212" s="1442" t="n"/>
      <c r="AP212" s="1442" t="n"/>
      <c r="AQ212" s="1442" t="n"/>
      <c r="AR212" s="1441" t="n"/>
      <c r="AS212" s="1441" t="n"/>
      <c r="AT212" s="1441" t="n"/>
      <c r="AU212" s="1441" t="n"/>
      <c r="AV212" s="1446" t="n"/>
    </row>
    <row r="213" ht="14.4" customFormat="1" customHeight="1" s="1418">
      <c r="A213" s="1530" t="inlineStr">
        <is>
          <t>Key Metrics - Capital expenditures (IP)</t>
        </is>
      </c>
      <c r="B213" s="1531" t="n"/>
      <c r="C213" s="1531" t="n"/>
      <c r="D213" s="1531" t="n"/>
      <c r="E213" s="1531" t="n"/>
      <c r="F213" s="1531" t="n"/>
      <c r="G213" s="1531" t="n"/>
      <c r="H213" s="1531" t="n"/>
      <c r="I213" s="1531" t="n"/>
      <c r="J213" s="1531" t="n"/>
      <c r="K213" s="1531" t="n"/>
      <c r="L213" s="1531" t="n"/>
      <c r="M213" s="1531" t="n"/>
      <c r="N213" s="1531" t="n"/>
      <c r="O213" s="1531" t="n"/>
      <c r="P213" s="1531" t="n"/>
      <c r="Q213" s="1531" t="n"/>
      <c r="R213" s="1531" t="n"/>
      <c r="S213" s="1531" t="n"/>
      <c r="T213" s="1531" t="n"/>
      <c r="U213" s="1531" t="n"/>
      <c r="V213" s="1531" t="n"/>
      <c r="W213" s="1531" t="n"/>
      <c r="X213" s="1531" t="n"/>
      <c r="Y213" s="1531" t="n"/>
      <c r="Z213" s="1531" t="n"/>
      <c r="AA213" s="1532" t="n"/>
      <c r="AB213" s="1531" t="n"/>
      <c r="AC213" s="1531" t="n"/>
      <c r="AD213" s="1531" t="n"/>
      <c r="AE213" s="1531" t="n"/>
      <c r="AF213" s="1532" t="n"/>
      <c r="AG213" s="1531" t="n"/>
      <c r="AH213" s="1531" t="n"/>
      <c r="AI213" s="1531" t="n"/>
      <c r="AJ213" s="1531" t="n"/>
      <c r="AK213" s="1659" t="n"/>
      <c r="AL213" s="1531" t="n"/>
      <c r="AM213" s="1531" t="n"/>
      <c r="AN213" s="1531" t="n"/>
      <c r="AO213" s="1531" t="n"/>
      <c r="AP213" s="1531" t="n"/>
      <c r="AQ213" s="1531" t="n"/>
      <c r="AR213" s="1531" t="n"/>
      <c r="AS213" s="1531" t="n"/>
      <c r="AT213" s="1531" t="n"/>
      <c r="AU213" s="1531" t="n"/>
      <c r="AV213" s="1422" t="n"/>
    </row>
    <row r="214" hidden="1" outlineLevel="1" ht="14.4" customFormat="1" customHeight="1" s="1480">
      <c r="A214" s="1559" t="inlineStr">
        <is>
          <t>Increase in total gross property and equipment, mm</t>
        </is>
      </c>
      <c r="B214" s="1482" t="n"/>
      <c r="C214" s="1483" t="n"/>
      <c r="D214" s="1483" t="n"/>
      <c r="E214" s="1483" t="n"/>
      <c r="F214" s="1483" t="n"/>
      <c r="G214" s="1483" t="n"/>
      <c r="H214" s="1483" t="n"/>
      <c r="I214" s="1483" t="n"/>
      <c r="J214" s="1483" t="n"/>
      <c r="K214" s="1483" t="n"/>
      <c r="L214" s="1483" t="n"/>
      <c r="M214" s="1483" t="n"/>
      <c r="N214" s="1483" t="n"/>
      <c r="O214" s="1484" t="n"/>
      <c r="P214" s="1484" t="n"/>
      <c r="Q214" s="1484" t="n"/>
      <c r="R214" s="1484" t="n"/>
      <c r="S214" s="1483" t="n"/>
      <c r="T214" s="1484" t="n"/>
      <c r="U214" s="1484" t="n"/>
      <c r="V214" s="1484" t="n"/>
      <c r="W214" s="1484" t="n"/>
      <c r="X214" s="1483" t="n"/>
      <c r="Y214" s="1484" t="n"/>
      <c r="Z214" s="1484" t="n"/>
      <c r="AA214" s="1484" t="n"/>
      <c r="AB214" s="1484" t="n"/>
      <c r="AC214" s="1483" t="n"/>
      <c r="AD214" s="1484">
        <f>3785-AE214</f>
        <v/>
      </c>
      <c r="AE214" s="1631" t="n">
        <v>2117</v>
      </c>
      <c r="AF214" s="1631" t="n">
        <v>2343</v>
      </c>
      <c r="AG214" s="1484" t="n"/>
      <c r="AH214" s="1483" t="n"/>
      <c r="AI214" s="1484">
        <f>5705-AJ214</f>
        <v/>
      </c>
      <c r="AJ214" s="1631" t="n">
        <v>2975</v>
      </c>
      <c r="AK214" s="1632" t="n">
        <v>4649</v>
      </c>
      <c r="AL214" s="1484" t="n"/>
      <c r="AM214" s="1483" t="n"/>
      <c r="AN214" s="1484" t="n"/>
      <c r="AO214" s="1484" t="n"/>
      <c r="AP214" s="1484" t="n"/>
      <c r="AQ214" s="1484" t="n"/>
      <c r="AR214" s="1483" t="n"/>
      <c r="AS214" s="1483" t="n"/>
      <c r="AT214" s="1483" t="n"/>
      <c r="AU214" s="1483" t="n"/>
      <c r="AV214" s="1488" t="n"/>
    </row>
    <row r="215" hidden="1" outlineLevel="1" ht="14.4" customFormat="1" customHeight="1" s="1480">
      <c r="A215" s="1664" t="inlineStr">
        <is>
          <t>Less: Change in construction in progress, mm</t>
        </is>
      </c>
      <c r="B215" s="1665" t="n"/>
      <c r="C215" s="1666" t="n"/>
      <c r="D215" s="1666" t="n"/>
      <c r="E215" s="1666" t="n"/>
      <c r="F215" s="1666" t="n"/>
      <c r="G215" s="1666" t="n"/>
      <c r="H215" s="1666" t="n"/>
      <c r="I215" s="1666" t="n"/>
      <c r="J215" s="1666" t="n"/>
      <c r="K215" s="1666" t="n"/>
      <c r="L215" s="1666" t="n"/>
      <c r="M215" s="1666" t="n"/>
      <c r="N215" s="1666" t="n"/>
      <c r="O215" s="1667" t="n"/>
      <c r="P215" s="1667" t="n"/>
      <c r="Q215" s="1667" t="n"/>
      <c r="R215" s="1667" t="n"/>
      <c r="S215" s="1666" t="n"/>
      <c r="T215" s="1667" t="n"/>
      <c r="U215" s="1667" t="n"/>
      <c r="V215" s="1667" t="n"/>
      <c r="W215" s="1667" t="n"/>
      <c r="X215" s="1666" t="n"/>
      <c r="Y215" s="1667" t="n"/>
      <c r="Z215" s="1667" t="n"/>
      <c r="AA215" s="1667" t="n"/>
      <c r="AB215" s="1667" t="n"/>
      <c r="AC215" s="1666" t="n"/>
      <c r="AD215" s="1667">
        <f>98-AE215</f>
        <v/>
      </c>
      <c r="AE215" s="1668" t="n">
        <v>-457</v>
      </c>
      <c r="AF215" s="1668" t="n">
        <v>106</v>
      </c>
      <c r="AG215" s="1667" t="n"/>
      <c r="AH215" s="1666" t="n"/>
      <c r="AI215" s="1667">
        <f>910-AJ215</f>
        <v/>
      </c>
      <c r="AJ215" s="1668" t="n">
        <v>37</v>
      </c>
      <c r="AK215" s="1669" t="n">
        <v>2799</v>
      </c>
      <c r="AL215" s="1667" t="n"/>
      <c r="AM215" s="1666" t="n"/>
      <c r="AN215" s="1667" t="n"/>
      <c r="AO215" s="1667" t="n"/>
      <c r="AP215" s="1667" t="n"/>
      <c r="AQ215" s="1667" t="n"/>
      <c r="AR215" s="1666" t="n"/>
      <c r="AS215" s="1666" t="n"/>
      <c r="AT215" s="1666" t="n"/>
      <c r="AU215" s="1666" t="n"/>
      <c r="AV215" s="1488" t="n"/>
    </row>
    <row r="216" hidden="1" outlineLevel="1" ht="14.4" customFormat="1" customHeight="1" s="1493">
      <c r="A216" s="1670" t="inlineStr">
        <is>
          <t>Capital expenditures, mm</t>
        </is>
      </c>
      <c r="B216" s="1516" t="n"/>
      <c r="C216" s="1517" t="n"/>
      <c r="D216" s="1517" t="n"/>
      <c r="E216" s="1517" t="n"/>
      <c r="F216" s="1517" t="n"/>
      <c r="G216" s="1517" t="n"/>
      <c r="H216" s="1517" t="n"/>
      <c r="I216" s="1517" t="n"/>
      <c r="J216" s="1517" t="n"/>
      <c r="K216" s="1517" t="n"/>
      <c r="L216" s="1517" t="n"/>
      <c r="M216" s="1517" t="n"/>
      <c r="N216" s="1517" t="n"/>
      <c r="O216" s="1518" t="n"/>
      <c r="P216" s="1518" t="n"/>
      <c r="Q216" s="1518" t="n"/>
      <c r="R216" s="1518" t="n"/>
      <c r="S216" s="1517" t="n"/>
      <c r="T216" s="1518" t="n"/>
      <c r="U216" s="1518" t="n"/>
      <c r="V216" s="1518" t="n"/>
      <c r="W216" s="1518" t="n"/>
      <c r="X216" s="1517" t="n"/>
      <c r="Y216" s="1518" t="n"/>
      <c r="Z216" s="1518" t="n"/>
      <c r="AA216" s="1518" t="n"/>
      <c r="AB216" s="1518" t="n"/>
      <c r="AC216" s="1517" t="n"/>
      <c r="AD216" s="1518">
        <f>AD214-AD215</f>
        <v/>
      </c>
      <c r="AE216" s="1518">
        <f>AE214-AE215</f>
        <v/>
      </c>
      <c r="AF216" s="1518">
        <f>AF214-AF215</f>
        <v/>
      </c>
      <c r="AG216" s="1518" t="n"/>
      <c r="AH216" s="1517" t="n"/>
      <c r="AI216" s="1518">
        <f>AI214-AI215</f>
        <v/>
      </c>
      <c r="AJ216" s="1518">
        <f>AJ214-AJ215</f>
        <v/>
      </c>
      <c r="AK216" s="1671">
        <f>AK214-AK215</f>
        <v/>
      </c>
      <c r="AL216" s="1518" t="n"/>
      <c r="AM216" s="1517" t="n"/>
      <c r="AN216" s="1518" t="n"/>
      <c r="AO216" s="1518" t="n"/>
      <c r="AP216" s="1518" t="n"/>
      <c r="AQ216" s="1518" t="n"/>
      <c r="AR216" s="1517" t="n"/>
      <c r="AS216" s="1517" t="n"/>
      <c r="AT216" s="1517" t="n"/>
      <c r="AU216" s="1517" t="n"/>
      <c r="AV216" s="1494" t="n"/>
    </row>
    <row r="217" collapsed="1" ht="14.4" customFormat="1" customHeight="1" s="1480">
      <c r="A217" s="1633" t="n"/>
      <c r="B217" s="1482" t="n"/>
      <c r="C217" s="1483" t="n"/>
      <c r="D217" s="1483" t="n"/>
      <c r="E217" s="1483" t="n"/>
      <c r="F217" s="1483" t="n"/>
      <c r="G217" s="1483" t="n"/>
      <c r="H217" s="1483" t="n"/>
      <c r="I217" s="1483" t="n"/>
      <c r="J217" s="1483" t="n"/>
      <c r="K217" s="1483" t="n"/>
      <c r="L217" s="1483" t="n"/>
      <c r="M217" s="1483" t="n"/>
      <c r="N217" s="1483" t="n"/>
      <c r="O217" s="1484" t="n"/>
      <c r="P217" s="1484" t="n"/>
      <c r="Q217" s="1484" t="n"/>
      <c r="R217" s="1484" t="n"/>
      <c r="S217" s="1483" t="n"/>
      <c r="T217" s="1484" t="n"/>
      <c r="U217" s="1484" t="n"/>
      <c r="V217" s="1484" t="n"/>
      <c r="W217" s="1484" t="n"/>
      <c r="X217" s="1483" t="n"/>
      <c r="Y217" s="1484" t="n"/>
      <c r="Z217" s="1484" t="n"/>
      <c r="AA217" s="1484" t="n"/>
      <c r="AB217" s="1484" t="n"/>
      <c r="AC217" s="1483" t="n"/>
      <c r="AD217" s="1484" t="n"/>
      <c r="AE217" s="1484" t="n"/>
      <c r="AF217" s="1484" t="n"/>
      <c r="AG217" s="1484" t="n"/>
      <c r="AH217" s="1483" t="n"/>
      <c r="AI217" s="1484" t="n"/>
      <c r="AJ217" s="1484" t="n"/>
      <c r="AK217" s="1487" t="n"/>
      <c r="AL217" s="1484" t="n"/>
      <c r="AM217" s="1483" t="n"/>
      <c r="AN217" s="1484" t="n"/>
      <c r="AO217" s="1484" t="n"/>
      <c r="AP217" s="1484" t="n"/>
      <c r="AQ217" s="1484" t="n"/>
      <c r="AR217" s="1483" t="n"/>
      <c r="AS217" s="1483" t="n"/>
      <c r="AT217" s="1483" t="n"/>
      <c r="AU217" s="1483" t="n"/>
      <c r="AV217" s="1488" t="n"/>
    </row>
    <row r="218" ht="14.4" customFormat="1" customHeight="1" s="1418">
      <c r="A218" s="1530" t="inlineStr">
        <is>
          <t>Key Metrics - Revenue and Cost Granularity (MD&amp;A)</t>
        </is>
      </c>
      <c r="B218" s="1531" t="n"/>
      <c r="C218" s="1531" t="n"/>
      <c r="D218" s="1531" t="n"/>
      <c r="E218" s="1531" t="n"/>
      <c r="F218" s="1531" t="n"/>
      <c r="G218" s="1531" t="n"/>
      <c r="H218" s="1531" t="n"/>
      <c r="I218" s="1531" t="n"/>
      <c r="J218" s="1531" t="n"/>
      <c r="K218" s="1531" t="n"/>
      <c r="L218" s="1531" t="n"/>
      <c r="M218" s="1531" t="n"/>
      <c r="N218" s="1531" t="n"/>
      <c r="O218" s="1531" t="n"/>
      <c r="P218" s="1531" t="n"/>
      <c r="Q218" s="1531" t="n"/>
      <c r="R218" s="1531" t="n"/>
      <c r="S218" s="1531" t="n"/>
      <c r="T218" s="1531" t="n"/>
      <c r="U218" s="1531" t="n"/>
      <c r="V218" s="1531" t="n"/>
      <c r="W218" s="1531" t="n"/>
      <c r="X218" s="1531" t="n"/>
      <c r="Y218" s="1531" t="n"/>
      <c r="Z218" s="1531" t="n"/>
      <c r="AA218" s="1532" t="inlineStr">
        <is>
          <t>9 months</t>
        </is>
      </c>
      <c r="AB218" s="1531" t="n"/>
      <c r="AC218" s="1531" t="n"/>
      <c r="AD218" s="1531" t="n"/>
      <c r="AE218" s="1531" t="n"/>
      <c r="AF218" s="1532" t="inlineStr">
        <is>
          <t>9 months</t>
        </is>
      </c>
      <c r="AG218" s="1531" t="n"/>
      <c r="AH218" s="1531" t="n"/>
      <c r="AI218" s="1531" t="n"/>
      <c r="AJ218" s="1531" t="n"/>
      <c r="AK218" s="1659" t="n"/>
      <c r="AL218" s="1531" t="n"/>
      <c r="AM218" s="1531" t="n"/>
      <c r="AN218" s="1531" t="n"/>
      <c r="AO218" s="1531" t="n"/>
      <c r="AP218" s="1531" t="n"/>
      <c r="AQ218" s="1531" t="n"/>
      <c r="AR218" s="1531" t="n"/>
      <c r="AS218" s="1531" t="n"/>
      <c r="AT218" s="1531" t="n"/>
      <c r="AU218" s="1531" t="n"/>
      <c r="AV218" s="1422" t="n"/>
    </row>
    <row r="219" hidden="1" outlineLevel="1" ht="14.4" customFormat="1" customHeight="1" s="1597">
      <c r="A219" s="1617" t="inlineStr">
        <is>
          <t>% of revenue growth from expansion of existing customer base, %</t>
        </is>
      </c>
      <c r="B219" s="1618" t="n"/>
      <c r="C219" s="1619" t="n"/>
      <c r="D219" s="1619" t="n"/>
      <c r="E219" s="1619" t="n"/>
      <c r="F219" s="1619" t="n"/>
      <c r="G219" s="1619" t="n"/>
      <c r="H219" s="1619" t="n"/>
      <c r="I219" s="1619" t="n"/>
      <c r="J219" s="1619" t="n"/>
      <c r="K219" s="1619" t="n"/>
      <c r="L219" s="1619" t="n"/>
      <c r="M219" s="1619" t="n"/>
      <c r="N219" s="1619" t="n"/>
      <c r="O219" s="1620" t="n"/>
      <c r="P219" s="1620" t="n"/>
      <c r="Q219" s="1620" t="n"/>
      <c r="R219" s="1620" t="n"/>
      <c r="S219" s="1619" t="n"/>
      <c r="T219" s="1620" t="n"/>
      <c r="U219" s="1620" t="n"/>
      <c r="V219" s="1620" t="n"/>
      <c r="W219" s="1620" t="n"/>
      <c r="X219" s="1619" t="n"/>
      <c r="Y219" s="1620" t="n"/>
      <c r="Z219" s="1620" t="n"/>
      <c r="AA219" s="1620" t="n"/>
      <c r="AB219" s="1620" t="n"/>
      <c r="AC219" s="1672">
        <f>1-AC220</f>
        <v/>
      </c>
      <c r="AD219" s="1620" t="n"/>
      <c r="AE219" s="1620" t="n"/>
      <c r="AF219" s="1622" t="n">
        <v>0.88</v>
      </c>
      <c r="AG219" s="1620" t="n"/>
      <c r="AH219" s="1621" t="n">
        <v>0.95</v>
      </c>
      <c r="AI219" s="1622" t="n">
        <v>0.9</v>
      </c>
      <c r="AJ219" s="1622" t="n">
        <v>0.92</v>
      </c>
      <c r="AK219" s="1623" t="n">
        <v>0.8</v>
      </c>
      <c r="AL219" s="1620" t="n"/>
      <c r="AM219" s="1619" t="n"/>
      <c r="AN219" s="1620" t="n"/>
      <c r="AO219" s="1620" t="n"/>
      <c r="AP219" s="1620" t="n"/>
      <c r="AQ219" s="1620" t="n"/>
      <c r="AR219" s="1619" t="n"/>
      <c r="AS219" s="1619" t="n"/>
      <c r="AT219" s="1619" t="n"/>
      <c r="AU219" s="1619" t="n"/>
      <c r="AV219" s="1605" t="n"/>
    </row>
    <row r="220" hidden="1" outlineLevel="1" ht="14.4" customFormat="1" customHeight="1" s="1597">
      <c r="A220" s="1617" t="inlineStr">
        <is>
          <t>% of revenue growth from expansion of new customer base, %</t>
        </is>
      </c>
      <c r="B220" s="1618" t="n"/>
      <c r="C220" s="1619" t="n"/>
      <c r="D220" s="1619" t="n"/>
      <c r="E220" s="1619" t="n"/>
      <c r="F220" s="1619" t="n"/>
      <c r="G220" s="1619" t="n"/>
      <c r="H220" s="1619" t="n"/>
      <c r="I220" s="1619" t="n"/>
      <c r="J220" s="1619" t="n"/>
      <c r="K220" s="1619" t="n"/>
      <c r="L220" s="1619" t="n"/>
      <c r="M220" s="1619" t="n"/>
      <c r="N220" s="1619" t="n"/>
      <c r="O220" s="1620" t="n"/>
      <c r="P220" s="1620" t="n"/>
      <c r="Q220" s="1620" t="n"/>
      <c r="R220" s="1620" t="n"/>
      <c r="S220" s="1619" t="n"/>
      <c r="T220" s="1620" t="n"/>
      <c r="U220" s="1620" t="n"/>
      <c r="V220" s="1620" t="n"/>
      <c r="W220" s="1620" t="n"/>
      <c r="X220" s="1619" t="n"/>
      <c r="Y220" s="1620" t="n"/>
      <c r="Z220" s="1620" t="n"/>
      <c r="AA220" s="1620" t="n"/>
      <c r="AB220" s="1620" t="n"/>
      <c r="AC220" s="1621" t="n">
        <v>0.88</v>
      </c>
      <c r="AD220" s="1620" t="n"/>
      <c r="AE220" s="1620" t="n"/>
      <c r="AF220" s="1673">
        <f>1-AF219</f>
        <v/>
      </c>
      <c r="AG220" s="1620" t="n"/>
      <c r="AH220" s="1672">
        <f>1-AH219</f>
        <v/>
      </c>
      <c r="AI220" s="1620">
        <f>1-AI219</f>
        <v/>
      </c>
      <c r="AJ220" s="1620">
        <f>1-AJ219</f>
        <v/>
      </c>
      <c r="AK220" s="1627">
        <f>1-AK219</f>
        <v/>
      </c>
      <c r="AL220" s="1620" t="n"/>
      <c r="AM220" s="1619" t="n"/>
      <c r="AN220" s="1620" t="n"/>
      <c r="AO220" s="1620" t="n"/>
      <c r="AP220" s="1620" t="n"/>
      <c r="AQ220" s="1620" t="n"/>
      <c r="AR220" s="1619" t="n"/>
      <c r="AS220" s="1619" t="n"/>
      <c r="AT220" s="1619" t="n"/>
      <c r="AU220" s="1619" t="n"/>
      <c r="AV220" s="1605" t="n"/>
    </row>
    <row r="221" hidden="1" outlineLevel="1" ht="14.4" customFormat="1" customHeight="1" s="1418">
      <c r="A221" s="1489" t="n"/>
      <c r="B221" s="1528" t="n"/>
      <c r="C221" s="1529" t="n"/>
      <c r="D221" s="1529" t="n"/>
      <c r="E221" s="1529" t="n"/>
      <c r="F221" s="1529" t="n"/>
      <c r="G221" s="1529" t="n"/>
      <c r="H221" s="1529" t="n"/>
      <c r="I221" s="1529" t="n"/>
      <c r="J221" s="1529" t="n"/>
      <c r="K221" s="1529" t="n"/>
      <c r="L221" s="1529" t="n"/>
      <c r="M221" s="1529" t="n"/>
      <c r="N221" s="1529" t="n"/>
      <c r="O221" s="1420" t="n"/>
      <c r="P221" s="1420" t="n"/>
      <c r="Q221" s="1420" t="n"/>
      <c r="R221" s="1420" t="n"/>
      <c r="S221" s="1529" t="n"/>
      <c r="T221" s="1420" t="n"/>
      <c r="U221" s="1420" t="n"/>
      <c r="V221" s="1420" t="n"/>
      <c r="W221" s="1420" t="n"/>
      <c r="X221" s="1529" t="n"/>
      <c r="Y221" s="1420" t="n"/>
      <c r="Z221" s="1420" t="n"/>
      <c r="AA221" s="1420" t="n"/>
      <c r="AB221" s="1420" t="n"/>
      <c r="AC221" s="1529" t="n"/>
      <c r="AD221" s="1420" t="n"/>
      <c r="AE221" s="1420" t="n"/>
      <c r="AF221" s="1420" t="n"/>
      <c r="AG221" s="1420" t="n"/>
      <c r="AH221" s="1529" t="n"/>
      <c r="AI221" s="1420" t="n"/>
      <c r="AJ221" s="1420" t="n"/>
      <c r="AK221" s="1421" t="n"/>
      <c r="AL221" s="1420" t="n"/>
      <c r="AM221" s="1529" t="n"/>
      <c r="AN221" s="1420" t="n"/>
      <c r="AO221" s="1420" t="n"/>
      <c r="AP221" s="1420" t="n"/>
      <c r="AQ221" s="1420" t="n"/>
      <c r="AR221" s="1529" t="n"/>
      <c r="AS221" s="1529" t="n"/>
      <c r="AT221" s="1529" t="n"/>
      <c r="AU221" s="1529" t="n"/>
      <c r="AV221" s="1422" t="n"/>
    </row>
    <row r="222" hidden="1" outlineLevel="1" ht="14.4" customFormat="1" customHeight="1" s="1438">
      <c r="A222" s="1439" t="inlineStr">
        <is>
          <t>Prior Period Revenue, mm</t>
        </is>
      </c>
      <c r="B222" s="1534" t="n"/>
      <c r="C222" s="1535" t="n"/>
      <c r="D222" s="1535" t="n"/>
      <c r="E222" s="1535" t="n"/>
      <c r="F222" s="1535" t="n"/>
      <c r="G222" s="1535" t="n"/>
      <c r="H222" s="1535" t="n"/>
      <c r="I222" s="1535" t="n"/>
      <c r="J222" s="1535" t="n"/>
      <c r="K222" s="1535" t="n"/>
      <c r="L222" s="1535" t="n"/>
      <c r="M222" s="1535" t="n"/>
      <c r="N222" s="1535" t="n"/>
      <c r="O222" s="1536" t="n"/>
      <c r="P222" s="1536" t="n"/>
      <c r="Q222" s="1536" t="n"/>
      <c r="R222" s="1536" t="n"/>
      <c r="S222" s="1535" t="n"/>
      <c r="T222" s="1536" t="n"/>
      <c r="U222" s="1536" t="n"/>
      <c r="V222" s="1536" t="n"/>
      <c r="W222" s="1536" t="n"/>
      <c r="X222" s="1535" t="n"/>
      <c r="Y222" s="1536" t="n"/>
      <c r="Z222" s="1536" t="n"/>
      <c r="AA222" s="1536" t="n"/>
      <c r="AB222" s="1536" t="n"/>
      <c r="AC222" s="1537">
        <f>X225</f>
        <v/>
      </c>
      <c r="AD222" s="1536" t="n"/>
      <c r="AE222" s="1536" t="n"/>
      <c r="AF222" s="1446">
        <f>AA225</f>
        <v/>
      </c>
      <c r="AG222" s="1536" t="n"/>
      <c r="AH222" s="1537">
        <f>AC225</f>
        <v/>
      </c>
      <c r="AI222" s="1536">
        <f>AD225</f>
        <v/>
      </c>
      <c r="AJ222" s="1536">
        <f>AE225</f>
        <v/>
      </c>
      <c r="AK222" s="1674">
        <f>AF225</f>
        <v/>
      </c>
      <c r="AL222" s="1536" t="n"/>
      <c r="AM222" s="1535" t="n"/>
      <c r="AN222" s="1536" t="n"/>
      <c r="AO222" s="1536" t="n"/>
      <c r="AP222" s="1536" t="n"/>
      <c r="AQ222" s="1536" t="n"/>
      <c r="AR222" s="1535" t="n"/>
      <c r="AS222" s="1535" t="n"/>
      <c r="AT222" s="1535" t="n"/>
      <c r="AU222" s="1535" t="n"/>
      <c r="AV222" s="1446" t="n"/>
    </row>
    <row r="223" hidden="1" outlineLevel="1" ht="14.4" customFormat="1" customHeight="1" s="1418">
      <c r="A223" s="1539" t="inlineStr">
        <is>
          <t>Y/Y change in revenue from existing customer, mm</t>
        </is>
      </c>
      <c r="B223" s="1528" t="n"/>
      <c r="C223" s="1529" t="n"/>
      <c r="D223" s="1529" t="n"/>
      <c r="E223" s="1529" t="n"/>
      <c r="F223" s="1529" t="n"/>
      <c r="G223" s="1529" t="n"/>
      <c r="H223" s="1529" t="n"/>
      <c r="I223" s="1529" t="n"/>
      <c r="J223" s="1529" t="n"/>
      <c r="K223" s="1529" t="n"/>
      <c r="L223" s="1529" t="n"/>
      <c r="M223" s="1529" t="n"/>
      <c r="N223" s="1529" t="n"/>
      <c r="O223" s="1420" t="n"/>
      <c r="P223" s="1420" t="n"/>
      <c r="Q223" s="1420" t="n"/>
      <c r="R223" s="1420" t="n"/>
      <c r="S223" s="1529" t="n"/>
      <c r="T223" s="1420" t="n"/>
      <c r="U223" s="1420" t="n"/>
      <c r="V223" s="1420" t="n"/>
      <c r="W223" s="1420" t="n"/>
      <c r="X223" s="1529" t="n"/>
      <c r="Y223" s="1420" t="n"/>
      <c r="Z223" s="1420" t="n"/>
      <c r="AA223" s="1420" t="n"/>
      <c r="AB223" s="1420" t="n"/>
      <c r="AC223" s="1540">
        <f>(AC225-AC222)*AC219</f>
        <v/>
      </c>
      <c r="AD223" s="1420" t="n"/>
      <c r="AE223" s="1420" t="n"/>
      <c r="AF223" s="1422">
        <f>(AF225-AF222)*AF219</f>
        <v/>
      </c>
      <c r="AG223" s="1420" t="n"/>
      <c r="AH223" s="1540">
        <f>(AH225-AH222)*AH219</f>
        <v/>
      </c>
      <c r="AI223" s="1420">
        <f>(AI225-AI222)*AI219</f>
        <v/>
      </c>
      <c r="AJ223" s="1420">
        <f>(AJ225-AJ222)*AJ219</f>
        <v/>
      </c>
      <c r="AK223" s="1421">
        <f>(AK225-AK222)*AK219</f>
        <v/>
      </c>
      <c r="AL223" s="1420" t="n"/>
      <c r="AM223" s="1529" t="n"/>
      <c r="AN223" s="1420" t="n"/>
      <c r="AO223" s="1420" t="n"/>
      <c r="AP223" s="1420" t="n"/>
      <c r="AQ223" s="1420" t="n"/>
      <c r="AR223" s="1529" t="n"/>
      <c r="AS223" s="1529" t="n"/>
      <c r="AT223" s="1529" t="n"/>
      <c r="AU223" s="1529" t="n"/>
      <c r="AV223" s="1422" t="n"/>
    </row>
    <row r="224" hidden="1" outlineLevel="1" ht="14.4" customFormat="1" customHeight="1" s="1418">
      <c r="A224" s="1539" t="inlineStr">
        <is>
          <t>Y/Y change in revenue from new customer, mm</t>
        </is>
      </c>
      <c r="B224" s="1528" t="n"/>
      <c r="C224" s="1529" t="n"/>
      <c r="D224" s="1529" t="n"/>
      <c r="E224" s="1529" t="n"/>
      <c r="F224" s="1529" t="n"/>
      <c r="G224" s="1529" t="n"/>
      <c r="H224" s="1529" t="n"/>
      <c r="I224" s="1529" t="n"/>
      <c r="J224" s="1529" t="n"/>
      <c r="K224" s="1529" t="n"/>
      <c r="L224" s="1529" t="n"/>
      <c r="M224" s="1529" t="n"/>
      <c r="N224" s="1529" t="n"/>
      <c r="O224" s="1420" t="n"/>
      <c r="P224" s="1420" t="n"/>
      <c r="Q224" s="1420" t="n"/>
      <c r="R224" s="1420" t="n"/>
      <c r="S224" s="1529" t="n"/>
      <c r="T224" s="1420" t="n"/>
      <c r="U224" s="1420" t="n"/>
      <c r="V224" s="1420" t="n"/>
      <c r="W224" s="1420" t="n"/>
      <c r="X224" s="1529" t="n"/>
      <c r="Y224" s="1420" t="n"/>
      <c r="Z224" s="1420" t="n"/>
      <c r="AA224" s="1420" t="n"/>
      <c r="AB224" s="1420" t="n"/>
      <c r="AC224" s="1540">
        <f>(AC225-AC222)*AC220</f>
        <v/>
      </c>
      <c r="AD224" s="1420" t="n"/>
      <c r="AE224" s="1420" t="n"/>
      <c r="AF224" s="1422">
        <f>(AF225-AF222)*AF220</f>
        <v/>
      </c>
      <c r="AG224" s="1420" t="n"/>
      <c r="AH224" s="1540">
        <f>(AH225-AH222)*AH220</f>
        <v/>
      </c>
      <c r="AI224" s="1420">
        <f>(AI225-AI222)*AI220</f>
        <v/>
      </c>
      <c r="AJ224" s="1420">
        <f>(AJ225-AJ222)*AJ220</f>
        <v/>
      </c>
      <c r="AK224" s="1421">
        <f>(AK225-AK222)*AK220</f>
        <v/>
      </c>
      <c r="AL224" s="1420" t="n"/>
      <c r="AM224" s="1529" t="n"/>
      <c r="AN224" s="1420" t="n"/>
      <c r="AO224" s="1420" t="n"/>
      <c r="AP224" s="1420" t="n"/>
      <c r="AQ224" s="1420" t="n"/>
      <c r="AR224" s="1529" t="n"/>
      <c r="AS224" s="1529" t="n"/>
      <c r="AT224" s="1529" t="n"/>
      <c r="AU224" s="1529" t="n"/>
      <c r="AV224" s="1422" t="n"/>
    </row>
    <row r="225" hidden="1" outlineLevel="1" ht="14.4" customFormat="1" customHeight="1" s="1438">
      <c r="A225" s="1542" t="inlineStr">
        <is>
          <t>Current Period Revenue, mm</t>
        </is>
      </c>
      <c r="B225" s="1543" t="n"/>
      <c r="C225" s="1544" t="n"/>
      <c r="D225" s="1544" t="n"/>
      <c r="E225" s="1544" t="n"/>
      <c r="F225" s="1544" t="n"/>
      <c r="G225" s="1544" t="n"/>
      <c r="H225" s="1544" t="n"/>
      <c r="I225" s="1544" t="n"/>
      <c r="J225" s="1544" t="n"/>
      <c r="K225" s="1544" t="n"/>
      <c r="L225" s="1544" t="n"/>
      <c r="M225" s="1544" t="n"/>
      <c r="N225" s="1544" t="n"/>
      <c r="O225" s="1545" t="n"/>
      <c r="P225" s="1545" t="n"/>
      <c r="Q225" s="1545" t="n"/>
      <c r="R225" s="1545" t="n"/>
      <c r="S225" s="1544" t="n"/>
      <c r="T225" s="1545" t="n"/>
      <c r="U225" s="1545" t="n"/>
      <c r="V225" s="1545" t="n"/>
      <c r="W225" s="1545" t="n"/>
      <c r="X225" s="1546">
        <f>X280</f>
        <v/>
      </c>
      <c r="Y225" s="1545" t="n"/>
      <c r="Z225" s="1545" t="n"/>
      <c r="AA225" s="1547">
        <f>AA280+Z280+Y280</f>
        <v/>
      </c>
      <c r="AB225" s="1545" t="n"/>
      <c r="AC225" s="1546">
        <f>AC280</f>
        <v/>
      </c>
      <c r="AD225" s="1545">
        <f>AD280</f>
        <v/>
      </c>
      <c r="AE225" s="1545">
        <f>AE280</f>
        <v/>
      </c>
      <c r="AF225" s="1547">
        <f>AF280+AE280+AD280</f>
        <v/>
      </c>
      <c r="AG225" s="1545" t="n"/>
      <c r="AH225" s="1546">
        <f>AH280</f>
        <v/>
      </c>
      <c r="AI225" s="1545">
        <f>AI280</f>
        <v/>
      </c>
      <c r="AJ225" s="1545">
        <f>AJ280</f>
        <v/>
      </c>
      <c r="AK225" s="1596">
        <f>AK280</f>
        <v/>
      </c>
      <c r="AL225" s="1545" t="n"/>
      <c r="AM225" s="1544" t="n"/>
      <c r="AN225" s="1545" t="n"/>
      <c r="AO225" s="1545" t="n"/>
      <c r="AP225" s="1545" t="n"/>
      <c r="AQ225" s="1545" t="n"/>
      <c r="AR225" s="1544" t="n"/>
      <c r="AS225" s="1544" t="n"/>
      <c r="AT225" s="1544" t="n"/>
      <c r="AU225" s="1544" t="n"/>
      <c r="AV225" s="1446" t="n"/>
    </row>
    <row r="226" hidden="1" outlineLevel="1" ht="14.4" customFormat="1" customHeight="1" s="1418">
      <c r="A226" s="1489" t="n"/>
      <c r="B226" s="1528" t="n"/>
      <c r="C226" s="1529" t="n"/>
      <c r="D226" s="1529" t="n"/>
      <c r="E226" s="1529" t="n"/>
      <c r="F226" s="1529" t="n"/>
      <c r="G226" s="1529" t="n"/>
      <c r="H226" s="1529" t="n"/>
      <c r="I226" s="1529" t="n"/>
      <c r="J226" s="1529" t="n"/>
      <c r="K226" s="1529" t="n"/>
      <c r="L226" s="1529" t="n"/>
      <c r="M226" s="1529" t="n"/>
      <c r="N226" s="1529" t="n"/>
      <c r="O226" s="1420" t="n"/>
      <c r="P226" s="1420" t="n"/>
      <c r="Q226" s="1420" t="n"/>
      <c r="R226" s="1420" t="n"/>
      <c r="S226" s="1529" t="n"/>
      <c r="T226" s="1420" t="n"/>
      <c r="U226" s="1420" t="n"/>
      <c r="V226" s="1420" t="n"/>
      <c r="W226" s="1420" t="n"/>
      <c r="X226" s="1529" t="n"/>
      <c r="Y226" s="1420" t="n"/>
      <c r="Z226" s="1420" t="n"/>
      <c r="AA226" s="1420" t="n"/>
      <c r="AB226" s="1420" t="n"/>
      <c r="AC226" s="1529" t="n"/>
      <c r="AD226" s="1420" t="n"/>
      <c r="AE226" s="1420" t="n"/>
      <c r="AF226" s="1420" t="n"/>
      <c r="AG226" s="1420" t="n"/>
      <c r="AH226" s="1529" t="n"/>
      <c r="AI226" s="1420" t="n"/>
      <c r="AJ226" s="1420" t="n"/>
      <c r="AK226" s="1421" t="n"/>
      <c r="AL226" s="1420" t="n"/>
      <c r="AM226" s="1529" t="n"/>
      <c r="AN226" s="1420" t="n"/>
      <c r="AO226" s="1420" t="n"/>
      <c r="AP226" s="1420" t="n"/>
      <c r="AQ226" s="1420" t="n"/>
      <c r="AR226" s="1529" t="n"/>
      <c r="AS226" s="1529" t="n"/>
      <c r="AT226" s="1529" t="n"/>
      <c r="AU226" s="1529" t="n"/>
      <c r="AV226" s="1422" t="n"/>
    </row>
    <row r="227" hidden="1" outlineLevel="1" ht="14.4" customFormat="1" customHeight="1" s="1438">
      <c r="A227" s="1439" t="inlineStr">
        <is>
          <t>Prior Period Cost of Revenue, mm</t>
        </is>
      </c>
      <c r="B227" s="1534" t="n"/>
      <c r="C227" s="1535" t="n"/>
      <c r="D227" s="1535" t="n"/>
      <c r="E227" s="1535" t="n"/>
      <c r="F227" s="1535" t="n"/>
      <c r="G227" s="1535" t="n"/>
      <c r="H227" s="1535" t="n"/>
      <c r="I227" s="1535" t="n"/>
      <c r="J227" s="1535" t="n"/>
      <c r="K227" s="1535" t="n"/>
      <c r="L227" s="1535" t="n"/>
      <c r="M227" s="1535" t="n"/>
      <c r="N227" s="1535" t="n"/>
      <c r="O227" s="1536" t="n"/>
      <c r="P227" s="1536" t="n"/>
      <c r="Q227" s="1536" t="n"/>
      <c r="R227" s="1536" t="n"/>
      <c r="S227" s="1535" t="n"/>
      <c r="T227" s="1536" t="n"/>
      <c r="U227" s="1536" t="n"/>
      <c r="V227" s="1536" t="n"/>
      <c r="W227" s="1536" t="n"/>
      <c r="X227" s="1535" t="n"/>
      <c r="Y227" s="1536" t="n"/>
      <c r="Z227" s="1536" t="n"/>
      <c r="AA227" s="1536" t="n"/>
      <c r="AB227" s="1536" t="n"/>
      <c r="AC227" s="1537">
        <f>X234</f>
        <v/>
      </c>
      <c r="AD227" s="1536" t="n"/>
      <c r="AE227" s="1536" t="n"/>
      <c r="AF227" s="1446">
        <f>AA234</f>
        <v/>
      </c>
      <c r="AG227" s="1536" t="n"/>
      <c r="AH227" s="1537">
        <f>AC234</f>
        <v/>
      </c>
      <c r="AI227" s="1536">
        <f>AD234</f>
        <v/>
      </c>
      <c r="AJ227" s="1536">
        <f>AE234</f>
        <v/>
      </c>
      <c r="AK227" s="1675" t="n">
        <v>143.134</v>
      </c>
      <c r="AL227" s="1536" t="n"/>
      <c r="AM227" s="1535" t="n"/>
      <c r="AN227" s="1536" t="n"/>
      <c r="AO227" s="1536" t="n"/>
      <c r="AP227" s="1536" t="n"/>
      <c r="AQ227" s="1536" t="n"/>
      <c r="AR227" s="1535" t="n"/>
      <c r="AS227" s="1535" t="n"/>
      <c r="AT227" s="1535" t="n"/>
      <c r="AU227" s="1535" t="n"/>
      <c r="AV227" s="1446" t="n"/>
    </row>
    <row r="228" hidden="1" outlineLevel="1" ht="14.4" customFormat="1" customHeight="1" s="1418">
      <c r="A228" s="1539" t="inlineStr">
        <is>
          <t>Y/Y change in rent expense in Cost of Revenue, mm</t>
        </is>
      </c>
      <c r="B228" s="1528" t="n"/>
      <c r="C228" s="1529" t="n"/>
      <c r="D228" s="1529" t="n"/>
      <c r="E228" s="1529" t="n"/>
      <c r="F228" s="1529" t="n"/>
      <c r="G228" s="1529" t="n"/>
      <c r="H228" s="1529" t="n"/>
      <c r="I228" s="1529" t="n"/>
      <c r="J228" s="1529" t="n"/>
      <c r="K228" s="1529" t="n"/>
      <c r="L228" s="1529" t="n"/>
      <c r="M228" s="1529" t="n"/>
      <c r="N228" s="1529" t="n"/>
      <c r="O228" s="1420" t="n"/>
      <c r="P228" s="1420" t="n"/>
      <c r="Q228" s="1420" t="n"/>
      <c r="R228" s="1420" t="n"/>
      <c r="S228" s="1529" t="n"/>
      <c r="T228" s="1420" t="n"/>
      <c r="U228" s="1420" t="n"/>
      <c r="V228" s="1420" t="n"/>
      <c r="W228" s="1420" t="n"/>
      <c r="X228" s="1529" t="n"/>
      <c r="Y228" s="1420" t="n"/>
      <c r="Z228" s="1420" t="n"/>
      <c r="AA228" s="1420" t="n"/>
      <c r="AB228" s="1420" t="n"/>
      <c r="AC228" s="1593" t="n">
        <v>48</v>
      </c>
      <c r="AD228" s="1420" t="n"/>
      <c r="AE228" s="1420" t="n"/>
      <c r="AF228" s="1594" t="n">
        <v>205</v>
      </c>
      <c r="AG228" s="1420" t="n"/>
      <c r="AH228" s="1593" t="n">
        <v>290</v>
      </c>
      <c r="AI228" s="1594" t="n">
        <v>121</v>
      </c>
      <c r="AJ228" s="1594" t="n">
        <v>113</v>
      </c>
      <c r="AK228" s="1595" t="n">
        <v>120</v>
      </c>
      <c r="AL228" s="1420" t="n"/>
      <c r="AM228" s="1529" t="n"/>
      <c r="AN228" s="1420" t="n"/>
      <c r="AO228" s="1420" t="n"/>
      <c r="AP228" s="1420" t="n"/>
      <c r="AQ228" s="1420" t="n"/>
      <c r="AR228" s="1529" t="n"/>
      <c r="AS228" s="1529" t="n"/>
      <c r="AT228" s="1529" t="n"/>
      <c r="AU228" s="1529" t="n"/>
      <c r="AV228" s="1422" t="n"/>
    </row>
    <row r="229" hidden="1" outlineLevel="1" ht="14.4" customFormat="1" customHeight="1" s="1418">
      <c r="A229" s="1539" t="inlineStr">
        <is>
          <t>Y/Y change in data center utilities and power spend in Cost of Revenue, mm</t>
        </is>
      </c>
      <c r="B229" s="1528" t="n"/>
      <c r="C229" s="1529" t="n"/>
      <c r="D229" s="1529" t="n"/>
      <c r="E229" s="1529" t="n"/>
      <c r="F229" s="1529" t="n"/>
      <c r="G229" s="1529" t="n"/>
      <c r="H229" s="1529" t="n"/>
      <c r="I229" s="1529" t="n"/>
      <c r="J229" s="1529" t="n"/>
      <c r="K229" s="1529" t="n"/>
      <c r="L229" s="1529" t="n"/>
      <c r="M229" s="1529" t="n"/>
      <c r="N229" s="1529" t="n"/>
      <c r="O229" s="1420" t="n"/>
      <c r="P229" s="1420" t="n"/>
      <c r="Q229" s="1420" t="n"/>
      <c r="R229" s="1420" t="n"/>
      <c r="S229" s="1529" t="n"/>
      <c r="T229" s="1420" t="n"/>
      <c r="U229" s="1420" t="n"/>
      <c r="V229" s="1420" t="n"/>
      <c r="W229" s="1420" t="n"/>
      <c r="X229" s="1529" t="n"/>
      <c r="Y229" s="1420" t="n"/>
      <c r="Z229" s="1420" t="n"/>
      <c r="AA229" s="1420" t="n"/>
      <c r="AB229" s="1420" t="n"/>
      <c r="AC229" s="1529" t="n"/>
      <c r="AD229" s="1420" t="n"/>
      <c r="AE229" s="1420" t="n"/>
      <c r="AF229" s="1594" t="n">
        <v>46</v>
      </c>
      <c r="AG229" s="1420" t="n"/>
      <c r="AH229" s="1593" t="n">
        <v>76</v>
      </c>
      <c r="AI229" s="1594" t="n">
        <v>51</v>
      </c>
      <c r="AJ229" s="1594" t="n">
        <v>54</v>
      </c>
      <c r="AK229" s="1595" t="n">
        <v>53</v>
      </c>
      <c r="AL229" s="1420" t="n"/>
      <c r="AM229" s="1529" t="n"/>
      <c r="AN229" s="1420" t="n"/>
      <c r="AO229" s="1420" t="n"/>
      <c r="AP229" s="1420" t="n"/>
      <c r="AQ229" s="1420" t="n"/>
      <c r="AR229" s="1529" t="n"/>
      <c r="AS229" s="1529" t="n"/>
      <c r="AT229" s="1529" t="n"/>
      <c r="AU229" s="1529" t="n"/>
      <c r="AV229" s="1422" t="n"/>
    </row>
    <row r="230" hidden="1" outlineLevel="1" ht="14.4" customFormat="1" customHeight="1" s="1418">
      <c r="A230" s="1539" t="inlineStr">
        <is>
          <t>Y/Y change in personnel costs in Cost of Revenue, mm</t>
        </is>
      </c>
      <c r="B230" s="1528" t="n"/>
      <c r="C230" s="1529" t="n"/>
      <c r="D230" s="1529" t="n"/>
      <c r="E230" s="1529" t="n"/>
      <c r="F230" s="1529" t="n"/>
      <c r="G230" s="1529" t="n"/>
      <c r="H230" s="1529" t="n"/>
      <c r="I230" s="1529" t="n"/>
      <c r="J230" s="1529" t="n"/>
      <c r="K230" s="1529" t="n"/>
      <c r="L230" s="1529" t="n"/>
      <c r="M230" s="1529" t="n"/>
      <c r="N230" s="1529" t="n"/>
      <c r="O230" s="1420" t="n"/>
      <c r="P230" s="1420" t="n"/>
      <c r="Q230" s="1420" t="n"/>
      <c r="R230" s="1420" t="n"/>
      <c r="S230" s="1529" t="n"/>
      <c r="T230" s="1420" t="n"/>
      <c r="U230" s="1420" t="n"/>
      <c r="V230" s="1420" t="n"/>
      <c r="W230" s="1420" t="n"/>
      <c r="X230" s="1529" t="n"/>
      <c r="Y230" s="1420" t="n"/>
      <c r="Z230" s="1420" t="n"/>
      <c r="AA230" s="1420" t="n"/>
      <c r="AB230" s="1420" t="n"/>
      <c r="AC230" s="1593" t="n">
        <v>2</v>
      </c>
      <c r="AD230" s="1420" t="n"/>
      <c r="AE230" s="1420" t="n"/>
      <c r="AF230" s="1594" t="n">
        <v>5</v>
      </c>
      <c r="AG230" s="1420" t="n"/>
      <c r="AH230" s="1593" t="n">
        <v>22</v>
      </c>
      <c r="AI230" s="1420">
        <f>12-AI231</f>
        <v/>
      </c>
      <c r="AJ230" s="1420">
        <f>12-AJ231</f>
        <v/>
      </c>
      <c r="AK230" s="1421">
        <f>16-AK231</f>
        <v/>
      </c>
      <c r="AL230" s="1420" t="n"/>
      <c r="AM230" s="1529" t="n"/>
      <c r="AN230" s="1420" t="n"/>
      <c r="AO230" s="1420" t="n"/>
      <c r="AP230" s="1420" t="n"/>
      <c r="AQ230" s="1420" t="n"/>
      <c r="AR230" s="1529" t="n"/>
      <c r="AS230" s="1529" t="n"/>
      <c r="AT230" s="1529" t="n"/>
      <c r="AU230" s="1529" t="n"/>
      <c r="AV230" s="1422" t="n"/>
    </row>
    <row r="231" hidden="1" outlineLevel="1" ht="14.4" customFormat="1" customHeight="1" s="1418">
      <c r="A231" s="1539" t="inlineStr">
        <is>
          <t>Y/Y change in SBC in Cost of Revenue, mm</t>
        </is>
      </c>
      <c r="B231" s="1528" t="n"/>
      <c r="C231" s="1529" t="n"/>
      <c r="D231" s="1529" t="n"/>
      <c r="E231" s="1529" t="n"/>
      <c r="F231" s="1529" t="n"/>
      <c r="G231" s="1529" t="n"/>
      <c r="H231" s="1529" t="n"/>
      <c r="I231" s="1529" t="n"/>
      <c r="J231" s="1529" t="n"/>
      <c r="K231" s="1529" t="n"/>
      <c r="L231" s="1529" t="n"/>
      <c r="M231" s="1529" t="n"/>
      <c r="N231" s="1529" t="n"/>
      <c r="O231" s="1420" t="n"/>
      <c r="P231" s="1420" t="n"/>
      <c r="Q231" s="1420" t="n"/>
      <c r="R231" s="1420" t="n"/>
      <c r="S231" s="1529" t="n"/>
      <c r="T231" s="1420" t="n"/>
      <c r="U231" s="1420" t="n"/>
      <c r="V231" s="1420" t="n"/>
      <c r="W231" s="1420" t="n"/>
      <c r="X231" s="1529" t="n"/>
      <c r="Y231" s="1420" t="n"/>
      <c r="Z231" s="1420" t="n"/>
      <c r="AA231" s="1420" t="n"/>
      <c r="AB231" s="1420" t="n"/>
      <c r="AC231" s="1529" t="n"/>
      <c r="AD231" s="1420" t="n"/>
      <c r="AE231" s="1420" t="n"/>
      <c r="AF231" s="1420" t="n"/>
      <c r="AG231" s="1420" t="n"/>
      <c r="AH231" s="1529" t="n"/>
      <c r="AI231" s="1594" t="n">
        <v>2</v>
      </c>
      <c r="AJ231" s="1594" t="n">
        <v>2</v>
      </c>
      <c r="AK231" s="1595" t="n">
        <v>3</v>
      </c>
      <c r="AL231" s="1420" t="n"/>
      <c r="AM231" s="1529" t="n"/>
      <c r="AN231" s="1420" t="n"/>
      <c r="AO231" s="1420" t="n"/>
      <c r="AP231" s="1420" t="n"/>
      <c r="AQ231" s="1420" t="n"/>
      <c r="AR231" s="1529" t="n"/>
      <c r="AS231" s="1529" t="n"/>
      <c r="AT231" s="1529" t="n"/>
      <c r="AU231" s="1529" t="n"/>
      <c r="AV231" s="1422" t="n"/>
    </row>
    <row r="232" hidden="1" outlineLevel="1" ht="14.4" customFormat="1" customHeight="1" s="1418">
      <c r="A232" s="1539" t="inlineStr">
        <is>
          <t>Y/Y change in D&amp;A related to power installation and distribution systems in Cost of Revenue, mm</t>
        </is>
      </c>
      <c r="B232" s="1528" t="n"/>
      <c r="C232" s="1529" t="n"/>
      <c r="D232" s="1529" t="n"/>
      <c r="E232" s="1529" t="n"/>
      <c r="F232" s="1529" t="n"/>
      <c r="G232" s="1529" t="n"/>
      <c r="H232" s="1529" t="n"/>
      <c r="I232" s="1529" t="n"/>
      <c r="J232" s="1529" t="n"/>
      <c r="K232" s="1529" t="n"/>
      <c r="L232" s="1529" t="n"/>
      <c r="M232" s="1529" t="n"/>
      <c r="N232" s="1529" t="n"/>
      <c r="O232" s="1420" t="n"/>
      <c r="P232" s="1420" t="n"/>
      <c r="Q232" s="1420" t="n"/>
      <c r="R232" s="1420" t="n"/>
      <c r="S232" s="1529" t="n"/>
      <c r="T232" s="1420" t="n"/>
      <c r="U232" s="1420" t="n"/>
      <c r="V232" s="1420" t="n"/>
      <c r="W232" s="1420" t="n"/>
      <c r="X232" s="1529" t="n"/>
      <c r="Y232" s="1420" t="n"/>
      <c r="Z232" s="1420" t="n"/>
      <c r="AA232" s="1420" t="n"/>
      <c r="AB232" s="1420" t="n"/>
      <c r="AC232" s="1529" t="n"/>
      <c r="AD232" s="1420" t="n"/>
      <c r="AE232" s="1420" t="n"/>
      <c r="AF232" s="1594" t="n">
        <v>7</v>
      </c>
      <c r="AG232" s="1420" t="n"/>
      <c r="AH232" s="1593" t="n">
        <v>18</v>
      </c>
      <c r="AI232" s="1594" t="n">
        <v>11</v>
      </c>
      <c r="AJ232" s="1594" t="n">
        <v>15</v>
      </c>
      <c r="AK232" s="1595" t="n">
        <v>23</v>
      </c>
      <c r="AL232" s="1420" t="n"/>
      <c r="AM232" s="1529" t="n"/>
      <c r="AN232" s="1420" t="n"/>
      <c r="AO232" s="1420" t="n"/>
      <c r="AP232" s="1420" t="n"/>
      <c r="AQ232" s="1420" t="n"/>
      <c r="AR232" s="1529" t="n"/>
      <c r="AS232" s="1529" t="n"/>
      <c r="AT232" s="1529" t="n"/>
      <c r="AU232" s="1529" t="n"/>
      <c r="AV232" s="1422" t="n"/>
    </row>
    <row r="233" hidden="1" outlineLevel="1" ht="14.4" customFormat="1" customHeight="1" s="1418">
      <c r="A233" s="1539" t="inlineStr">
        <is>
          <t>Y/Y change in other and rounding in Cost of Revenue, mm</t>
        </is>
      </c>
      <c r="B233" s="1528" t="n"/>
      <c r="C233" s="1529" t="n"/>
      <c r="D233" s="1529" t="n"/>
      <c r="E233" s="1529" t="n"/>
      <c r="F233" s="1529" t="n"/>
      <c r="G233" s="1529" t="n"/>
      <c r="H233" s="1529" t="n"/>
      <c r="I233" s="1529" t="n"/>
      <c r="J233" s="1529" t="n"/>
      <c r="K233" s="1529" t="n"/>
      <c r="L233" s="1529" t="n"/>
      <c r="M233" s="1529" t="n"/>
      <c r="N233" s="1529" t="n"/>
      <c r="O233" s="1420" t="n"/>
      <c r="P233" s="1420" t="n"/>
      <c r="Q233" s="1420" t="n"/>
      <c r="R233" s="1420" t="n"/>
      <c r="S233" s="1529" t="n"/>
      <c r="T233" s="1420" t="n"/>
      <c r="U233" s="1420" t="n"/>
      <c r="V233" s="1420" t="n"/>
      <c r="W233" s="1420" t="n"/>
      <c r="X233" s="1529" t="n"/>
      <c r="Y233" s="1420" t="n"/>
      <c r="Z233" s="1420" t="n"/>
      <c r="AA233" s="1420" t="n"/>
      <c r="AB233" s="1420" t="n"/>
      <c r="AC233" s="1540">
        <f>AC234-SUM(AC227:AC232)</f>
        <v/>
      </c>
      <c r="AD233" s="1420" t="n"/>
      <c r="AE233" s="1420" t="n"/>
      <c r="AF233" s="1422">
        <f>AF234-SUM(AF227:AF232)</f>
        <v/>
      </c>
      <c r="AG233" s="1420" t="n"/>
      <c r="AH233" s="1540">
        <f>AH234-SUM(AH227:AH232)</f>
        <v/>
      </c>
      <c r="AI233" s="1420">
        <f>AI234-SUM(AI227:AI232)</f>
        <v/>
      </c>
      <c r="AJ233" s="1420">
        <f>AJ234-SUM(AJ227:AJ232)</f>
        <v/>
      </c>
      <c r="AK233" s="1421">
        <f>AK234-SUM(AK227:AK232)</f>
        <v/>
      </c>
      <c r="AL233" s="1420" t="n"/>
      <c r="AM233" s="1529" t="n"/>
      <c r="AN233" s="1420" t="n"/>
      <c r="AO233" s="1420" t="n"/>
      <c r="AP233" s="1420" t="n"/>
      <c r="AQ233" s="1420" t="n"/>
      <c r="AR233" s="1529" t="n"/>
      <c r="AS233" s="1529" t="n"/>
      <c r="AT233" s="1529" t="n"/>
      <c r="AU233" s="1529" t="n"/>
      <c r="AV233" s="1422" t="n"/>
    </row>
    <row r="234" hidden="1" outlineLevel="1" ht="14.4" customFormat="1" customHeight="1" s="1438">
      <c r="A234" s="1542" t="inlineStr">
        <is>
          <t>Current Period Cost of Revenue, mm</t>
        </is>
      </c>
      <c r="B234" s="1543" t="n"/>
      <c r="C234" s="1544" t="n"/>
      <c r="D234" s="1544" t="n"/>
      <c r="E234" s="1544" t="n"/>
      <c r="F234" s="1544" t="n"/>
      <c r="G234" s="1544" t="n"/>
      <c r="H234" s="1544" t="n"/>
      <c r="I234" s="1544" t="n"/>
      <c r="J234" s="1544" t="n"/>
      <c r="K234" s="1544" t="n"/>
      <c r="L234" s="1544" t="n"/>
      <c r="M234" s="1544" t="n"/>
      <c r="N234" s="1544" t="n"/>
      <c r="O234" s="1545" t="n"/>
      <c r="P234" s="1545" t="n"/>
      <c r="Q234" s="1545" t="n"/>
      <c r="R234" s="1545" t="n"/>
      <c r="S234" s="1544" t="n"/>
      <c r="T234" s="1545" t="n"/>
      <c r="U234" s="1545" t="n"/>
      <c r="V234" s="1545" t="n"/>
      <c r="W234" s="1545" t="n"/>
      <c r="X234" s="1546">
        <f>X281</f>
        <v/>
      </c>
      <c r="Y234" s="1545" t="n"/>
      <c r="Z234" s="1545" t="n"/>
      <c r="AA234" s="1547">
        <f>AA281+Z281+Y281</f>
        <v/>
      </c>
      <c r="AB234" s="1545" t="n"/>
      <c r="AC234" s="1546">
        <f>AC281</f>
        <v/>
      </c>
      <c r="AD234" s="1545">
        <f>AD281</f>
        <v/>
      </c>
      <c r="AE234" s="1545">
        <f>AE281</f>
        <v/>
      </c>
      <c r="AF234" s="1547">
        <f>AF281+AE281+AD281</f>
        <v/>
      </c>
      <c r="AG234" s="1545" t="n"/>
      <c r="AH234" s="1546">
        <f>AH281</f>
        <v/>
      </c>
      <c r="AI234" s="1545">
        <f>AI281</f>
        <v/>
      </c>
      <c r="AJ234" s="1545">
        <f>AJ281</f>
        <v/>
      </c>
      <c r="AK234" s="1596">
        <f>AK281</f>
        <v/>
      </c>
      <c r="AL234" s="1545" t="n"/>
      <c r="AM234" s="1544" t="n"/>
      <c r="AN234" s="1545" t="n"/>
      <c r="AO234" s="1545" t="n"/>
      <c r="AP234" s="1545" t="n"/>
      <c r="AQ234" s="1545" t="n"/>
      <c r="AR234" s="1544" t="n"/>
      <c r="AS234" s="1544" t="n"/>
      <c r="AT234" s="1544" t="n"/>
      <c r="AU234" s="1544" t="n"/>
      <c r="AV234" s="1446" t="n"/>
    </row>
    <row r="235" hidden="1" outlineLevel="1" ht="14.4" customFormat="1" customHeight="1" s="1418">
      <c r="A235" s="1489" t="n"/>
      <c r="B235" s="1528" t="n"/>
      <c r="C235" s="1529" t="n"/>
      <c r="D235" s="1529" t="n"/>
      <c r="E235" s="1529" t="n"/>
      <c r="F235" s="1529" t="n"/>
      <c r="G235" s="1529" t="n"/>
      <c r="H235" s="1529" t="n"/>
      <c r="I235" s="1529" t="n"/>
      <c r="J235" s="1529" t="n"/>
      <c r="K235" s="1529" t="n"/>
      <c r="L235" s="1529" t="n"/>
      <c r="M235" s="1529" t="n"/>
      <c r="N235" s="1529" t="n"/>
      <c r="O235" s="1420" t="n"/>
      <c r="P235" s="1420" t="n"/>
      <c r="Q235" s="1420" t="n"/>
      <c r="R235" s="1420" t="n"/>
      <c r="S235" s="1529" t="n"/>
      <c r="T235" s="1420" t="n"/>
      <c r="U235" s="1420" t="n"/>
      <c r="V235" s="1420" t="n"/>
      <c r="W235" s="1420" t="n"/>
      <c r="X235" s="1529" t="n"/>
      <c r="Y235" s="1420" t="n"/>
      <c r="Z235" s="1420" t="n"/>
      <c r="AA235" s="1420" t="n"/>
      <c r="AB235" s="1420" t="n"/>
      <c r="AC235" s="1529" t="n"/>
      <c r="AD235" s="1420" t="n"/>
      <c r="AE235" s="1420" t="n"/>
      <c r="AF235" s="1420" t="n"/>
      <c r="AG235" s="1420" t="n"/>
      <c r="AH235" s="1529" t="n"/>
      <c r="AI235" s="1420" t="n"/>
      <c r="AJ235" s="1420" t="n"/>
      <c r="AK235" s="1421" t="n"/>
      <c r="AL235" s="1420" t="n"/>
      <c r="AM235" s="1529" t="n"/>
      <c r="AN235" s="1420" t="n"/>
      <c r="AO235" s="1420" t="n"/>
      <c r="AP235" s="1420" t="n"/>
      <c r="AQ235" s="1420" t="n"/>
      <c r="AR235" s="1529" t="n"/>
      <c r="AS235" s="1529" t="n"/>
      <c r="AT235" s="1529" t="n"/>
      <c r="AU235" s="1529" t="n"/>
      <c r="AV235" s="1422" t="n"/>
    </row>
    <row r="236" hidden="1" outlineLevel="1" ht="14.4" customFormat="1" customHeight="1" s="1438">
      <c r="A236" s="1439" t="inlineStr">
        <is>
          <t>Prior Period Technology and Infrastructure Cost, mm</t>
        </is>
      </c>
      <c r="B236" s="1534" t="n"/>
      <c r="C236" s="1535" t="n"/>
      <c r="D236" s="1535" t="n"/>
      <c r="E236" s="1535" t="n"/>
      <c r="F236" s="1535" t="n"/>
      <c r="G236" s="1535" t="n"/>
      <c r="H236" s="1535" t="n"/>
      <c r="I236" s="1535" t="n"/>
      <c r="J236" s="1535" t="n"/>
      <c r="K236" s="1535" t="n"/>
      <c r="L236" s="1535" t="n"/>
      <c r="M236" s="1535" t="n"/>
      <c r="N236" s="1535" t="n"/>
      <c r="O236" s="1536" t="n"/>
      <c r="P236" s="1536" t="n"/>
      <c r="Q236" s="1536" t="n"/>
      <c r="R236" s="1536" t="n"/>
      <c r="S236" s="1535" t="n"/>
      <c r="T236" s="1536" t="n"/>
      <c r="U236" s="1536" t="n"/>
      <c r="V236" s="1536" t="n"/>
      <c r="W236" s="1536" t="n"/>
      <c r="X236" s="1535" t="n"/>
      <c r="Y236" s="1536" t="n"/>
      <c r="Z236" s="1536" t="n"/>
      <c r="AA236" s="1536" t="n"/>
      <c r="AB236" s="1536" t="n"/>
      <c r="AC236" s="1537">
        <f>X242</f>
        <v/>
      </c>
      <c r="AD236" s="1536" t="n"/>
      <c r="AE236" s="1536" t="n"/>
      <c r="AF236" s="1446">
        <f>AA242</f>
        <v/>
      </c>
      <c r="AG236" s="1536" t="n"/>
      <c r="AH236" s="1537">
        <f>AC242</f>
        <v/>
      </c>
      <c r="AI236" s="1536">
        <f>AD242</f>
        <v/>
      </c>
      <c r="AJ236" s="1536">
        <f>AE242</f>
        <v/>
      </c>
      <c r="AK236" s="1675" t="n">
        <v>285.509</v>
      </c>
      <c r="AL236" s="1536" t="n"/>
      <c r="AM236" s="1535" t="n"/>
      <c r="AN236" s="1536" t="n"/>
      <c r="AO236" s="1536" t="n"/>
      <c r="AP236" s="1536" t="n"/>
      <c r="AQ236" s="1536" t="n"/>
      <c r="AR236" s="1535" t="n"/>
      <c r="AS236" s="1535" t="n"/>
      <c r="AT236" s="1535" t="n"/>
      <c r="AU236" s="1535" t="n"/>
      <c r="AV236" s="1446" t="n"/>
    </row>
    <row r="237" hidden="1" outlineLevel="1" ht="14.4" customFormat="1" customHeight="1" s="1418">
      <c r="A237" s="1539" t="inlineStr">
        <is>
          <t>Y/Y change in D&amp;A in Technology and Infrastructure Cost, mm</t>
        </is>
      </c>
      <c r="B237" s="1528" t="n"/>
      <c r="C237" s="1529" t="n"/>
      <c r="D237" s="1529" t="n"/>
      <c r="E237" s="1529" t="n"/>
      <c r="F237" s="1529" t="n"/>
      <c r="G237" s="1529" t="n"/>
      <c r="H237" s="1529" t="n"/>
      <c r="I237" s="1529" t="n"/>
      <c r="J237" s="1529" t="n"/>
      <c r="K237" s="1529" t="n"/>
      <c r="L237" s="1529" t="n"/>
      <c r="M237" s="1529" t="n"/>
      <c r="N237" s="1529" t="n"/>
      <c r="O237" s="1420" t="n"/>
      <c r="P237" s="1420" t="n"/>
      <c r="Q237" s="1420" t="n"/>
      <c r="R237" s="1420" t="n"/>
      <c r="S237" s="1529" t="n"/>
      <c r="T237" s="1420" t="n"/>
      <c r="U237" s="1420" t="n"/>
      <c r="V237" s="1420" t="n"/>
      <c r="W237" s="1420" t="n"/>
      <c r="X237" s="1529" t="n"/>
      <c r="Y237" s="1420" t="n"/>
      <c r="Z237" s="1420" t="n"/>
      <c r="AA237" s="1420" t="n"/>
      <c r="AB237" s="1420" t="n"/>
      <c r="AC237" s="1593" t="n">
        <v>90</v>
      </c>
      <c r="AD237" s="1420" t="n"/>
      <c r="AE237" s="1420" t="n"/>
      <c r="AF237" s="1594" t="n">
        <v>448</v>
      </c>
      <c r="AG237" s="1420" t="n"/>
      <c r="AH237" s="1593" t="n">
        <v>742</v>
      </c>
      <c r="AI237" s="1594" t="n">
        <v>352</v>
      </c>
      <c r="AJ237" s="1594" t="n">
        <v>379</v>
      </c>
      <c r="AK237" s="1595" t="n">
        <v>349</v>
      </c>
      <c r="AL237" s="1420" t="n"/>
      <c r="AM237" s="1529" t="n"/>
      <c r="AN237" s="1420" t="n"/>
      <c r="AO237" s="1420" t="n"/>
      <c r="AP237" s="1420" t="n"/>
      <c r="AQ237" s="1420" t="n"/>
      <c r="AR237" s="1529" t="n"/>
      <c r="AS237" s="1529" t="n"/>
      <c r="AT237" s="1529" t="n"/>
      <c r="AU237" s="1529" t="n"/>
      <c r="AV237" s="1422" t="n"/>
    </row>
    <row r="238" hidden="1" outlineLevel="1" ht="14.4" customFormat="1" customHeight="1" s="1418">
      <c r="A238" s="1539" t="inlineStr">
        <is>
          <t>Y/Y change in personnel costs in Technology and Infrastructure Cost, mm</t>
        </is>
      </c>
      <c r="B238" s="1528" t="n"/>
      <c r="C238" s="1529" t="n"/>
      <c r="D238" s="1529" t="n"/>
      <c r="E238" s="1529" t="n"/>
      <c r="F238" s="1529" t="n"/>
      <c r="G238" s="1529" t="n"/>
      <c r="H238" s="1529" t="n"/>
      <c r="I238" s="1529" t="n"/>
      <c r="J238" s="1529" t="n"/>
      <c r="K238" s="1529" t="n"/>
      <c r="L238" s="1529" t="n"/>
      <c r="M238" s="1529" t="n"/>
      <c r="N238" s="1529" t="n"/>
      <c r="O238" s="1420" t="n"/>
      <c r="P238" s="1420" t="n"/>
      <c r="Q238" s="1420" t="n"/>
      <c r="R238" s="1420" t="n"/>
      <c r="S238" s="1529" t="n"/>
      <c r="T238" s="1420" t="n"/>
      <c r="U238" s="1420" t="n"/>
      <c r="V238" s="1420" t="n"/>
      <c r="W238" s="1420" t="n"/>
      <c r="X238" s="1529" t="n"/>
      <c r="Y238" s="1420" t="n"/>
      <c r="Z238" s="1420" t="n"/>
      <c r="AA238" s="1420" t="n"/>
      <c r="AB238" s="1420" t="n"/>
      <c r="AC238" s="1593" t="n">
        <v>17</v>
      </c>
      <c r="AD238" s="1420" t="n"/>
      <c r="AE238" s="1420" t="n"/>
      <c r="AF238" s="1594" t="n">
        <v>18</v>
      </c>
      <c r="AG238" s="1420" t="n"/>
      <c r="AH238" s="1593" t="n">
        <v>56</v>
      </c>
      <c r="AI238" s="1420">
        <f>82-AI239</f>
        <v/>
      </c>
      <c r="AJ238" s="1420">
        <f>76-AJ239</f>
        <v/>
      </c>
      <c r="AK238" s="1421">
        <f>90-AK239</f>
        <v/>
      </c>
      <c r="AL238" s="1420" t="n"/>
      <c r="AM238" s="1529" t="n"/>
      <c r="AN238" s="1420" t="n"/>
      <c r="AO238" s="1420" t="n"/>
      <c r="AP238" s="1420" t="n"/>
      <c r="AQ238" s="1420" t="n"/>
      <c r="AR238" s="1529" t="n"/>
      <c r="AS238" s="1529" t="n"/>
      <c r="AT238" s="1529" t="n"/>
      <c r="AU238" s="1529" t="n"/>
      <c r="AV238" s="1422" t="n"/>
    </row>
    <row r="239" hidden="1" outlineLevel="1" ht="14.4" customFormat="1" customHeight="1" s="1418">
      <c r="A239" s="1539" t="inlineStr">
        <is>
          <t>Y/Y change in SBC in Technology and Infrastructure Cost, mm</t>
        </is>
      </c>
      <c r="B239" s="1528" t="n"/>
      <c r="C239" s="1529" t="n"/>
      <c r="D239" s="1529" t="n"/>
      <c r="E239" s="1529" t="n"/>
      <c r="F239" s="1529" t="n"/>
      <c r="G239" s="1529" t="n"/>
      <c r="H239" s="1529" t="n"/>
      <c r="I239" s="1529" t="n"/>
      <c r="J239" s="1529" t="n"/>
      <c r="K239" s="1529" t="n"/>
      <c r="L239" s="1529" t="n"/>
      <c r="M239" s="1529" t="n"/>
      <c r="N239" s="1529" t="n"/>
      <c r="O239" s="1420" t="n"/>
      <c r="P239" s="1420" t="n"/>
      <c r="Q239" s="1420" t="n"/>
      <c r="R239" s="1420" t="n"/>
      <c r="S239" s="1529" t="n"/>
      <c r="T239" s="1420" t="n"/>
      <c r="U239" s="1420" t="n"/>
      <c r="V239" s="1420" t="n"/>
      <c r="W239" s="1420" t="n"/>
      <c r="X239" s="1529" t="n"/>
      <c r="Y239" s="1420" t="n"/>
      <c r="Z239" s="1420" t="n"/>
      <c r="AA239" s="1420" t="n"/>
      <c r="AB239" s="1420" t="n"/>
      <c r="AC239" s="1529" t="n"/>
      <c r="AD239" s="1420" t="n"/>
      <c r="AE239" s="1420" t="n"/>
      <c r="AF239" s="1420" t="n"/>
      <c r="AG239" s="1420" t="n"/>
      <c r="AH239" s="1529" t="n"/>
      <c r="AI239" s="1594" t="n">
        <v>52</v>
      </c>
      <c r="AJ239" s="1594" t="n">
        <v>46</v>
      </c>
      <c r="AK239" s="1595" t="n">
        <v>50</v>
      </c>
      <c r="AL239" s="1420" t="n"/>
      <c r="AM239" s="1529" t="n"/>
      <c r="AN239" s="1420" t="n"/>
      <c r="AO239" s="1420" t="n"/>
      <c r="AP239" s="1420" t="n"/>
      <c r="AQ239" s="1420" t="n"/>
      <c r="AR239" s="1529" t="n"/>
      <c r="AS239" s="1529" t="n"/>
      <c r="AT239" s="1529" t="n"/>
      <c r="AU239" s="1529" t="n"/>
      <c r="AV239" s="1422" t="n"/>
    </row>
    <row r="240" hidden="1" outlineLevel="1" ht="14.4" customFormat="1" customHeight="1" s="1418">
      <c r="A240" s="1539" t="inlineStr">
        <is>
          <t>Y/Y change in equipment support and software expenses in Technology and Infrastructure Cost, mm</t>
        </is>
      </c>
      <c r="B240" s="1528" t="n"/>
      <c r="C240" s="1529" t="n"/>
      <c r="D240" s="1529" t="n"/>
      <c r="E240" s="1529" t="n"/>
      <c r="F240" s="1529" t="n"/>
      <c r="G240" s="1529" t="n"/>
      <c r="H240" s="1529" t="n"/>
      <c r="I240" s="1529" t="n"/>
      <c r="J240" s="1529" t="n"/>
      <c r="K240" s="1529" t="n"/>
      <c r="L240" s="1529" t="n"/>
      <c r="M240" s="1529" t="n"/>
      <c r="N240" s="1529" t="n"/>
      <c r="O240" s="1420" t="n"/>
      <c r="P240" s="1420" t="n"/>
      <c r="Q240" s="1420" t="n"/>
      <c r="R240" s="1420" t="n"/>
      <c r="S240" s="1529" t="n"/>
      <c r="T240" s="1420" t="n"/>
      <c r="U240" s="1420" t="n"/>
      <c r="V240" s="1420" t="n"/>
      <c r="W240" s="1420" t="n"/>
      <c r="X240" s="1529" t="n"/>
      <c r="Y240" s="1420" t="n"/>
      <c r="Z240" s="1420" t="n"/>
      <c r="AA240" s="1420" t="n"/>
      <c r="AB240" s="1420" t="n"/>
      <c r="AC240" s="1593" t="n">
        <v>4</v>
      </c>
      <c r="AD240" s="1420" t="n"/>
      <c r="AE240" s="1420" t="n"/>
      <c r="AF240" s="1594" t="n">
        <v>29</v>
      </c>
      <c r="AG240" s="1420" t="n"/>
      <c r="AH240" s="1593" t="n">
        <v>45</v>
      </c>
      <c r="AI240" s="1594" t="n">
        <v>17</v>
      </c>
      <c r="AJ240" s="1594" t="n">
        <v>12</v>
      </c>
      <c r="AK240" s="1421" t="n"/>
      <c r="AL240" s="1420" t="n"/>
      <c r="AM240" s="1529" t="n"/>
      <c r="AN240" s="1420" t="n"/>
      <c r="AO240" s="1420" t="n"/>
      <c r="AP240" s="1420" t="n"/>
      <c r="AQ240" s="1420" t="n"/>
      <c r="AR240" s="1529" t="n"/>
      <c r="AS240" s="1529" t="n"/>
      <c r="AT240" s="1529" t="n"/>
      <c r="AU240" s="1529" t="n"/>
      <c r="AV240" s="1422" t="n"/>
    </row>
    <row r="241" hidden="1" outlineLevel="1" ht="14.4" customFormat="1" customHeight="1" s="1418">
      <c r="A241" s="1539" t="inlineStr">
        <is>
          <t>Y/Y change in other and rounding in Technology and Infrastructure Cost, mm</t>
        </is>
      </c>
      <c r="B241" s="1528" t="n"/>
      <c r="C241" s="1529" t="n"/>
      <c r="D241" s="1529" t="n"/>
      <c r="E241" s="1529" t="n"/>
      <c r="F241" s="1529" t="n"/>
      <c r="G241" s="1529" t="n"/>
      <c r="H241" s="1529" t="n"/>
      <c r="I241" s="1529" t="n"/>
      <c r="J241" s="1529" t="n"/>
      <c r="K241" s="1529" t="n"/>
      <c r="L241" s="1529" t="n"/>
      <c r="M241" s="1529" t="n"/>
      <c r="N241" s="1529" t="n"/>
      <c r="O241" s="1420" t="n"/>
      <c r="P241" s="1420" t="n"/>
      <c r="Q241" s="1420" t="n"/>
      <c r="R241" s="1420" t="n"/>
      <c r="S241" s="1529" t="n"/>
      <c r="T241" s="1420" t="n"/>
      <c r="U241" s="1420" t="n"/>
      <c r="V241" s="1420" t="n"/>
      <c r="W241" s="1420" t="n"/>
      <c r="X241" s="1529" t="n"/>
      <c r="Y241" s="1420" t="n"/>
      <c r="Z241" s="1420" t="n"/>
      <c r="AA241" s="1420" t="n"/>
      <c r="AB241" s="1420" t="n"/>
      <c r="AC241" s="1540">
        <f>AC242-SUM(AC236:AC240)</f>
        <v/>
      </c>
      <c r="AD241" s="1420" t="n"/>
      <c r="AE241" s="1420" t="n"/>
      <c r="AF241" s="1422">
        <f>AF242-SUM(AF236:AF240)</f>
        <v/>
      </c>
      <c r="AG241" s="1420" t="n"/>
      <c r="AH241" s="1540">
        <f>AH242-SUM(AH236:AH240)</f>
        <v/>
      </c>
      <c r="AI241" s="1420">
        <f>AI242-SUM(AI236:AI240)</f>
        <v/>
      </c>
      <c r="AJ241" s="1420">
        <f>AJ242-SUM(AJ236:AJ240)</f>
        <v/>
      </c>
      <c r="AK241" s="1421">
        <f>AK242-SUM(AK236:AK240)</f>
        <v/>
      </c>
      <c r="AL241" s="1420" t="n"/>
      <c r="AM241" s="1529" t="n"/>
      <c r="AN241" s="1420" t="n"/>
      <c r="AO241" s="1420" t="n"/>
      <c r="AP241" s="1420" t="n"/>
      <c r="AQ241" s="1420" t="n"/>
      <c r="AR241" s="1529" t="n"/>
      <c r="AS241" s="1529" t="n"/>
      <c r="AT241" s="1529" t="n"/>
      <c r="AU241" s="1529" t="n"/>
      <c r="AV241" s="1422" t="n"/>
    </row>
    <row r="242" hidden="1" outlineLevel="1" ht="14.4" customFormat="1" customHeight="1" s="1438">
      <c r="A242" s="1542" t="inlineStr">
        <is>
          <t>Current Period Technology and Infrastructure Cost, mm</t>
        </is>
      </c>
      <c r="B242" s="1543" t="n"/>
      <c r="C242" s="1544" t="n"/>
      <c r="D242" s="1544" t="n"/>
      <c r="E242" s="1544" t="n"/>
      <c r="F242" s="1544" t="n"/>
      <c r="G242" s="1544" t="n"/>
      <c r="H242" s="1544" t="n"/>
      <c r="I242" s="1544" t="n"/>
      <c r="J242" s="1544" t="n"/>
      <c r="K242" s="1544" t="n"/>
      <c r="L242" s="1544" t="n"/>
      <c r="M242" s="1544" t="n"/>
      <c r="N242" s="1544" t="n"/>
      <c r="O242" s="1545" t="n"/>
      <c r="P242" s="1545" t="n"/>
      <c r="Q242" s="1545" t="n"/>
      <c r="R242" s="1545" t="n"/>
      <c r="S242" s="1544" t="n"/>
      <c r="T242" s="1545" t="n"/>
      <c r="U242" s="1545" t="n"/>
      <c r="V242" s="1545" t="n"/>
      <c r="W242" s="1545" t="n"/>
      <c r="X242" s="1546">
        <f>X282</f>
        <v/>
      </c>
      <c r="Y242" s="1545" t="n"/>
      <c r="Z242" s="1545" t="n"/>
      <c r="AA242" s="1547">
        <f>AA282+Z282+Y282</f>
        <v/>
      </c>
      <c r="AB242" s="1545" t="n"/>
      <c r="AC242" s="1546">
        <f>AC282</f>
        <v/>
      </c>
      <c r="AD242" s="1545">
        <f>AD282</f>
        <v/>
      </c>
      <c r="AE242" s="1545">
        <f>AE282</f>
        <v/>
      </c>
      <c r="AF242" s="1547">
        <f>AF282+AE282+AD282</f>
        <v/>
      </c>
      <c r="AG242" s="1545" t="n"/>
      <c r="AH242" s="1546">
        <f>AH282</f>
        <v/>
      </c>
      <c r="AI242" s="1545">
        <f>AI282</f>
        <v/>
      </c>
      <c r="AJ242" s="1545">
        <f>AJ282</f>
        <v/>
      </c>
      <c r="AK242" s="1596">
        <f>AK282</f>
        <v/>
      </c>
      <c r="AL242" s="1545" t="n"/>
      <c r="AM242" s="1544" t="n"/>
      <c r="AN242" s="1545" t="n"/>
      <c r="AO242" s="1545" t="n"/>
      <c r="AP242" s="1545" t="n"/>
      <c r="AQ242" s="1545" t="n"/>
      <c r="AR242" s="1544" t="n"/>
      <c r="AS242" s="1544" t="n"/>
      <c r="AT242" s="1544" t="n"/>
      <c r="AU242" s="1544" t="n"/>
      <c r="AV242" s="1446" t="n"/>
    </row>
    <row r="243" hidden="1" outlineLevel="1" ht="14.4" customFormat="1" customHeight="1" s="1418">
      <c r="A243" s="1489" t="n"/>
      <c r="B243" s="1528" t="n"/>
      <c r="C243" s="1529" t="n"/>
      <c r="D243" s="1529" t="n"/>
      <c r="E243" s="1529" t="n"/>
      <c r="F243" s="1529" t="n"/>
      <c r="G243" s="1529" t="n"/>
      <c r="H243" s="1529" t="n"/>
      <c r="I243" s="1529" t="n"/>
      <c r="J243" s="1529" t="n"/>
      <c r="K243" s="1529" t="n"/>
      <c r="L243" s="1529" t="n"/>
      <c r="M243" s="1529" t="n"/>
      <c r="N243" s="1529" t="n"/>
      <c r="O243" s="1420" t="n"/>
      <c r="P243" s="1420" t="n"/>
      <c r="Q243" s="1420" t="n"/>
      <c r="R243" s="1420" t="n"/>
      <c r="S243" s="1529" t="n"/>
      <c r="T243" s="1420" t="n"/>
      <c r="U243" s="1420" t="n"/>
      <c r="V243" s="1420" t="n"/>
      <c r="W243" s="1420" t="n"/>
      <c r="X243" s="1529" t="n"/>
      <c r="Y243" s="1420" t="n"/>
      <c r="Z243" s="1420" t="n"/>
      <c r="AA243" s="1420" t="n"/>
      <c r="AB243" s="1420" t="n"/>
      <c r="AC243" s="1529" t="n"/>
      <c r="AD243" s="1420" t="n"/>
      <c r="AE243" s="1420" t="n"/>
      <c r="AF243" s="1420" t="n"/>
      <c r="AG243" s="1420" t="n"/>
      <c r="AH243" s="1529" t="n"/>
      <c r="AI243" s="1420" t="n"/>
      <c r="AJ243" s="1420" t="n"/>
      <c r="AK243" s="1421" t="n"/>
      <c r="AL243" s="1420" t="n"/>
      <c r="AM243" s="1529" t="n"/>
      <c r="AN243" s="1420" t="n"/>
      <c r="AO243" s="1420" t="n"/>
      <c r="AP243" s="1420" t="n"/>
      <c r="AQ243" s="1420" t="n"/>
      <c r="AR243" s="1529" t="n"/>
      <c r="AS243" s="1529" t="n"/>
      <c r="AT243" s="1529" t="n"/>
      <c r="AU243" s="1529" t="n"/>
      <c r="AV243" s="1422" t="n"/>
    </row>
    <row r="244" hidden="1" outlineLevel="1" ht="14.4" customFormat="1" customHeight="1" s="1438">
      <c r="A244" s="1439" t="inlineStr">
        <is>
          <t>Prior Period S&amp;M, mm</t>
        </is>
      </c>
      <c r="B244" s="1534" t="n"/>
      <c r="C244" s="1535" t="n"/>
      <c r="D244" s="1535" t="n"/>
      <c r="E244" s="1535" t="n"/>
      <c r="F244" s="1535" t="n"/>
      <c r="G244" s="1535" t="n"/>
      <c r="H244" s="1535" t="n"/>
      <c r="I244" s="1535" t="n"/>
      <c r="J244" s="1535" t="n"/>
      <c r="K244" s="1535" t="n"/>
      <c r="L244" s="1535" t="n"/>
      <c r="M244" s="1535" t="n"/>
      <c r="N244" s="1535" t="n"/>
      <c r="O244" s="1536" t="n"/>
      <c r="P244" s="1536" t="n"/>
      <c r="Q244" s="1536" t="n"/>
      <c r="R244" s="1536" t="n"/>
      <c r="S244" s="1535" t="n"/>
      <c r="T244" s="1536" t="n"/>
      <c r="U244" s="1536" t="n"/>
      <c r="V244" s="1536" t="n"/>
      <c r="W244" s="1536" t="n"/>
      <c r="X244" s="1535" t="n"/>
      <c r="Y244" s="1536" t="n"/>
      <c r="Z244" s="1536" t="n"/>
      <c r="AA244" s="1536" t="n"/>
      <c r="AB244" s="1536" t="n"/>
      <c r="AC244" s="1537">
        <f>X249</f>
        <v/>
      </c>
      <c r="AD244" s="1536" t="n"/>
      <c r="AE244" s="1536" t="n"/>
      <c r="AF244" s="1446">
        <f>AA249</f>
        <v/>
      </c>
      <c r="AG244" s="1536" t="n"/>
      <c r="AH244" s="1537">
        <f>AC249</f>
        <v/>
      </c>
      <c r="AI244" s="1536">
        <f>AD249</f>
        <v/>
      </c>
      <c r="AJ244" s="1536">
        <f>AE249</f>
        <v/>
      </c>
      <c r="AK244" s="1675" t="n">
        <v>4.554</v>
      </c>
      <c r="AL244" s="1536" t="n"/>
      <c r="AM244" s="1535" t="n"/>
      <c r="AN244" s="1536" t="n"/>
      <c r="AO244" s="1536" t="n"/>
      <c r="AP244" s="1536" t="n"/>
      <c r="AQ244" s="1536" t="n"/>
      <c r="AR244" s="1535" t="n"/>
      <c r="AS244" s="1535" t="n"/>
      <c r="AT244" s="1535" t="n"/>
      <c r="AU244" s="1535" t="n"/>
      <c r="AV244" s="1446" t="n"/>
    </row>
    <row r="245" hidden="1" outlineLevel="1" ht="14.4" customFormat="1" customHeight="1" s="1418">
      <c r="A245" s="1539" t="inlineStr">
        <is>
          <t>Y/Y Change in personnel expense in S&amp;M, mm</t>
        </is>
      </c>
      <c r="B245" s="1528" t="n"/>
      <c r="C245" s="1529" t="n"/>
      <c r="D245" s="1529" t="n"/>
      <c r="E245" s="1529" t="n"/>
      <c r="F245" s="1529" t="n"/>
      <c r="G245" s="1529" t="n"/>
      <c r="H245" s="1529" t="n"/>
      <c r="I245" s="1529" t="n"/>
      <c r="J245" s="1529" t="n"/>
      <c r="K245" s="1529" t="n"/>
      <c r="L245" s="1529" t="n"/>
      <c r="M245" s="1529" t="n"/>
      <c r="N245" s="1529" t="n"/>
      <c r="O245" s="1420" t="n"/>
      <c r="P245" s="1420" t="n"/>
      <c r="Q245" s="1420" t="n"/>
      <c r="R245" s="1420" t="n"/>
      <c r="S245" s="1529" t="n"/>
      <c r="T245" s="1420" t="n"/>
      <c r="U245" s="1420" t="n"/>
      <c r="V245" s="1420" t="n"/>
      <c r="W245" s="1420" t="n"/>
      <c r="X245" s="1529" t="n"/>
      <c r="Y245" s="1420" t="n"/>
      <c r="Z245" s="1420" t="n"/>
      <c r="AA245" s="1420" t="n"/>
      <c r="AB245" s="1420" t="n"/>
      <c r="AC245" s="1593" t="n">
        <v>7</v>
      </c>
      <c r="AD245" s="1420" t="n"/>
      <c r="AE245" s="1420" t="n"/>
      <c r="AF245" s="1594" t="n">
        <v>3</v>
      </c>
      <c r="AG245" s="1420" t="n"/>
      <c r="AH245" s="1593" t="n">
        <v>3</v>
      </c>
      <c r="AI245" s="1420">
        <f>4-AI246</f>
        <v/>
      </c>
      <c r="AJ245" s="1420">
        <f>14-AJ246</f>
        <v/>
      </c>
      <c r="AK245" s="1421">
        <f>20-AK246</f>
        <v/>
      </c>
      <c r="AL245" s="1420" t="n"/>
      <c r="AM245" s="1529" t="n"/>
      <c r="AN245" s="1420" t="n"/>
      <c r="AO245" s="1420" t="n"/>
      <c r="AP245" s="1420" t="n"/>
      <c r="AQ245" s="1420" t="n"/>
      <c r="AR245" s="1529" t="n"/>
      <c r="AS245" s="1529" t="n"/>
      <c r="AT245" s="1529" t="n"/>
      <c r="AU245" s="1529" t="n"/>
      <c r="AV245" s="1422" t="n"/>
    </row>
    <row r="246" hidden="1" outlineLevel="1" ht="14.4" customFormat="1" customHeight="1" s="1418">
      <c r="A246" s="1539" t="inlineStr">
        <is>
          <t>Y/Y Change in SBC in S&amp;M, mm</t>
        </is>
      </c>
      <c r="B246" s="1528" t="n"/>
      <c r="C246" s="1529" t="n"/>
      <c r="D246" s="1529" t="n"/>
      <c r="E246" s="1529" t="n"/>
      <c r="F246" s="1529" t="n"/>
      <c r="G246" s="1529" t="n"/>
      <c r="H246" s="1529" t="n"/>
      <c r="I246" s="1529" t="n"/>
      <c r="J246" s="1529" t="n"/>
      <c r="K246" s="1529" t="n"/>
      <c r="L246" s="1529" t="n"/>
      <c r="M246" s="1529" t="n"/>
      <c r="N246" s="1529" t="n"/>
      <c r="O246" s="1420" t="n"/>
      <c r="P246" s="1420" t="n"/>
      <c r="Q246" s="1420" t="n"/>
      <c r="R246" s="1420" t="n"/>
      <c r="S246" s="1529" t="n"/>
      <c r="T246" s="1420" t="n"/>
      <c r="U246" s="1420" t="n"/>
      <c r="V246" s="1420" t="n"/>
      <c r="W246" s="1420" t="n"/>
      <c r="X246" s="1529" t="n"/>
      <c r="Y246" s="1420" t="n"/>
      <c r="Z246" s="1420" t="n"/>
      <c r="AA246" s="1420" t="n"/>
      <c r="AB246" s="1420" t="n"/>
      <c r="AC246" s="1529" t="n"/>
      <c r="AD246" s="1420" t="n"/>
      <c r="AE246" s="1420" t="n"/>
      <c r="AF246" s="1420" t="n"/>
      <c r="AG246" s="1420" t="n"/>
      <c r="AH246" s="1529" t="n"/>
      <c r="AI246" s="1594" t="n">
        <v>2</v>
      </c>
      <c r="AJ246" s="1594" t="n">
        <v>8</v>
      </c>
      <c r="AK246" s="1595" t="n">
        <v>9</v>
      </c>
      <c r="AL246" s="1420" t="n"/>
      <c r="AM246" s="1529" t="n"/>
      <c r="AN246" s="1420" t="n"/>
      <c r="AO246" s="1420" t="n"/>
      <c r="AP246" s="1420" t="n"/>
      <c r="AQ246" s="1420" t="n"/>
      <c r="AR246" s="1529" t="n"/>
      <c r="AS246" s="1529" t="n"/>
      <c r="AT246" s="1529" t="n"/>
      <c r="AU246" s="1529" t="n"/>
      <c r="AV246" s="1422" t="n"/>
    </row>
    <row r="247" hidden="1" outlineLevel="1" ht="14.4" customFormat="1" customHeight="1" s="1418">
      <c r="A247" s="1539" t="inlineStr">
        <is>
          <t>Y/Y Change in advertising and sponsorship expenses, mm</t>
        </is>
      </c>
      <c r="B247" s="1528" t="n"/>
      <c r="C247" s="1529" t="n"/>
      <c r="D247" s="1529" t="n"/>
      <c r="E247" s="1529" t="n"/>
      <c r="F247" s="1529" t="n"/>
      <c r="G247" s="1529" t="n"/>
      <c r="H247" s="1529" t="n"/>
      <c r="I247" s="1529" t="n"/>
      <c r="J247" s="1529" t="n"/>
      <c r="K247" s="1529" t="n"/>
      <c r="L247" s="1529" t="n"/>
      <c r="M247" s="1529" t="n"/>
      <c r="N247" s="1529" t="n"/>
      <c r="O247" s="1420" t="n"/>
      <c r="P247" s="1420" t="n"/>
      <c r="Q247" s="1420" t="n"/>
      <c r="R247" s="1420" t="n"/>
      <c r="S247" s="1529" t="n"/>
      <c r="T247" s="1420" t="n"/>
      <c r="U247" s="1420" t="n"/>
      <c r="V247" s="1420" t="n"/>
      <c r="W247" s="1420" t="n"/>
      <c r="X247" s="1529" t="n"/>
      <c r="Y247" s="1420" t="n"/>
      <c r="Z247" s="1420" t="n"/>
      <c r="AA247" s="1420" t="n"/>
      <c r="AB247" s="1420" t="n"/>
      <c r="AC247" s="1529" t="n"/>
      <c r="AD247" s="1420" t="n"/>
      <c r="AE247" s="1420" t="n"/>
      <c r="AF247" s="1420" t="n"/>
      <c r="AG247" s="1420" t="n"/>
      <c r="AH247" s="1529" t="n"/>
      <c r="AI247" s="1420" t="n"/>
      <c r="AJ247" s="1594" t="n">
        <v>14</v>
      </c>
      <c r="AK247" s="1595" t="n">
        <v>13</v>
      </c>
      <c r="AL247" s="1420" t="n"/>
      <c r="AM247" s="1529" t="n"/>
      <c r="AN247" s="1420" t="n"/>
      <c r="AO247" s="1420" t="n"/>
      <c r="AP247" s="1420" t="n"/>
      <c r="AQ247" s="1420" t="n"/>
      <c r="AR247" s="1529" t="n"/>
      <c r="AS247" s="1529" t="n"/>
      <c r="AT247" s="1529" t="n"/>
      <c r="AU247" s="1529" t="n"/>
      <c r="AV247" s="1422" t="n"/>
    </row>
    <row r="248" hidden="1" outlineLevel="1" ht="14.4" customFormat="1" customHeight="1" s="1418">
      <c r="A248" s="1539" t="inlineStr">
        <is>
          <t>Y/Y change in other and rounding in S&amp;M, mm</t>
        </is>
      </c>
      <c r="B248" s="1528" t="n"/>
      <c r="C248" s="1529" t="n"/>
      <c r="D248" s="1529" t="n"/>
      <c r="E248" s="1529" t="n"/>
      <c r="F248" s="1529" t="n"/>
      <c r="G248" s="1529" t="n"/>
      <c r="H248" s="1529" t="n"/>
      <c r="I248" s="1529" t="n"/>
      <c r="J248" s="1529" t="n"/>
      <c r="K248" s="1529" t="n"/>
      <c r="L248" s="1529" t="n"/>
      <c r="M248" s="1529" t="n"/>
      <c r="N248" s="1529" t="n"/>
      <c r="O248" s="1420" t="n"/>
      <c r="P248" s="1420" t="n"/>
      <c r="Q248" s="1420" t="n"/>
      <c r="R248" s="1420" t="n"/>
      <c r="S248" s="1529" t="n"/>
      <c r="T248" s="1420" t="n"/>
      <c r="U248" s="1420" t="n"/>
      <c r="V248" s="1420" t="n"/>
      <c r="W248" s="1420" t="n"/>
      <c r="X248" s="1529" t="n"/>
      <c r="Y248" s="1420" t="n"/>
      <c r="Z248" s="1420" t="n"/>
      <c r="AA248" s="1420" t="n"/>
      <c r="AB248" s="1420" t="n"/>
      <c r="AC248" s="1540">
        <f>AC249-SUM(AC244:AC247)</f>
        <v/>
      </c>
      <c r="AD248" s="1420" t="n"/>
      <c r="AE248" s="1420" t="n"/>
      <c r="AF248" s="1422">
        <f>AF249-SUM(AF244:AF247)</f>
        <v/>
      </c>
      <c r="AG248" s="1420" t="n"/>
      <c r="AH248" s="1540">
        <f>AH249-SUM(AH244:AH247)</f>
        <v/>
      </c>
      <c r="AI248" s="1420">
        <f>AI249-SUM(AI244:AI247)</f>
        <v/>
      </c>
      <c r="AJ248" s="1420">
        <f>AJ249-SUM(AJ244:AJ247)</f>
        <v/>
      </c>
      <c r="AK248" s="1421">
        <f>AK249-SUM(AK244:AK247)</f>
        <v/>
      </c>
      <c r="AL248" s="1420" t="n"/>
      <c r="AM248" s="1529" t="n"/>
      <c r="AN248" s="1420" t="n"/>
      <c r="AO248" s="1420" t="n"/>
      <c r="AP248" s="1420" t="n"/>
      <c r="AQ248" s="1420" t="n"/>
      <c r="AR248" s="1529" t="n"/>
      <c r="AS248" s="1529" t="n"/>
      <c r="AT248" s="1529" t="n"/>
      <c r="AU248" s="1529" t="n"/>
      <c r="AV248" s="1422" t="n"/>
    </row>
    <row r="249" hidden="1" outlineLevel="1" ht="14.4" customFormat="1" customHeight="1" s="1438">
      <c r="A249" s="1542" t="inlineStr">
        <is>
          <t>Current Period S&amp;M, mm</t>
        </is>
      </c>
      <c r="B249" s="1543" t="n"/>
      <c r="C249" s="1544" t="n"/>
      <c r="D249" s="1544" t="n"/>
      <c r="E249" s="1544" t="n"/>
      <c r="F249" s="1544" t="n"/>
      <c r="G249" s="1544" t="n"/>
      <c r="H249" s="1544" t="n"/>
      <c r="I249" s="1544" t="n"/>
      <c r="J249" s="1544" t="n"/>
      <c r="K249" s="1544" t="n"/>
      <c r="L249" s="1544" t="n"/>
      <c r="M249" s="1544" t="n"/>
      <c r="N249" s="1544" t="n"/>
      <c r="O249" s="1545" t="n"/>
      <c r="P249" s="1545" t="n"/>
      <c r="Q249" s="1545" t="n"/>
      <c r="R249" s="1545" t="n"/>
      <c r="S249" s="1544" t="n"/>
      <c r="T249" s="1545" t="n"/>
      <c r="U249" s="1545" t="n"/>
      <c r="V249" s="1545" t="n"/>
      <c r="W249" s="1545" t="n"/>
      <c r="X249" s="1546">
        <f>X283</f>
        <v/>
      </c>
      <c r="Y249" s="1545" t="n"/>
      <c r="Z249" s="1545" t="n"/>
      <c r="AA249" s="1547">
        <f>AA283+Z283+Y283</f>
        <v/>
      </c>
      <c r="AB249" s="1545" t="n"/>
      <c r="AC249" s="1546">
        <f>AC283</f>
        <v/>
      </c>
      <c r="AD249" s="1545">
        <f>AD283</f>
        <v/>
      </c>
      <c r="AE249" s="1545">
        <f>AE283</f>
        <v/>
      </c>
      <c r="AF249" s="1547">
        <f>AF283+AE283+AD283</f>
        <v/>
      </c>
      <c r="AG249" s="1545" t="n"/>
      <c r="AH249" s="1546">
        <f>AH283</f>
        <v/>
      </c>
      <c r="AI249" s="1545">
        <f>AI283</f>
        <v/>
      </c>
      <c r="AJ249" s="1545">
        <f>AJ283</f>
        <v/>
      </c>
      <c r="AK249" s="1596">
        <f>AK283</f>
        <v/>
      </c>
      <c r="AL249" s="1545" t="n"/>
      <c r="AM249" s="1544" t="n"/>
      <c r="AN249" s="1545" t="n"/>
      <c r="AO249" s="1545" t="n"/>
      <c r="AP249" s="1545" t="n"/>
      <c r="AQ249" s="1545" t="n"/>
      <c r="AR249" s="1544" t="n"/>
      <c r="AS249" s="1544" t="n"/>
      <c r="AT249" s="1544" t="n"/>
      <c r="AU249" s="1544" t="n"/>
      <c r="AV249" s="1446" t="n"/>
    </row>
    <row r="250" hidden="1" outlineLevel="1" ht="14.4" customFormat="1" customHeight="1" s="1418">
      <c r="A250" s="1489" t="n"/>
      <c r="B250" s="1528" t="n"/>
      <c r="C250" s="1529" t="n"/>
      <c r="D250" s="1529" t="n"/>
      <c r="E250" s="1529" t="n"/>
      <c r="F250" s="1529" t="n"/>
      <c r="G250" s="1529" t="n"/>
      <c r="H250" s="1529" t="n"/>
      <c r="I250" s="1529" t="n"/>
      <c r="J250" s="1529" t="n"/>
      <c r="K250" s="1529" t="n"/>
      <c r="L250" s="1529" t="n"/>
      <c r="M250" s="1529" t="n"/>
      <c r="N250" s="1529" t="n"/>
      <c r="O250" s="1420" t="n"/>
      <c r="P250" s="1420" t="n"/>
      <c r="Q250" s="1420" t="n"/>
      <c r="R250" s="1420" t="n"/>
      <c r="S250" s="1529" t="n"/>
      <c r="T250" s="1420" t="n"/>
      <c r="U250" s="1420" t="n"/>
      <c r="V250" s="1420" t="n"/>
      <c r="W250" s="1420" t="n"/>
      <c r="X250" s="1529" t="n"/>
      <c r="Y250" s="1420" t="n"/>
      <c r="Z250" s="1420" t="n"/>
      <c r="AA250" s="1420" t="n"/>
      <c r="AB250" s="1420" t="n"/>
      <c r="AC250" s="1529" t="n"/>
      <c r="AD250" s="1420" t="n"/>
      <c r="AE250" s="1420" t="n"/>
      <c r="AF250" s="1420" t="n"/>
      <c r="AG250" s="1420" t="n"/>
      <c r="AH250" s="1529" t="n"/>
      <c r="AI250" s="1420" t="n"/>
      <c r="AJ250" s="1420" t="n"/>
      <c r="AK250" s="1421" t="n"/>
      <c r="AL250" s="1420" t="n"/>
      <c r="AM250" s="1529" t="n"/>
      <c r="AN250" s="1420" t="n"/>
      <c r="AO250" s="1420" t="n"/>
      <c r="AP250" s="1420" t="n"/>
      <c r="AQ250" s="1420" t="n"/>
      <c r="AR250" s="1529" t="n"/>
      <c r="AS250" s="1529" t="n"/>
      <c r="AT250" s="1529" t="n"/>
      <c r="AU250" s="1529" t="n"/>
      <c r="AV250" s="1422" t="n"/>
    </row>
    <row r="251" hidden="1" outlineLevel="1" ht="14.4" customFormat="1" customHeight="1" s="1438">
      <c r="A251" s="1439" t="inlineStr">
        <is>
          <t>Prior Period G&amp;A, mm</t>
        </is>
      </c>
      <c r="B251" s="1534" t="n"/>
      <c r="C251" s="1535" t="n"/>
      <c r="D251" s="1535" t="n"/>
      <c r="E251" s="1535" t="n"/>
      <c r="F251" s="1535" t="n"/>
      <c r="G251" s="1535" t="n"/>
      <c r="H251" s="1535" t="n"/>
      <c r="I251" s="1535" t="n"/>
      <c r="J251" s="1535" t="n"/>
      <c r="K251" s="1535" t="n"/>
      <c r="L251" s="1535" t="n"/>
      <c r="M251" s="1535" t="n"/>
      <c r="N251" s="1535" t="n"/>
      <c r="O251" s="1536" t="n"/>
      <c r="P251" s="1536" t="n"/>
      <c r="Q251" s="1536" t="n"/>
      <c r="R251" s="1536" t="n"/>
      <c r="S251" s="1535" t="n"/>
      <c r="T251" s="1536" t="n"/>
      <c r="U251" s="1536" t="n"/>
      <c r="V251" s="1536" t="n"/>
      <c r="W251" s="1536" t="n"/>
      <c r="X251" s="1535" t="n"/>
      <c r="Y251" s="1536" t="n"/>
      <c r="Z251" s="1536" t="n"/>
      <c r="AA251" s="1536" t="n"/>
      <c r="AB251" s="1536" t="n"/>
      <c r="AC251" s="1537">
        <f>X257</f>
        <v/>
      </c>
      <c r="AD251" s="1536" t="n"/>
      <c r="AE251" s="1536" t="n"/>
      <c r="AF251" s="1446">
        <f>AA257</f>
        <v/>
      </c>
      <c r="AG251" s="1536" t="n"/>
      <c r="AH251" s="1537">
        <f>AC257</f>
        <v/>
      </c>
      <c r="AI251" s="1536">
        <f>AD257</f>
        <v/>
      </c>
      <c r="AJ251" s="1536">
        <f>AE257</f>
        <v/>
      </c>
      <c r="AK251" s="1675" t="n">
        <v>33.628</v>
      </c>
      <c r="AL251" s="1536" t="n"/>
      <c r="AM251" s="1535" t="n"/>
      <c r="AN251" s="1536" t="n"/>
      <c r="AO251" s="1536" t="n"/>
      <c r="AP251" s="1536" t="n"/>
      <c r="AQ251" s="1536" t="n"/>
      <c r="AR251" s="1535" t="n"/>
      <c r="AS251" s="1535" t="n"/>
      <c r="AT251" s="1535" t="n"/>
      <c r="AU251" s="1535" t="n"/>
      <c r="AV251" s="1446" t="n"/>
    </row>
    <row r="252" hidden="1" outlineLevel="1" ht="14.4" customFormat="1" customHeight="1" s="1418">
      <c r="A252" s="1539" t="inlineStr">
        <is>
          <t>Y/Y change in personnel-related expense in G&amp;A, mm</t>
        </is>
      </c>
      <c r="B252" s="1528" t="n"/>
      <c r="C252" s="1529" t="n"/>
      <c r="D252" s="1529" t="n"/>
      <c r="E252" s="1529" t="n"/>
      <c r="F252" s="1529" t="n"/>
      <c r="G252" s="1529" t="n"/>
      <c r="H252" s="1529" t="n"/>
      <c r="I252" s="1529" t="n"/>
      <c r="J252" s="1529" t="n"/>
      <c r="K252" s="1529" t="n"/>
      <c r="L252" s="1529" t="n"/>
      <c r="M252" s="1529" t="n"/>
      <c r="N252" s="1529" t="n"/>
      <c r="O252" s="1420" t="n"/>
      <c r="P252" s="1420" t="n"/>
      <c r="Q252" s="1420" t="n"/>
      <c r="R252" s="1420" t="n"/>
      <c r="S252" s="1529" t="n"/>
      <c r="T252" s="1420" t="n"/>
      <c r="U252" s="1420" t="n"/>
      <c r="V252" s="1420" t="n"/>
      <c r="W252" s="1420" t="n"/>
      <c r="X252" s="1529" t="n"/>
      <c r="Y252" s="1420" t="n"/>
      <c r="Z252" s="1420" t="n"/>
      <c r="AA252" s="1420" t="n"/>
      <c r="AB252" s="1420" t="n"/>
      <c r="AC252" s="1593" t="n">
        <v>16</v>
      </c>
      <c r="AD252" s="1420" t="n"/>
      <c r="AE252" s="1420" t="n"/>
      <c r="AF252" s="1594" t="n">
        <v>26</v>
      </c>
      <c r="AG252" s="1420" t="n"/>
      <c r="AH252" s="1593" t="n">
        <v>41</v>
      </c>
      <c r="AI252" s="1420">
        <f>132-AI253</f>
        <v/>
      </c>
      <c r="AJ252" s="1420">
        <f>104-AJ253</f>
        <v/>
      </c>
      <c r="AK252" s="1421">
        <f>97-AK253</f>
        <v/>
      </c>
      <c r="AL252" s="1420" t="n"/>
      <c r="AM252" s="1529" t="n"/>
      <c r="AN252" s="1420" t="n"/>
      <c r="AO252" s="1420" t="n"/>
      <c r="AP252" s="1420" t="n"/>
      <c r="AQ252" s="1420" t="n"/>
      <c r="AR252" s="1529" t="n"/>
      <c r="AS252" s="1529" t="n"/>
      <c r="AT252" s="1529" t="n"/>
      <c r="AU252" s="1529" t="n"/>
      <c r="AV252" s="1422" t="n"/>
    </row>
    <row r="253" hidden="1" outlineLevel="1" ht="14.4" customFormat="1" customHeight="1" s="1418">
      <c r="A253" s="1539" t="inlineStr">
        <is>
          <t>Y/Y change in SBC in G&amp;A, mm</t>
        </is>
      </c>
      <c r="B253" s="1528" t="n"/>
      <c r="C253" s="1529" t="n"/>
      <c r="D253" s="1529" t="n"/>
      <c r="E253" s="1529" t="n"/>
      <c r="F253" s="1529" t="n"/>
      <c r="G253" s="1529" t="n"/>
      <c r="H253" s="1529" t="n"/>
      <c r="I253" s="1529" t="n"/>
      <c r="J253" s="1529" t="n"/>
      <c r="K253" s="1529" t="n"/>
      <c r="L253" s="1529" t="n"/>
      <c r="M253" s="1529" t="n"/>
      <c r="N253" s="1529" t="n"/>
      <c r="O253" s="1420" t="n"/>
      <c r="P253" s="1420" t="n"/>
      <c r="Q253" s="1420" t="n"/>
      <c r="R253" s="1420" t="n"/>
      <c r="S253" s="1529" t="n"/>
      <c r="T253" s="1420" t="n"/>
      <c r="U253" s="1420" t="n"/>
      <c r="V253" s="1420" t="n"/>
      <c r="W253" s="1420" t="n"/>
      <c r="X253" s="1529" t="n"/>
      <c r="Y253" s="1420" t="n"/>
      <c r="Z253" s="1420" t="n"/>
      <c r="AA253" s="1420" t="n"/>
      <c r="AB253" s="1420" t="n"/>
      <c r="AC253" s="1529" t="n"/>
      <c r="AD253" s="1420" t="n"/>
      <c r="AE253" s="1420" t="n"/>
      <c r="AF253" s="1420" t="n"/>
      <c r="AG253" s="1420" t="n"/>
      <c r="AH253" s="1529" t="n"/>
      <c r="AI253" s="1594" t="n">
        <v>119</v>
      </c>
      <c r="AJ253" s="1594" t="n">
        <v>82</v>
      </c>
      <c r="AK253" s="1595" t="n">
        <v>74</v>
      </c>
      <c r="AL253" s="1420" t="n"/>
      <c r="AM253" s="1529" t="n"/>
      <c r="AN253" s="1420" t="n"/>
      <c r="AO253" s="1420" t="n"/>
      <c r="AP253" s="1420" t="n"/>
      <c r="AQ253" s="1420" t="n"/>
      <c r="AR253" s="1529" t="n"/>
      <c r="AS253" s="1529" t="n"/>
      <c r="AT253" s="1529" t="n"/>
      <c r="AU253" s="1529" t="n"/>
      <c r="AV253" s="1422" t="n"/>
    </row>
    <row r="254" hidden="1" outlineLevel="1" ht="14.4" customFormat="1" customHeight="1" s="1418">
      <c r="A254" s="1539" t="inlineStr">
        <is>
          <t>Y/Y change in professional services expenses in G&amp;A, mm</t>
        </is>
      </c>
      <c r="B254" s="1528" t="n"/>
      <c r="C254" s="1529" t="n"/>
      <c r="D254" s="1529" t="n"/>
      <c r="E254" s="1529" t="n"/>
      <c r="F254" s="1529" t="n"/>
      <c r="G254" s="1529" t="n"/>
      <c r="H254" s="1529" t="n"/>
      <c r="I254" s="1529" t="n"/>
      <c r="J254" s="1529" t="n"/>
      <c r="K254" s="1529" t="n"/>
      <c r="L254" s="1529" t="n"/>
      <c r="M254" s="1529" t="n"/>
      <c r="N254" s="1529" t="n"/>
      <c r="O254" s="1420" t="n"/>
      <c r="P254" s="1420" t="n"/>
      <c r="Q254" s="1420" t="n"/>
      <c r="R254" s="1420" t="n"/>
      <c r="S254" s="1529" t="n"/>
      <c r="T254" s="1420" t="n"/>
      <c r="U254" s="1420" t="n"/>
      <c r="V254" s="1420" t="n"/>
      <c r="W254" s="1420" t="n"/>
      <c r="X254" s="1529" t="n"/>
      <c r="Y254" s="1420" t="n"/>
      <c r="Z254" s="1420" t="n"/>
      <c r="AA254" s="1420" t="n"/>
      <c r="AB254" s="1420" t="n"/>
      <c r="AC254" s="1593" t="n">
        <v>3</v>
      </c>
      <c r="AD254" s="1420" t="n"/>
      <c r="AE254" s="1420" t="n"/>
      <c r="AF254" s="1594" t="n">
        <v>11</v>
      </c>
      <c r="AG254" s="1420" t="n"/>
      <c r="AH254" s="1593" t="n">
        <v>28</v>
      </c>
      <c r="AI254" s="1594" t="n">
        <v>27</v>
      </c>
      <c r="AJ254" s="1594" t="n">
        <v>52</v>
      </c>
      <c r="AK254" s="1595" t="n">
        <v>25</v>
      </c>
      <c r="AL254" s="1420" t="n"/>
      <c r="AM254" s="1529" t="n"/>
      <c r="AN254" s="1420" t="n"/>
      <c r="AO254" s="1420" t="n"/>
      <c r="AP254" s="1420" t="n"/>
      <c r="AQ254" s="1420" t="n"/>
      <c r="AR254" s="1529" t="n"/>
      <c r="AS254" s="1529" t="n"/>
      <c r="AT254" s="1529" t="n"/>
      <c r="AU254" s="1529" t="n"/>
      <c r="AV254" s="1422" t="n"/>
    </row>
    <row r="255" hidden="1" outlineLevel="1" ht="14.4" customFormat="1" customHeight="1" s="1418">
      <c r="A255" s="1539" t="inlineStr">
        <is>
          <t>Y/Y change in overhead costs in G&amp;A, mm</t>
        </is>
      </c>
      <c r="B255" s="1528" t="n"/>
      <c r="C255" s="1529" t="n"/>
      <c r="D255" s="1529" t="n"/>
      <c r="E255" s="1529" t="n"/>
      <c r="F255" s="1529" t="n"/>
      <c r="G255" s="1529" t="n"/>
      <c r="H255" s="1529" t="n"/>
      <c r="I255" s="1529" t="n"/>
      <c r="J255" s="1529" t="n"/>
      <c r="K255" s="1529" t="n"/>
      <c r="L255" s="1529" t="n"/>
      <c r="M255" s="1529" t="n"/>
      <c r="N255" s="1529" t="n"/>
      <c r="O255" s="1420" t="n"/>
      <c r="P255" s="1420" t="n"/>
      <c r="Q255" s="1420" t="n"/>
      <c r="R255" s="1420" t="n"/>
      <c r="S255" s="1529" t="n"/>
      <c r="T255" s="1420" t="n"/>
      <c r="U255" s="1420" t="n"/>
      <c r="V255" s="1420" t="n"/>
      <c r="W255" s="1420" t="n"/>
      <c r="X255" s="1529" t="n"/>
      <c r="Y255" s="1420" t="n"/>
      <c r="Z255" s="1420" t="n"/>
      <c r="AA255" s="1420" t="n"/>
      <c r="AB255" s="1420" t="n"/>
      <c r="AC255" s="1529" t="n"/>
      <c r="AD255" s="1420" t="n"/>
      <c r="AE255" s="1420" t="n"/>
      <c r="AF255" s="1594" t="n">
        <v>8</v>
      </c>
      <c r="AG255" s="1420" t="n"/>
      <c r="AH255" s="1593" t="n">
        <v>10</v>
      </c>
      <c r="AI255" s="1420" t="n"/>
      <c r="AJ255" s="1420" t="n"/>
      <c r="AK255" s="1421" t="n"/>
      <c r="AL255" s="1420" t="n"/>
      <c r="AM255" s="1529" t="n"/>
      <c r="AN255" s="1420" t="n"/>
      <c r="AO255" s="1420" t="n"/>
      <c r="AP255" s="1420" t="n"/>
      <c r="AQ255" s="1420" t="n"/>
      <c r="AR255" s="1529" t="n"/>
      <c r="AS255" s="1529" t="n"/>
      <c r="AT255" s="1529" t="n"/>
      <c r="AU255" s="1529" t="n"/>
      <c r="AV255" s="1422" t="n"/>
    </row>
    <row r="256" hidden="1" outlineLevel="1" ht="14.4" customFormat="1" customHeight="1" s="1418">
      <c r="A256" s="1539" t="inlineStr">
        <is>
          <t>Y/Y change in other and rounding in G&amp;A, mm</t>
        </is>
      </c>
      <c r="B256" s="1528" t="n"/>
      <c r="C256" s="1529" t="n"/>
      <c r="D256" s="1529" t="n"/>
      <c r="E256" s="1529" t="n"/>
      <c r="F256" s="1529" t="n"/>
      <c r="G256" s="1529" t="n"/>
      <c r="H256" s="1529" t="n"/>
      <c r="I256" s="1529" t="n"/>
      <c r="J256" s="1529" t="n"/>
      <c r="K256" s="1529" t="n"/>
      <c r="L256" s="1529" t="n"/>
      <c r="M256" s="1529" t="n"/>
      <c r="N256" s="1529" t="n"/>
      <c r="O256" s="1420" t="n"/>
      <c r="P256" s="1420" t="n"/>
      <c r="Q256" s="1420" t="n"/>
      <c r="R256" s="1420" t="n"/>
      <c r="S256" s="1529" t="n"/>
      <c r="T256" s="1420" t="n"/>
      <c r="U256" s="1420" t="n"/>
      <c r="V256" s="1420" t="n"/>
      <c r="W256" s="1420" t="n"/>
      <c r="X256" s="1529" t="n"/>
      <c r="Y256" s="1420" t="n"/>
      <c r="Z256" s="1420" t="n"/>
      <c r="AA256" s="1420" t="n"/>
      <c r="AB256" s="1420" t="n"/>
      <c r="AC256" s="1540">
        <f>AC257-SUM(AC251:AC255)</f>
        <v/>
      </c>
      <c r="AD256" s="1420" t="n"/>
      <c r="AE256" s="1420" t="n"/>
      <c r="AF256" s="1422">
        <f>AF257-SUM(AF251:AF255)</f>
        <v/>
      </c>
      <c r="AG256" s="1420" t="n"/>
      <c r="AH256" s="1540">
        <f>AH257-SUM(AH251:AH255)</f>
        <v/>
      </c>
      <c r="AI256" s="1420">
        <f>AI257-SUM(AI251:AI255)</f>
        <v/>
      </c>
      <c r="AJ256" s="1420">
        <f>AJ257-SUM(AJ251:AJ255)</f>
        <v/>
      </c>
      <c r="AK256" s="1421">
        <f>AK257-SUM(AK251:AK255)</f>
        <v/>
      </c>
      <c r="AL256" s="1420" t="n"/>
      <c r="AM256" s="1529" t="n"/>
      <c r="AN256" s="1420" t="n"/>
      <c r="AO256" s="1420" t="n"/>
      <c r="AP256" s="1420" t="n"/>
      <c r="AQ256" s="1420" t="n"/>
      <c r="AR256" s="1529" t="n"/>
      <c r="AS256" s="1529" t="n"/>
      <c r="AT256" s="1529" t="n"/>
      <c r="AU256" s="1529" t="n"/>
      <c r="AV256" s="1422" t="n"/>
    </row>
    <row r="257" hidden="1" outlineLevel="1" ht="14.4" customFormat="1" customHeight="1" s="1438">
      <c r="A257" s="1542" t="inlineStr">
        <is>
          <t>Current Period G&amp;A, mm</t>
        </is>
      </c>
      <c r="B257" s="1543" t="n"/>
      <c r="C257" s="1544" t="n"/>
      <c r="D257" s="1544" t="n"/>
      <c r="E257" s="1544" t="n"/>
      <c r="F257" s="1544" t="n"/>
      <c r="G257" s="1544" t="n"/>
      <c r="H257" s="1544" t="n"/>
      <c r="I257" s="1544" t="n"/>
      <c r="J257" s="1544" t="n"/>
      <c r="K257" s="1544" t="n"/>
      <c r="L257" s="1544" t="n"/>
      <c r="M257" s="1544" t="n"/>
      <c r="N257" s="1544" t="n"/>
      <c r="O257" s="1545" t="n"/>
      <c r="P257" s="1545" t="n"/>
      <c r="Q257" s="1545" t="n"/>
      <c r="R257" s="1545" t="n"/>
      <c r="S257" s="1544" t="n"/>
      <c r="T257" s="1545" t="n"/>
      <c r="U257" s="1545" t="n"/>
      <c r="V257" s="1545" t="n"/>
      <c r="W257" s="1545" t="n"/>
      <c r="X257" s="1546">
        <f>X284</f>
        <v/>
      </c>
      <c r="Y257" s="1545" t="n"/>
      <c r="Z257" s="1545" t="n"/>
      <c r="AA257" s="1547">
        <f>AA284+Z284+Y284</f>
        <v/>
      </c>
      <c r="AB257" s="1545" t="n"/>
      <c r="AC257" s="1546">
        <f>AC284</f>
        <v/>
      </c>
      <c r="AD257" s="1545">
        <f>AD284</f>
        <v/>
      </c>
      <c r="AE257" s="1545">
        <f>AE284</f>
        <v/>
      </c>
      <c r="AF257" s="1547">
        <f>AF284+AE284+AD284</f>
        <v/>
      </c>
      <c r="AG257" s="1545" t="n"/>
      <c r="AH257" s="1546">
        <f>AH284</f>
        <v/>
      </c>
      <c r="AI257" s="1545">
        <f>AI284</f>
        <v/>
      </c>
      <c r="AJ257" s="1545">
        <f>AJ284</f>
        <v/>
      </c>
      <c r="AK257" s="1596">
        <f>AK284</f>
        <v/>
      </c>
      <c r="AL257" s="1545" t="n"/>
      <c r="AM257" s="1544" t="n"/>
      <c r="AN257" s="1545" t="n"/>
      <c r="AO257" s="1545" t="n"/>
      <c r="AP257" s="1545" t="n"/>
      <c r="AQ257" s="1545" t="n"/>
      <c r="AR257" s="1544" t="n"/>
      <c r="AS257" s="1544" t="n"/>
      <c r="AT257" s="1544" t="n"/>
      <c r="AU257" s="1544" t="n"/>
      <c r="AV257" s="1446" t="n"/>
    </row>
    <row r="258" collapsed="1" ht="14.4" customFormat="1" customHeight="1" s="1418">
      <c r="A258" s="1489" t="n"/>
      <c r="B258" s="1528" t="n"/>
      <c r="C258" s="1529" t="n"/>
      <c r="D258" s="1529" t="n"/>
      <c r="E258" s="1529" t="n"/>
      <c r="F258" s="1529" t="n"/>
      <c r="G258" s="1529" t="n"/>
      <c r="H258" s="1529" t="n"/>
      <c r="I258" s="1529" t="n"/>
      <c r="J258" s="1529" t="n"/>
      <c r="K258" s="1529" t="n"/>
      <c r="L258" s="1529" t="n"/>
      <c r="M258" s="1529" t="n"/>
      <c r="N258" s="1529" t="n"/>
      <c r="O258" s="1420" t="n"/>
      <c r="P258" s="1420" t="n"/>
      <c r="Q258" s="1420" t="n"/>
      <c r="R258" s="1420" t="n"/>
      <c r="S258" s="1529" t="n"/>
      <c r="T258" s="1420" t="n"/>
      <c r="U258" s="1420" t="n"/>
      <c r="V258" s="1420" t="n"/>
      <c r="W258" s="1420" t="n"/>
      <c r="X258" s="1529" t="n"/>
      <c r="Y258" s="1420" t="n"/>
      <c r="Z258" s="1420" t="n"/>
      <c r="AA258" s="1420" t="n"/>
      <c r="AB258" s="1420" t="n"/>
      <c r="AC258" s="1529" t="n"/>
      <c r="AD258" s="1420" t="n"/>
      <c r="AE258" s="1420" t="n"/>
      <c r="AF258" s="1420" t="n"/>
      <c r="AG258" s="1420" t="n"/>
      <c r="AH258" s="1529" t="n"/>
      <c r="AI258" s="1420" t="n"/>
      <c r="AJ258" s="1420" t="n"/>
      <c r="AK258" s="1421" t="n"/>
      <c r="AL258" s="1420" t="n"/>
      <c r="AM258" s="1529" t="n"/>
      <c r="AN258" s="1420" t="n"/>
      <c r="AO258" s="1420" t="n"/>
      <c r="AP258" s="1420" t="n"/>
      <c r="AQ258" s="1420" t="n"/>
      <c r="AR258" s="1529" t="n"/>
      <c r="AS258" s="1529" t="n"/>
      <c r="AT258" s="1529" t="n"/>
      <c r="AU258" s="1529" t="n"/>
      <c r="AV258" s="1422" t="n"/>
    </row>
    <row r="259" ht="14.4" customFormat="1" customHeight="1" s="1418">
      <c r="A259" s="1530" t="inlineStr">
        <is>
          <t>Margin Analysis</t>
        </is>
      </c>
      <c r="B259" s="1531" t="n"/>
      <c r="C259" s="1531" t="n"/>
      <c r="D259" s="1531" t="n"/>
      <c r="E259" s="1531" t="n"/>
      <c r="F259" s="1531" t="n"/>
      <c r="G259" s="1531" t="n"/>
      <c r="H259" s="1531" t="n"/>
      <c r="I259" s="1531" t="n"/>
      <c r="J259" s="1531" t="n"/>
      <c r="K259" s="1531" t="n"/>
      <c r="L259" s="1531" t="n"/>
      <c r="M259" s="1531" t="n"/>
      <c r="N259" s="1531" t="n"/>
      <c r="O259" s="1531" t="n"/>
      <c r="P259" s="1531" t="n"/>
      <c r="Q259" s="1531" t="n"/>
      <c r="R259" s="1531" t="n"/>
      <c r="S259" s="1531" t="n"/>
      <c r="T259" s="1531" t="n"/>
      <c r="U259" s="1531" t="n"/>
      <c r="V259" s="1531" t="n"/>
      <c r="W259" s="1531" t="n"/>
      <c r="X259" s="1531" t="n"/>
      <c r="Y259" s="1531" t="n"/>
      <c r="Z259" s="1531" t="n"/>
      <c r="AA259" s="1532" t="inlineStr">
        <is>
          <t>9 Months</t>
        </is>
      </c>
      <c r="AB259" s="1531" t="n"/>
      <c r="AC259" s="1531" t="n"/>
      <c r="AD259" s="1531" t="n"/>
      <c r="AE259" s="1531" t="n"/>
      <c r="AF259" s="1531" t="n"/>
      <c r="AG259" s="1531" t="n"/>
      <c r="AH259" s="1531" t="n"/>
      <c r="AI259" s="1531" t="n"/>
      <c r="AJ259" s="1531" t="n"/>
      <c r="AK259" s="1533" t="n"/>
      <c r="AL259" s="1531" t="n"/>
      <c r="AM259" s="1531" t="n"/>
      <c r="AN259" s="1531" t="n"/>
      <c r="AO259" s="1531" t="n"/>
      <c r="AP259" s="1531" t="n"/>
      <c r="AQ259" s="1531" t="n"/>
      <c r="AR259" s="1531" t="n"/>
      <c r="AS259" s="1531" t="n"/>
      <c r="AT259" s="1531" t="n"/>
      <c r="AU259" s="1531" t="n"/>
      <c r="AV259" s="1422" t="n"/>
    </row>
    <row r="260" hidden="1" outlineLevel="1" ht="14.4" customFormat="1" customHeight="1" s="1676">
      <c r="A260" s="1677" t="inlineStr">
        <is>
          <t>GAAP COGS Margin, %</t>
        </is>
      </c>
      <c r="B260" s="1678" t="n"/>
      <c r="C260" s="1679" t="n"/>
      <c r="D260" s="1679" t="n"/>
      <c r="E260" s="1679" t="n"/>
      <c r="F260" s="1679" t="n"/>
      <c r="G260" s="1679" t="n"/>
      <c r="H260" s="1679" t="n"/>
      <c r="I260" s="1679" t="n"/>
      <c r="J260" s="1679" t="n"/>
      <c r="K260" s="1679" t="n"/>
      <c r="L260" s="1679" t="n"/>
      <c r="M260" s="1679" t="n"/>
      <c r="N260" s="1679" t="n"/>
      <c r="O260" s="1680" t="n"/>
      <c r="P260" s="1681" t="n"/>
      <c r="Q260" s="1680" t="n"/>
      <c r="R260" s="1680" t="n"/>
      <c r="S260" s="1679" t="n"/>
      <c r="T260" s="1680" t="n"/>
      <c r="U260" s="1681" t="n"/>
      <c r="V260" s="1680" t="n"/>
      <c r="W260" s="1680" t="n"/>
      <c r="X260" s="1679">
        <f>X336/X333</f>
        <v/>
      </c>
      <c r="Y260" s="1680" t="n"/>
      <c r="Z260" s="1681" t="n"/>
      <c r="AA260" s="1680">
        <f>AA336/AA333</f>
        <v/>
      </c>
      <c r="AB260" s="1680">
        <f>AB336/AB333</f>
        <v/>
      </c>
      <c r="AC260" s="1679">
        <f>AC336/AC333</f>
        <v/>
      </c>
      <c r="AD260" s="1680">
        <f>AD336/AD333</f>
        <v/>
      </c>
      <c r="AE260" s="1681">
        <f>AE336/AE333</f>
        <v/>
      </c>
      <c r="AF260" s="1680">
        <f>AF336/AF333</f>
        <v/>
      </c>
      <c r="AG260" s="1680">
        <f>AG336/AG333</f>
        <v/>
      </c>
      <c r="AH260" s="1679">
        <f>AH336/AH333</f>
        <v/>
      </c>
      <c r="AI260" s="1680">
        <f>AI336/AI333</f>
        <v/>
      </c>
      <c r="AJ260" s="1681">
        <f>AJ336/AJ333</f>
        <v/>
      </c>
      <c r="AK260" s="1682">
        <f>AK336/AK333</f>
        <v/>
      </c>
      <c r="AL260" s="1683">
        <f>AL336/AL333</f>
        <v/>
      </c>
      <c r="AM260" s="1684">
        <f>AM336/AM333</f>
        <v/>
      </c>
      <c r="AN260" s="1683">
        <f>AN336/AN333</f>
        <v/>
      </c>
      <c r="AO260" s="1683">
        <f>AO336/AO333</f>
        <v/>
      </c>
      <c r="AP260" s="1683">
        <f>AP336/AP333</f>
        <v/>
      </c>
      <c r="AQ260" s="1683">
        <f>AQ336/AQ333</f>
        <v/>
      </c>
      <c r="AR260" s="1684">
        <f>AR336/AR333</f>
        <v/>
      </c>
      <c r="AS260" s="1684">
        <f>AS336/AS333</f>
        <v/>
      </c>
      <c r="AT260" s="1684">
        <f>AT336/AT333</f>
        <v/>
      </c>
      <c r="AU260" s="1684">
        <f>AU336/AU333</f>
        <v/>
      </c>
      <c r="AV260" s="1551" t="n"/>
    </row>
    <row r="261" hidden="1" outlineLevel="1" ht="14.4" customFormat="1" customHeight="1" s="1676">
      <c r="A261" s="1685" t="inlineStr">
        <is>
          <t>GAAP Gross Margin, %</t>
        </is>
      </c>
      <c r="B261" s="1686" t="n"/>
      <c r="C261" s="1687" t="n"/>
      <c r="D261" s="1687" t="n"/>
      <c r="E261" s="1687" t="n"/>
      <c r="F261" s="1687" t="n"/>
      <c r="G261" s="1687" t="n"/>
      <c r="H261" s="1687" t="n"/>
      <c r="I261" s="1687" t="n"/>
      <c r="J261" s="1687" t="n"/>
      <c r="K261" s="1687" t="n"/>
      <c r="L261" s="1687" t="n"/>
      <c r="M261" s="1687" t="n"/>
      <c r="N261" s="1687" t="n"/>
      <c r="O261" s="1688" t="n"/>
      <c r="P261" s="1689" t="n"/>
      <c r="Q261" s="1688" t="n"/>
      <c r="R261" s="1688" t="n"/>
      <c r="S261" s="1687" t="n"/>
      <c r="T261" s="1688" t="n"/>
      <c r="U261" s="1689" t="n"/>
      <c r="V261" s="1688" t="n"/>
      <c r="W261" s="1688" t="n"/>
      <c r="X261" s="1687">
        <f>1-X260</f>
        <v/>
      </c>
      <c r="Y261" s="1688" t="n"/>
      <c r="Z261" s="1689" t="n"/>
      <c r="AA261" s="1688">
        <f>1-AA260</f>
        <v/>
      </c>
      <c r="AB261" s="1688">
        <f>1-AB260</f>
        <v/>
      </c>
      <c r="AC261" s="1687">
        <f>1-AC260</f>
        <v/>
      </c>
      <c r="AD261" s="1688">
        <f>1-AD260</f>
        <v/>
      </c>
      <c r="AE261" s="1689">
        <f>1-AE260</f>
        <v/>
      </c>
      <c r="AF261" s="1688">
        <f>1-AF260</f>
        <v/>
      </c>
      <c r="AG261" s="1688">
        <f>1-AG260</f>
        <v/>
      </c>
      <c r="AH261" s="1687">
        <f>1-AH260</f>
        <v/>
      </c>
      <c r="AI261" s="1688">
        <f>1-AI260</f>
        <v/>
      </c>
      <c r="AJ261" s="1689">
        <f>1-AJ260</f>
        <v/>
      </c>
      <c r="AK261" s="1690">
        <f>1-AK260</f>
        <v/>
      </c>
      <c r="AL261" s="1657">
        <f>1-AL260</f>
        <v/>
      </c>
      <c r="AM261" s="1656">
        <f>1-AM260</f>
        <v/>
      </c>
      <c r="AN261" s="1657">
        <f>1-AN260</f>
        <v/>
      </c>
      <c r="AO261" s="1657">
        <f>1-AO260</f>
        <v/>
      </c>
      <c r="AP261" s="1657">
        <f>1-AP260</f>
        <v/>
      </c>
      <c r="AQ261" s="1657">
        <f>1-AQ260</f>
        <v/>
      </c>
      <c r="AR261" s="1656">
        <f>1-AR260</f>
        <v/>
      </c>
      <c r="AS261" s="1656">
        <f>1-AS260</f>
        <v/>
      </c>
      <c r="AT261" s="1656">
        <f>1-AT260</f>
        <v/>
      </c>
      <c r="AU261" s="1656">
        <f>1-AU260</f>
        <v/>
      </c>
      <c r="AV261" s="1551" t="n"/>
    </row>
    <row r="262" hidden="1" outlineLevel="1" ht="7.5" customFormat="1" customHeight="1" s="1676">
      <c r="A262" s="1685" t="n"/>
      <c r="B262" s="1686" t="n"/>
      <c r="C262" s="1687" t="n"/>
      <c r="D262" s="1687" t="n"/>
      <c r="E262" s="1687" t="n"/>
      <c r="F262" s="1687" t="n"/>
      <c r="G262" s="1687" t="n"/>
      <c r="H262" s="1687" t="n"/>
      <c r="I262" s="1687" t="n"/>
      <c r="J262" s="1687" t="n"/>
      <c r="K262" s="1687" t="n"/>
      <c r="L262" s="1687" t="n"/>
      <c r="M262" s="1687" t="n"/>
      <c r="N262" s="1687" t="n"/>
      <c r="O262" s="1688" t="n"/>
      <c r="P262" s="1689" t="n"/>
      <c r="Q262" s="1688" t="n"/>
      <c r="R262" s="1688" t="n"/>
      <c r="S262" s="1687" t="n"/>
      <c r="T262" s="1688" t="n"/>
      <c r="U262" s="1689" t="n"/>
      <c r="V262" s="1688" t="n"/>
      <c r="W262" s="1688" t="n"/>
      <c r="X262" s="1687" t="n"/>
      <c r="Y262" s="1688" t="n"/>
      <c r="Z262" s="1689" t="n"/>
      <c r="AA262" s="1688" t="n"/>
      <c r="AB262" s="1688" t="n"/>
      <c r="AC262" s="1687" t="n"/>
      <c r="AD262" s="1688" t="n"/>
      <c r="AE262" s="1689" t="n"/>
      <c r="AF262" s="1688" t="n"/>
      <c r="AG262" s="1688" t="n"/>
      <c r="AH262" s="1687" t="n"/>
      <c r="AI262" s="1688" t="n"/>
      <c r="AJ262" s="1689" t="n"/>
      <c r="AK262" s="1690" t="n"/>
      <c r="AL262" s="1657" t="n"/>
      <c r="AM262" s="1656" t="n"/>
      <c r="AN262" s="1657" t="n"/>
      <c r="AO262" s="1657" t="n"/>
      <c r="AP262" s="1657" t="n"/>
      <c r="AQ262" s="1657" t="n"/>
      <c r="AR262" s="1656" t="n"/>
      <c r="AS262" s="1656" t="n"/>
      <c r="AT262" s="1656" t="n"/>
      <c r="AU262" s="1656" t="n"/>
      <c r="AV262" s="1551" t="n"/>
    </row>
    <row r="263" hidden="1" outlineLevel="1" ht="14.4" customFormat="1" customHeight="1" s="1676">
      <c r="A263" s="1685" t="inlineStr">
        <is>
          <t>GAAP S&amp;M Margin, %</t>
        </is>
      </c>
      <c r="B263" s="1686" t="n"/>
      <c r="C263" s="1687" t="n"/>
      <c r="D263" s="1687" t="n"/>
      <c r="E263" s="1687" t="n"/>
      <c r="F263" s="1687" t="n"/>
      <c r="G263" s="1687" t="n"/>
      <c r="H263" s="1687" t="n"/>
      <c r="I263" s="1687" t="n"/>
      <c r="J263" s="1687" t="n"/>
      <c r="K263" s="1687" t="n"/>
      <c r="L263" s="1687" t="n"/>
      <c r="M263" s="1687" t="n"/>
      <c r="N263" s="1687" t="n"/>
      <c r="O263" s="1688" t="n"/>
      <c r="P263" s="1689" t="n"/>
      <c r="Q263" s="1688" t="n"/>
      <c r="R263" s="1688" t="n"/>
      <c r="S263" s="1687" t="n"/>
      <c r="T263" s="1688" t="n"/>
      <c r="U263" s="1689" t="n"/>
      <c r="V263" s="1688" t="n"/>
      <c r="W263" s="1688" t="n"/>
      <c r="X263" s="1687">
        <f>X342/X333</f>
        <v/>
      </c>
      <c r="Y263" s="1688" t="n"/>
      <c r="Z263" s="1689" t="n"/>
      <c r="AA263" s="1688">
        <f>AA342/AA333</f>
        <v/>
      </c>
      <c r="AB263" s="1688">
        <f>AB342/AB333</f>
        <v/>
      </c>
      <c r="AC263" s="1687">
        <f>AC342/AC333</f>
        <v/>
      </c>
      <c r="AD263" s="1688">
        <f>AD342/AD333</f>
        <v/>
      </c>
      <c r="AE263" s="1689">
        <f>AE342/AE333</f>
        <v/>
      </c>
      <c r="AF263" s="1688">
        <f>AF342/AF333</f>
        <v/>
      </c>
      <c r="AG263" s="1688">
        <f>AG342/AG333</f>
        <v/>
      </c>
      <c r="AH263" s="1687">
        <f>AH342/AH333</f>
        <v/>
      </c>
      <c r="AI263" s="1688">
        <f>AI342/AI333</f>
        <v/>
      </c>
      <c r="AJ263" s="1689">
        <f>AJ342/AJ333</f>
        <v/>
      </c>
      <c r="AK263" s="1690">
        <f>AK342/AK333</f>
        <v/>
      </c>
      <c r="AL263" s="1657">
        <f>AL342/AL333</f>
        <v/>
      </c>
      <c r="AM263" s="1656">
        <f>AM342/AM333</f>
        <v/>
      </c>
      <c r="AN263" s="1657">
        <f>AN342/AN333</f>
        <v/>
      </c>
      <c r="AO263" s="1657">
        <f>AO342/AO333</f>
        <v/>
      </c>
      <c r="AP263" s="1657">
        <f>AP342/AP333</f>
        <v/>
      </c>
      <c r="AQ263" s="1657">
        <f>AQ342/AQ333</f>
        <v/>
      </c>
      <c r="AR263" s="1656">
        <f>AR342/AR333</f>
        <v/>
      </c>
      <c r="AS263" s="1656">
        <f>AS342/AS333</f>
        <v/>
      </c>
      <c r="AT263" s="1656">
        <f>AT342/AT333</f>
        <v/>
      </c>
      <c r="AU263" s="1656">
        <f>AU342/AU333</f>
        <v/>
      </c>
      <c r="AV263" s="1551" t="n"/>
    </row>
    <row r="264" hidden="1" outlineLevel="1" ht="14.4" customFormat="1" customHeight="1" s="1676">
      <c r="A264" s="1685" t="inlineStr">
        <is>
          <t>GAAP G&amp;A Margin, %</t>
        </is>
      </c>
      <c r="B264" s="1686" t="n"/>
      <c r="C264" s="1687" t="n"/>
      <c r="D264" s="1687" t="n"/>
      <c r="E264" s="1687" t="n"/>
      <c r="F264" s="1687" t="n"/>
      <c r="G264" s="1687" t="n"/>
      <c r="H264" s="1687" t="n"/>
      <c r="I264" s="1687" t="n"/>
      <c r="J264" s="1687" t="n"/>
      <c r="K264" s="1687" t="n"/>
      <c r="L264" s="1687" t="n"/>
      <c r="M264" s="1687" t="n"/>
      <c r="N264" s="1687" t="n"/>
      <c r="O264" s="1688" t="n"/>
      <c r="P264" s="1689" t="n"/>
      <c r="Q264" s="1688" t="n"/>
      <c r="R264" s="1688" t="n"/>
      <c r="S264" s="1687" t="n"/>
      <c r="T264" s="1688" t="n"/>
      <c r="U264" s="1689" t="n"/>
      <c r="V264" s="1688" t="n"/>
      <c r="W264" s="1688" t="n"/>
      <c r="X264" s="1687">
        <f>X347/X333</f>
        <v/>
      </c>
      <c r="Y264" s="1688" t="n"/>
      <c r="Z264" s="1689" t="n"/>
      <c r="AA264" s="1688">
        <f>AA347/AA333</f>
        <v/>
      </c>
      <c r="AB264" s="1688">
        <f>AB347/AB333</f>
        <v/>
      </c>
      <c r="AC264" s="1687">
        <f>AC347/AC333</f>
        <v/>
      </c>
      <c r="AD264" s="1688">
        <f>AD347/AD333</f>
        <v/>
      </c>
      <c r="AE264" s="1689">
        <f>AE347/AE333</f>
        <v/>
      </c>
      <c r="AF264" s="1688">
        <f>AF347/AF333</f>
        <v/>
      </c>
      <c r="AG264" s="1688">
        <f>AG347/AG333</f>
        <v/>
      </c>
      <c r="AH264" s="1687">
        <f>AH347/AH333</f>
        <v/>
      </c>
      <c r="AI264" s="1688">
        <f>AI347/AI333</f>
        <v/>
      </c>
      <c r="AJ264" s="1689">
        <f>AJ347/AJ333</f>
        <v/>
      </c>
      <c r="AK264" s="1690">
        <f>AK347/AK333</f>
        <v/>
      </c>
      <c r="AL264" s="1657">
        <f>AL347/AL333</f>
        <v/>
      </c>
      <c r="AM264" s="1656">
        <f>AM347/AM333</f>
        <v/>
      </c>
      <c r="AN264" s="1657">
        <f>AN347/AN333</f>
        <v/>
      </c>
      <c r="AO264" s="1657">
        <f>AO347/AO333</f>
        <v/>
      </c>
      <c r="AP264" s="1657">
        <f>AP347/AP333</f>
        <v/>
      </c>
      <c r="AQ264" s="1657">
        <f>AQ347/AQ333</f>
        <v/>
      </c>
      <c r="AR264" s="1656">
        <f>AR347/AR333</f>
        <v/>
      </c>
      <c r="AS264" s="1656">
        <f>AS347/AS333</f>
        <v/>
      </c>
      <c r="AT264" s="1656">
        <f>AT347/AT333</f>
        <v/>
      </c>
      <c r="AU264" s="1656">
        <f>AU347/AU333</f>
        <v/>
      </c>
      <c r="AV264" s="1551" t="n"/>
    </row>
    <row r="265" hidden="1" outlineLevel="1" ht="14.4" customFormat="1" customHeight="1" s="1676">
      <c r="A265" s="1691" t="inlineStr">
        <is>
          <t>GAAP R&amp;D Margin, %</t>
        </is>
      </c>
      <c r="B265" s="1678" t="n"/>
      <c r="C265" s="1679" t="n"/>
      <c r="D265" s="1679" t="n"/>
      <c r="E265" s="1679" t="n"/>
      <c r="F265" s="1679" t="n"/>
      <c r="G265" s="1679" t="n"/>
      <c r="H265" s="1679" t="n"/>
      <c r="I265" s="1679" t="n"/>
      <c r="J265" s="1679" t="n"/>
      <c r="K265" s="1679" t="n"/>
      <c r="L265" s="1679" t="n"/>
      <c r="M265" s="1679" t="n"/>
      <c r="N265" s="1679" t="n"/>
      <c r="O265" s="1680" t="n"/>
      <c r="P265" s="1681" t="n"/>
      <c r="Q265" s="1680" t="n"/>
      <c r="R265" s="1680" t="n"/>
      <c r="S265" s="1679" t="n"/>
      <c r="T265" s="1680" t="n"/>
      <c r="U265" s="1681" t="n"/>
      <c r="V265" s="1680" t="n"/>
      <c r="W265" s="1680" t="n"/>
      <c r="X265" s="1679">
        <f>X352/X333</f>
        <v/>
      </c>
      <c r="Y265" s="1680" t="n"/>
      <c r="Z265" s="1681" t="n"/>
      <c r="AA265" s="1680">
        <f>AA352/AA333</f>
        <v/>
      </c>
      <c r="AB265" s="1680">
        <f>AB352/AB333</f>
        <v/>
      </c>
      <c r="AC265" s="1679">
        <f>AC352/AC333</f>
        <v/>
      </c>
      <c r="AD265" s="1680">
        <f>AD352/AD333</f>
        <v/>
      </c>
      <c r="AE265" s="1681">
        <f>AE352/AE333</f>
        <v/>
      </c>
      <c r="AF265" s="1680">
        <f>AF352/AF333</f>
        <v/>
      </c>
      <c r="AG265" s="1680">
        <f>AG352/AG333</f>
        <v/>
      </c>
      <c r="AH265" s="1679">
        <f>AH352/AH333</f>
        <v/>
      </c>
      <c r="AI265" s="1680">
        <f>AI352/AI333</f>
        <v/>
      </c>
      <c r="AJ265" s="1681">
        <f>AJ352/AJ333</f>
        <v/>
      </c>
      <c r="AK265" s="1682">
        <f>AK352/AK333</f>
        <v/>
      </c>
      <c r="AL265" s="1683">
        <f>AL352/AL333</f>
        <v/>
      </c>
      <c r="AM265" s="1684">
        <f>AM352/AM333</f>
        <v/>
      </c>
      <c r="AN265" s="1683">
        <f>AN352/AN333</f>
        <v/>
      </c>
      <c r="AO265" s="1683">
        <f>AO352/AO333</f>
        <v/>
      </c>
      <c r="AP265" s="1683">
        <f>AP352/AP333</f>
        <v/>
      </c>
      <c r="AQ265" s="1683">
        <f>AQ352/AQ333</f>
        <v/>
      </c>
      <c r="AR265" s="1684">
        <f>AR352/AR333</f>
        <v/>
      </c>
      <c r="AS265" s="1684">
        <f>AS352/AS333</f>
        <v/>
      </c>
      <c r="AT265" s="1684">
        <f>AT352/AT333</f>
        <v/>
      </c>
      <c r="AU265" s="1684">
        <f>AU352/AU333</f>
        <v/>
      </c>
      <c r="AV265" s="1551" t="n"/>
    </row>
    <row r="266" hidden="1" outlineLevel="1" ht="14.4" customFormat="1" customHeight="1" s="1676">
      <c r="A266" s="1692" t="inlineStr">
        <is>
          <t>GAAP Operating Income Margin, %</t>
        </is>
      </c>
      <c r="B266" s="1686" t="n"/>
      <c r="C266" s="1687" t="n"/>
      <c r="D266" s="1687" t="n"/>
      <c r="E266" s="1687" t="n"/>
      <c r="F266" s="1687" t="n"/>
      <c r="G266" s="1687" t="n"/>
      <c r="H266" s="1687" t="n"/>
      <c r="I266" s="1687" t="n"/>
      <c r="J266" s="1687" t="n"/>
      <c r="K266" s="1687" t="n"/>
      <c r="L266" s="1687" t="n"/>
      <c r="M266" s="1687" t="n"/>
      <c r="N266" s="1687" t="n"/>
      <c r="O266" s="1688" t="n"/>
      <c r="P266" s="1689" t="n"/>
      <c r="Q266" s="1688" t="n"/>
      <c r="R266" s="1688" t="n"/>
      <c r="S266" s="1687" t="n"/>
      <c r="T266" s="1688" t="n"/>
      <c r="U266" s="1689" t="n"/>
      <c r="V266" s="1688" t="n"/>
      <c r="W266" s="1688" t="n"/>
      <c r="X266" s="1687">
        <f>X261-X263-X264-X265</f>
        <v/>
      </c>
      <c r="Y266" s="1688" t="n"/>
      <c r="Z266" s="1689" t="n"/>
      <c r="AA266" s="1688">
        <f>AA261-AA263-AA264-AA265</f>
        <v/>
      </c>
      <c r="AB266" s="1688">
        <f>AB261-AB263-AB264-AB265</f>
        <v/>
      </c>
      <c r="AC266" s="1687">
        <f>AC261-AC263-AC264-AC265</f>
        <v/>
      </c>
      <c r="AD266" s="1688">
        <f>AD261-AD263-AD264-AD265</f>
        <v/>
      </c>
      <c r="AE266" s="1689">
        <f>AE261-AE263-AE264-AE265</f>
        <v/>
      </c>
      <c r="AF266" s="1688">
        <f>AF261-AF263-AF264-AF265</f>
        <v/>
      </c>
      <c r="AG266" s="1688">
        <f>AG261-AG263-AG264-AG265</f>
        <v/>
      </c>
      <c r="AH266" s="1687">
        <f>AH261-AH263-AH264-AH265</f>
        <v/>
      </c>
      <c r="AI266" s="1688">
        <f>AI261-AI263-AI264-AI265</f>
        <v/>
      </c>
      <c r="AJ266" s="1689">
        <f>AJ261-AJ263-AJ264-AJ265</f>
        <v/>
      </c>
      <c r="AK266" s="1690">
        <f>AK261-AK263-AK264-AK265</f>
        <v/>
      </c>
      <c r="AL266" s="1657">
        <f>AL261-AL263-AL264-AL265</f>
        <v/>
      </c>
      <c r="AM266" s="1656">
        <f>AM261-AM263-AM264-AM265</f>
        <v/>
      </c>
      <c r="AN266" s="1657">
        <f>AN261-AN263-AN264-AN265</f>
        <v/>
      </c>
      <c r="AO266" s="1657">
        <f>AO261-AO263-AO264-AO265</f>
        <v/>
      </c>
      <c r="AP266" s="1657">
        <f>AP261-AP263-AP264-AP265</f>
        <v/>
      </c>
      <c r="AQ266" s="1657">
        <f>AQ261-AQ263-AQ264-AQ265</f>
        <v/>
      </c>
      <c r="AR266" s="1656">
        <f>AR261-AR263-AR264-AR265</f>
        <v/>
      </c>
      <c r="AS266" s="1656">
        <f>AS261-AS263-AS264-AS265</f>
        <v/>
      </c>
      <c r="AT266" s="1656">
        <f>AT261-AT263-AT264-AT265</f>
        <v/>
      </c>
      <c r="AU266" s="1656">
        <f>AU261-AU263-AU264-AU265</f>
        <v/>
      </c>
      <c r="AV266" s="1551" t="n"/>
    </row>
    <row r="267" hidden="1" outlineLevel="1" ht="14.4" customFormat="1" customHeight="1" s="1676">
      <c r="A267" s="1692" t="n"/>
      <c r="B267" s="1686" t="n"/>
      <c r="C267" s="1687" t="n"/>
      <c r="D267" s="1687" t="n"/>
      <c r="E267" s="1687" t="n"/>
      <c r="F267" s="1687" t="n"/>
      <c r="G267" s="1687" t="n"/>
      <c r="H267" s="1687" t="n"/>
      <c r="I267" s="1687" t="n"/>
      <c r="J267" s="1687" t="n"/>
      <c r="K267" s="1687" t="n"/>
      <c r="L267" s="1687" t="n"/>
      <c r="M267" s="1687" t="n"/>
      <c r="N267" s="1687" t="n"/>
      <c r="O267" s="1688" t="n"/>
      <c r="P267" s="1689" t="n"/>
      <c r="Q267" s="1688" t="n"/>
      <c r="R267" s="1688" t="n"/>
      <c r="S267" s="1687" t="n"/>
      <c r="T267" s="1688" t="n"/>
      <c r="U267" s="1689" t="n"/>
      <c r="V267" s="1688" t="n"/>
      <c r="W267" s="1688" t="n"/>
      <c r="X267" s="1687" t="n"/>
      <c r="Y267" s="1688" t="n"/>
      <c r="Z267" s="1689" t="n"/>
      <c r="AA267" s="1688" t="n"/>
      <c r="AB267" s="1688" t="n"/>
      <c r="AC267" s="1687" t="n"/>
      <c r="AD267" s="1688" t="n"/>
      <c r="AE267" s="1689" t="n"/>
      <c r="AF267" s="1688" t="n"/>
      <c r="AG267" s="1688" t="n"/>
      <c r="AH267" s="1687" t="n"/>
      <c r="AI267" s="1688" t="n"/>
      <c r="AJ267" s="1689" t="n"/>
      <c r="AK267" s="1690" t="n"/>
      <c r="AL267" s="1657" t="n"/>
      <c r="AM267" s="1656" t="n"/>
      <c r="AN267" s="1657" t="n"/>
      <c r="AO267" s="1657" t="n"/>
      <c r="AP267" s="1657" t="n"/>
      <c r="AQ267" s="1657" t="n"/>
      <c r="AR267" s="1656" t="n"/>
      <c r="AS267" s="1656" t="n"/>
      <c r="AT267" s="1656" t="n"/>
      <c r="AU267" s="1656" t="n"/>
      <c r="AV267" s="1551" t="n"/>
    </row>
    <row r="268" hidden="1" outlineLevel="1" ht="14.4" customFormat="1" customHeight="1" s="1676">
      <c r="A268" s="1677" t="inlineStr">
        <is>
          <t>Non-GAAP COGS Margin, %</t>
        </is>
      </c>
      <c r="B268" s="1678" t="n"/>
      <c r="C268" s="1679" t="n"/>
      <c r="D268" s="1679" t="n"/>
      <c r="E268" s="1679" t="n"/>
      <c r="F268" s="1679" t="n"/>
      <c r="G268" s="1679" t="n"/>
      <c r="H268" s="1679" t="n"/>
      <c r="I268" s="1679" t="n"/>
      <c r="J268" s="1679" t="n"/>
      <c r="K268" s="1679" t="n"/>
      <c r="L268" s="1679" t="n"/>
      <c r="M268" s="1679" t="n"/>
      <c r="N268" s="1679" t="n"/>
      <c r="O268" s="1680" t="n"/>
      <c r="P268" s="1681" t="n"/>
      <c r="Q268" s="1680" t="n"/>
      <c r="R268" s="1680" t="n"/>
      <c r="S268" s="1679" t="n"/>
      <c r="T268" s="1680" t="n"/>
      <c r="U268" s="1681" t="n"/>
      <c r="V268" s="1680" t="n"/>
      <c r="W268" s="1680" t="n"/>
      <c r="X268" s="1679">
        <f>(X333-X340)/X333</f>
        <v/>
      </c>
      <c r="Y268" s="1680" t="n"/>
      <c r="Z268" s="1681" t="n"/>
      <c r="AA268" s="1680">
        <f>(AA333-AA340)/AA333</f>
        <v/>
      </c>
      <c r="AB268" s="1680">
        <f>(AB333-AB340)/AB333</f>
        <v/>
      </c>
      <c r="AC268" s="1679">
        <f>(AC333-AC340)/AC333</f>
        <v/>
      </c>
      <c r="AD268" s="1680">
        <f>(AD333-AD340)/AD333</f>
        <v/>
      </c>
      <c r="AE268" s="1681">
        <f>(AE333-AE340)/AE333</f>
        <v/>
      </c>
      <c r="AF268" s="1680">
        <f>(AF333-AF340)/AF333</f>
        <v/>
      </c>
      <c r="AG268" s="1680">
        <f>(AG333-AG340)/AG333</f>
        <v/>
      </c>
      <c r="AH268" s="1679">
        <f>(AH333-AH340)/AH333</f>
        <v/>
      </c>
      <c r="AI268" s="1680">
        <f>(AI333-AI340)/AI333</f>
        <v/>
      </c>
      <c r="AJ268" s="1681">
        <f>(AJ333-AJ340)/AJ333</f>
        <v/>
      </c>
      <c r="AK268" s="1682">
        <f>(AK333-AK340)/AK333</f>
        <v/>
      </c>
      <c r="AL268" s="1683">
        <f>(AL333-AL340)/AL333</f>
        <v/>
      </c>
      <c r="AM268" s="1684">
        <f>(AM333-AM340)/AM333</f>
        <v/>
      </c>
      <c r="AN268" s="1683">
        <f>(AN333-AN340)/AN333</f>
        <v/>
      </c>
      <c r="AO268" s="1683">
        <f>(AO333-AO340)/AO333</f>
        <v/>
      </c>
      <c r="AP268" s="1683">
        <f>(AP333-AP340)/AP333</f>
        <v/>
      </c>
      <c r="AQ268" s="1683">
        <f>(AQ333-AQ340)/AQ333</f>
        <v/>
      </c>
      <c r="AR268" s="1684">
        <f>(AR333-AR340)/AR333</f>
        <v/>
      </c>
      <c r="AS268" s="1684">
        <f>(AS333-AS340)/AS333</f>
        <v/>
      </c>
      <c r="AT268" s="1684">
        <f>(AT333-AT340)/AT333</f>
        <v/>
      </c>
      <c r="AU268" s="1684">
        <f>(AU333-AU340)/AU333</f>
        <v/>
      </c>
      <c r="AV268" s="1551" t="n"/>
    </row>
    <row r="269" hidden="1" outlineLevel="1" ht="14.4" customFormat="1" customHeight="1" s="1676">
      <c r="A269" s="1685" t="inlineStr">
        <is>
          <t>Non-GAAP Gross Margin, %</t>
        </is>
      </c>
      <c r="B269" s="1686" t="n"/>
      <c r="C269" s="1687" t="n"/>
      <c r="D269" s="1687" t="n"/>
      <c r="E269" s="1687" t="n"/>
      <c r="F269" s="1687" t="n"/>
      <c r="G269" s="1687" t="n"/>
      <c r="H269" s="1687" t="n"/>
      <c r="I269" s="1687" t="n"/>
      <c r="J269" s="1687" t="n"/>
      <c r="K269" s="1687" t="n"/>
      <c r="L269" s="1687" t="n"/>
      <c r="M269" s="1687" t="n"/>
      <c r="N269" s="1687" t="n"/>
      <c r="O269" s="1688" t="n"/>
      <c r="P269" s="1689" t="n"/>
      <c r="Q269" s="1688" t="n"/>
      <c r="R269" s="1688" t="n"/>
      <c r="S269" s="1687" t="n"/>
      <c r="T269" s="1688" t="n"/>
      <c r="U269" s="1689" t="n"/>
      <c r="V269" s="1688" t="n"/>
      <c r="W269" s="1688" t="n"/>
      <c r="X269" s="1687">
        <f>1-X268</f>
        <v/>
      </c>
      <c r="Y269" s="1688" t="n"/>
      <c r="Z269" s="1689" t="n"/>
      <c r="AA269" s="1688">
        <f>1-AA268</f>
        <v/>
      </c>
      <c r="AB269" s="1688">
        <f>1-AB268</f>
        <v/>
      </c>
      <c r="AC269" s="1687">
        <f>1-AC268</f>
        <v/>
      </c>
      <c r="AD269" s="1688">
        <f>1-AD268</f>
        <v/>
      </c>
      <c r="AE269" s="1689">
        <f>1-AE268</f>
        <v/>
      </c>
      <c r="AF269" s="1688">
        <f>1-AF268</f>
        <v/>
      </c>
      <c r="AG269" s="1688">
        <f>1-AG268</f>
        <v/>
      </c>
      <c r="AH269" s="1687">
        <f>1-AH268</f>
        <v/>
      </c>
      <c r="AI269" s="1688">
        <f>1-AI268</f>
        <v/>
      </c>
      <c r="AJ269" s="1689">
        <f>1-AJ268</f>
        <v/>
      </c>
      <c r="AK269" s="1690">
        <f>1-AK268</f>
        <v/>
      </c>
      <c r="AL269" s="1657">
        <f>1-AL268</f>
        <v/>
      </c>
      <c r="AM269" s="1656">
        <f>1-AM268</f>
        <v/>
      </c>
      <c r="AN269" s="1657">
        <f>1-AN268</f>
        <v/>
      </c>
      <c r="AO269" s="1657">
        <f>1-AO268</f>
        <v/>
      </c>
      <c r="AP269" s="1657">
        <f>1-AP268</f>
        <v/>
      </c>
      <c r="AQ269" s="1657">
        <f>1-AQ268</f>
        <v/>
      </c>
      <c r="AR269" s="1656">
        <f>1-AR268</f>
        <v/>
      </c>
      <c r="AS269" s="1656">
        <f>1-AS268</f>
        <v/>
      </c>
      <c r="AT269" s="1656">
        <f>1-AT268</f>
        <v/>
      </c>
      <c r="AU269" s="1656">
        <f>1-AU268</f>
        <v/>
      </c>
      <c r="AV269" s="1551" t="n"/>
    </row>
    <row r="270" hidden="1" outlineLevel="1" ht="14.4" customFormat="1" customHeight="1" s="1676">
      <c r="A270" s="1588" t="inlineStr">
        <is>
          <t>Consensus Estimates - Non-GAAP Gross Margin, %</t>
        </is>
      </c>
      <c r="B270" s="1693" t="n"/>
      <c r="C270" s="1550" t="n"/>
      <c r="D270" s="1550" t="n"/>
      <c r="E270" s="1550" t="n"/>
      <c r="F270" s="1550" t="n"/>
      <c r="G270" s="1550" t="n"/>
      <c r="H270" s="1550" t="n"/>
      <c r="I270" s="1550" t="n"/>
      <c r="J270" s="1550" t="n"/>
      <c r="K270" s="1550" t="n"/>
      <c r="L270" s="1550" t="n"/>
      <c r="M270" s="1550" t="n"/>
      <c r="N270" s="1550" t="n"/>
      <c r="O270" s="1551" t="n"/>
      <c r="P270" s="1694" t="n"/>
      <c r="Q270" s="1551" t="n"/>
      <c r="R270" s="1551" t="n"/>
      <c r="S270" s="1550" t="n"/>
      <c r="T270" s="1551" t="n"/>
      <c r="U270" s="1694" t="n"/>
      <c r="V270" s="1551" t="n"/>
      <c r="W270" s="1551" t="n"/>
      <c r="X270" s="1550" t="n"/>
      <c r="Y270" s="1551" t="n"/>
      <c r="Z270" s="1694" t="n"/>
      <c r="AA270" s="1551" t="n"/>
      <c r="AB270" s="1551" t="n"/>
      <c r="AC270" s="1550" t="n"/>
      <c r="AD270" s="1551" t="n"/>
      <c r="AE270" s="1694" t="n"/>
      <c r="AF270" s="1551" t="n"/>
      <c r="AG270" s="1551" t="n"/>
      <c r="AH270" s="1550" t="n"/>
      <c r="AI270" s="1551" t="n"/>
      <c r="AJ270" s="1694" t="n"/>
      <c r="AK270" s="1553" t="n"/>
      <c r="AL270" s="1460">
        <f>IFERROR(VLOOKUP($A270,tb_ConsensusEstimate,MATCH(AL$5,OFFSET(tb_ConsensusEstimate,0,0,1,COLUMNS(tb_ConsensusEstimate)),0),FALSE),"-")</f>
        <v/>
      </c>
      <c r="AM270" s="1459">
        <f>IFERROR(VLOOKUP($A270,tb_ConsensusEstimate,MATCH(AM$5,OFFSET(tb_ConsensusEstimate,0,0,1,COLUMNS(tb_ConsensusEstimate)),0),FALSE),"-")</f>
        <v/>
      </c>
      <c r="AN270" s="1460">
        <f>IFERROR(VLOOKUP($A270,tb_ConsensusEstimate,MATCH(AN$5,OFFSET(tb_ConsensusEstimate,0,0,1,COLUMNS(tb_ConsensusEstimate)),0),FALSE),"-")</f>
        <v/>
      </c>
      <c r="AO270" s="1460">
        <f>IFERROR(VLOOKUP($A270,tb_ConsensusEstimate,MATCH(AO$5,OFFSET(tb_ConsensusEstimate,0,0,1,COLUMNS(tb_ConsensusEstimate)),0),FALSE),"-")</f>
        <v/>
      </c>
      <c r="AP270" s="1460">
        <f>IFERROR(VLOOKUP($A270,tb_ConsensusEstimate,MATCH(AP$5,OFFSET(tb_ConsensusEstimate,0,0,1,COLUMNS(tb_ConsensusEstimate)),0),FALSE),"-")</f>
        <v/>
      </c>
      <c r="AQ270" s="1460">
        <f>IFERROR(VLOOKUP($A270,tb_ConsensusEstimate,MATCH(AQ$5,OFFSET(tb_ConsensusEstimate,0,0,1,COLUMNS(tb_ConsensusEstimate)),0),FALSE),"-")</f>
        <v/>
      </c>
      <c r="AR270" s="1459">
        <f>IFERROR(VLOOKUP($A270,tb_ConsensusEstimate,MATCH(AR$5,OFFSET(tb_ConsensusEstimate,0,0,1,COLUMNS(tb_ConsensusEstimate)),0),FALSE),"-")</f>
        <v/>
      </c>
      <c r="AS270" s="1459">
        <f>IFERROR(VLOOKUP($A270,tb_ConsensusEstimate,MATCH(AS$5,OFFSET(tb_ConsensusEstimate,0,0,1,COLUMNS(tb_ConsensusEstimate)),0),FALSE),"-")</f>
        <v/>
      </c>
      <c r="AT270" s="1459">
        <f>IFERROR(VLOOKUP($A270,tb_ConsensusEstimate,MATCH(AT$5,OFFSET(tb_ConsensusEstimate,0,0,1,COLUMNS(tb_ConsensusEstimate)),0),FALSE),"-")</f>
        <v/>
      </c>
      <c r="AU270" s="1459">
        <f>IFERROR(VLOOKUP($A270,tb_ConsensusEstimate,MATCH(AU$5,OFFSET(tb_ConsensusEstimate,0,0,1,COLUMNS(tb_ConsensusEstimate)),0),FALSE),"-")</f>
        <v/>
      </c>
      <c r="AV270" s="1551" t="n"/>
    </row>
    <row r="271" hidden="1" outlineLevel="1" ht="7.5" customFormat="1" customHeight="1" s="1676">
      <c r="A271" s="1685" t="n"/>
      <c r="B271" s="1686" t="n"/>
      <c r="C271" s="1687" t="n"/>
      <c r="D271" s="1687" t="n"/>
      <c r="E271" s="1687" t="n"/>
      <c r="F271" s="1687" t="n"/>
      <c r="G271" s="1687" t="n"/>
      <c r="H271" s="1687" t="n"/>
      <c r="I271" s="1687" t="n"/>
      <c r="J271" s="1687" t="n"/>
      <c r="K271" s="1687" t="n"/>
      <c r="L271" s="1687" t="n"/>
      <c r="M271" s="1687" t="n"/>
      <c r="N271" s="1687" t="n"/>
      <c r="O271" s="1688" t="n"/>
      <c r="P271" s="1689" t="n"/>
      <c r="Q271" s="1688" t="n"/>
      <c r="R271" s="1688" t="n"/>
      <c r="S271" s="1687" t="n"/>
      <c r="T271" s="1688" t="n"/>
      <c r="U271" s="1689" t="n"/>
      <c r="V271" s="1688" t="n"/>
      <c r="W271" s="1688" t="n"/>
      <c r="X271" s="1687" t="n"/>
      <c r="Y271" s="1688" t="n"/>
      <c r="Z271" s="1689" t="n"/>
      <c r="AA271" s="1688" t="n"/>
      <c r="AB271" s="1688" t="n"/>
      <c r="AC271" s="1687" t="n"/>
      <c r="AD271" s="1688" t="n"/>
      <c r="AE271" s="1689" t="n"/>
      <c r="AF271" s="1688" t="n"/>
      <c r="AG271" s="1688" t="n"/>
      <c r="AH271" s="1687" t="n"/>
      <c r="AI271" s="1688" t="n"/>
      <c r="AJ271" s="1689" t="n"/>
      <c r="AK271" s="1690" t="n"/>
      <c r="AL271" s="1657" t="n"/>
      <c r="AM271" s="1656" t="n"/>
      <c r="AN271" s="1657" t="n"/>
      <c r="AO271" s="1657" t="n"/>
      <c r="AP271" s="1657" t="n"/>
      <c r="AQ271" s="1657" t="n"/>
      <c r="AR271" s="1656" t="n"/>
      <c r="AS271" s="1656" t="n"/>
      <c r="AT271" s="1656" t="n"/>
      <c r="AU271" s="1656" t="n"/>
      <c r="AV271" s="1551" t="n"/>
    </row>
    <row r="272" hidden="1" outlineLevel="1" ht="14.4" customFormat="1" customHeight="1" s="1676">
      <c r="A272" s="1685" t="inlineStr">
        <is>
          <t>Non-GAAP S&amp;M Margin, %</t>
        </is>
      </c>
      <c r="B272" s="1686" t="n"/>
      <c r="C272" s="1687" t="n"/>
      <c r="D272" s="1687" t="n"/>
      <c r="E272" s="1687" t="n"/>
      <c r="F272" s="1687" t="n"/>
      <c r="G272" s="1687" t="n"/>
      <c r="H272" s="1687" t="n"/>
      <c r="I272" s="1687" t="n"/>
      <c r="J272" s="1687" t="n"/>
      <c r="K272" s="1687" t="n"/>
      <c r="L272" s="1687" t="n"/>
      <c r="M272" s="1687" t="n"/>
      <c r="N272" s="1687" t="n"/>
      <c r="O272" s="1688" t="n"/>
      <c r="P272" s="1689" t="n"/>
      <c r="Q272" s="1688" t="n"/>
      <c r="R272" s="1688" t="n"/>
      <c r="S272" s="1687" t="n"/>
      <c r="T272" s="1688" t="n"/>
      <c r="U272" s="1689" t="n"/>
      <c r="V272" s="1688" t="n"/>
      <c r="W272" s="1688" t="n"/>
      <c r="X272" s="1687">
        <f>X346/X333</f>
        <v/>
      </c>
      <c r="Y272" s="1688" t="n"/>
      <c r="Z272" s="1689" t="n"/>
      <c r="AA272" s="1688">
        <f>AA346/AA333</f>
        <v/>
      </c>
      <c r="AB272" s="1688">
        <f>AB346/AB333</f>
        <v/>
      </c>
      <c r="AC272" s="1687">
        <f>AC346/AC333</f>
        <v/>
      </c>
      <c r="AD272" s="1688">
        <f>AD346/AD333</f>
        <v/>
      </c>
      <c r="AE272" s="1689">
        <f>AE346/AE333</f>
        <v/>
      </c>
      <c r="AF272" s="1688">
        <f>AF346/AF333</f>
        <v/>
      </c>
      <c r="AG272" s="1688">
        <f>AG346/AG333</f>
        <v/>
      </c>
      <c r="AH272" s="1687">
        <f>AH346/AH333</f>
        <v/>
      </c>
      <c r="AI272" s="1688">
        <f>AI346/AI333</f>
        <v/>
      </c>
      <c r="AJ272" s="1689">
        <f>AJ346/AJ333</f>
        <v/>
      </c>
      <c r="AK272" s="1690">
        <f>AK346/AK333</f>
        <v/>
      </c>
      <c r="AL272" s="1657">
        <f>AL346/AL333</f>
        <v/>
      </c>
      <c r="AM272" s="1656">
        <f>AM346/AM333</f>
        <v/>
      </c>
      <c r="AN272" s="1657">
        <f>AN346/AN333</f>
        <v/>
      </c>
      <c r="AO272" s="1657">
        <f>AO346/AO333</f>
        <v/>
      </c>
      <c r="AP272" s="1657">
        <f>AP346/AP333</f>
        <v/>
      </c>
      <c r="AQ272" s="1657">
        <f>AQ346/AQ333</f>
        <v/>
      </c>
      <c r="AR272" s="1656">
        <f>AR346/AR333</f>
        <v/>
      </c>
      <c r="AS272" s="1656">
        <f>AS346/AS333</f>
        <v/>
      </c>
      <c r="AT272" s="1656">
        <f>AT346/AT333</f>
        <v/>
      </c>
      <c r="AU272" s="1656">
        <f>AU346/AU333</f>
        <v/>
      </c>
      <c r="AV272" s="1551" t="n"/>
    </row>
    <row r="273" hidden="1" outlineLevel="1" ht="14.4" customFormat="1" customHeight="1" s="1676">
      <c r="A273" s="1685" t="inlineStr">
        <is>
          <t>Non-GAAP G&amp;A Margin, %</t>
        </is>
      </c>
      <c r="B273" s="1686" t="n"/>
      <c r="C273" s="1687" t="n"/>
      <c r="D273" s="1687" t="n"/>
      <c r="E273" s="1687" t="n"/>
      <c r="F273" s="1687" t="n"/>
      <c r="G273" s="1687" t="n"/>
      <c r="H273" s="1687" t="n"/>
      <c r="I273" s="1687" t="n"/>
      <c r="J273" s="1687" t="n"/>
      <c r="K273" s="1687" t="n"/>
      <c r="L273" s="1687" t="n"/>
      <c r="M273" s="1687" t="n"/>
      <c r="N273" s="1687" t="n"/>
      <c r="O273" s="1688" t="n"/>
      <c r="P273" s="1689" t="n"/>
      <c r="Q273" s="1688" t="n"/>
      <c r="R273" s="1688" t="n"/>
      <c r="S273" s="1687" t="n"/>
      <c r="T273" s="1688" t="n"/>
      <c r="U273" s="1689" t="n"/>
      <c r="V273" s="1688" t="n"/>
      <c r="W273" s="1688" t="n"/>
      <c r="X273" s="1687">
        <f>X351/X333</f>
        <v/>
      </c>
      <c r="Y273" s="1688" t="n"/>
      <c r="Z273" s="1689" t="n"/>
      <c r="AA273" s="1688">
        <f>AA351/AA333</f>
        <v/>
      </c>
      <c r="AB273" s="1688">
        <f>AB351/AB333</f>
        <v/>
      </c>
      <c r="AC273" s="1687">
        <f>AC351/AC333</f>
        <v/>
      </c>
      <c r="AD273" s="1688">
        <f>AD351/AD333</f>
        <v/>
      </c>
      <c r="AE273" s="1689">
        <f>AE351/AE333</f>
        <v/>
      </c>
      <c r="AF273" s="1688">
        <f>AF351/AF333</f>
        <v/>
      </c>
      <c r="AG273" s="1688">
        <f>AG351/AG333</f>
        <v/>
      </c>
      <c r="AH273" s="1687">
        <f>AH351/AH333</f>
        <v/>
      </c>
      <c r="AI273" s="1688">
        <f>AI351/AI333</f>
        <v/>
      </c>
      <c r="AJ273" s="1689">
        <f>AJ351/AJ333</f>
        <v/>
      </c>
      <c r="AK273" s="1690">
        <f>AK351/AK333</f>
        <v/>
      </c>
      <c r="AL273" s="1657">
        <f>AL351/AL333</f>
        <v/>
      </c>
      <c r="AM273" s="1656">
        <f>AM351/AM333</f>
        <v/>
      </c>
      <c r="AN273" s="1657">
        <f>AN351/AN333</f>
        <v/>
      </c>
      <c r="AO273" s="1657">
        <f>AO351/AO333</f>
        <v/>
      </c>
      <c r="AP273" s="1657">
        <f>AP351/AP333</f>
        <v/>
      </c>
      <c r="AQ273" s="1657">
        <f>AQ351/AQ333</f>
        <v/>
      </c>
      <c r="AR273" s="1656">
        <f>AR351/AR333</f>
        <v/>
      </c>
      <c r="AS273" s="1656">
        <f>AS351/AS333</f>
        <v/>
      </c>
      <c r="AT273" s="1656">
        <f>AT351/AT333</f>
        <v/>
      </c>
      <c r="AU273" s="1656">
        <f>AU351/AU333</f>
        <v/>
      </c>
      <c r="AV273" s="1551" t="n"/>
    </row>
    <row r="274" hidden="1" outlineLevel="1" ht="14.4" customFormat="1" customHeight="1" s="1676">
      <c r="A274" s="1691" t="inlineStr">
        <is>
          <t>Non-GAAP R&amp;D Margin, %</t>
        </is>
      </c>
      <c r="B274" s="1678" t="n"/>
      <c r="C274" s="1679" t="n"/>
      <c r="D274" s="1679" t="n"/>
      <c r="E274" s="1679" t="n"/>
      <c r="F274" s="1679" t="n"/>
      <c r="G274" s="1679" t="n"/>
      <c r="H274" s="1679" t="n"/>
      <c r="I274" s="1679" t="n"/>
      <c r="J274" s="1679" t="n"/>
      <c r="K274" s="1679" t="n"/>
      <c r="L274" s="1679" t="n"/>
      <c r="M274" s="1679" t="n"/>
      <c r="N274" s="1679" t="n"/>
      <c r="O274" s="1680" t="n"/>
      <c r="P274" s="1681" t="n"/>
      <c r="Q274" s="1680" t="n"/>
      <c r="R274" s="1680" t="n"/>
      <c r="S274" s="1679" t="n"/>
      <c r="T274" s="1680" t="n"/>
      <c r="U274" s="1681" t="n"/>
      <c r="V274" s="1680" t="n"/>
      <c r="W274" s="1680" t="n"/>
      <c r="X274" s="1679">
        <f>X356/X333</f>
        <v/>
      </c>
      <c r="Y274" s="1680" t="n"/>
      <c r="Z274" s="1681" t="n"/>
      <c r="AA274" s="1680">
        <f>AA356/AA333</f>
        <v/>
      </c>
      <c r="AB274" s="1680">
        <f>AB356/AB333</f>
        <v/>
      </c>
      <c r="AC274" s="1679">
        <f>AC356/AC333</f>
        <v/>
      </c>
      <c r="AD274" s="1680">
        <f>AD356/AD333</f>
        <v/>
      </c>
      <c r="AE274" s="1681">
        <f>AE356/AE333</f>
        <v/>
      </c>
      <c r="AF274" s="1680">
        <f>AF356/AF333</f>
        <v/>
      </c>
      <c r="AG274" s="1680">
        <f>AG356/AG333</f>
        <v/>
      </c>
      <c r="AH274" s="1679">
        <f>AH356/AH333</f>
        <v/>
      </c>
      <c r="AI274" s="1680">
        <f>AI356/AI333</f>
        <v/>
      </c>
      <c r="AJ274" s="1681">
        <f>AJ356/AJ333</f>
        <v/>
      </c>
      <c r="AK274" s="1682">
        <f>AK356/AK333</f>
        <v/>
      </c>
      <c r="AL274" s="1683">
        <f>AL356/AL333</f>
        <v/>
      </c>
      <c r="AM274" s="1684">
        <f>AM356/AM333</f>
        <v/>
      </c>
      <c r="AN274" s="1683">
        <f>AN356/AN333</f>
        <v/>
      </c>
      <c r="AO274" s="1683">
        <f>AO356/AO333</f>
        <v/>
      </c>
      <c r="AP274" s="1683">
        <f>AP356/AP333</f>
        <v/>
      </c>
      <c r="AQ274" s="1683">
        <f>AQ356/AQ333</f>
        <v/>
      </c>
      <c r="AR274" s="1684">
        <f>AR356/AR333</f>
        <v/>
      </c>
      <c r="AS274" s="1684">
        <f>AS356/AS333</f>
        <v/>
      </c>
      <c r="AT274" s="1684">
        <f>AT356/AT333</f>
        <v/>
      </c>
      <c r="AU274" s="1684">
        <f>AU356/AU333</f>
        <v/>
      </c>
      <c r="AV274" s="1551" t="n"/>
    </row>
    <row r="275" hidden="1" outlineLevel="1" ht="14.4" customFormat="1" customHeight="1" s="1676">
      <c r="A275" s="1692" t="inlineStr">
        <is>
          <t>Non-GAAP Operating Income Margin, %</t>
        </is>
      </c>
      <c r="B275" s="1686" t="n"/>
      <c r="C275" s="1687" t="n"/>
      <c r="D275" s="1687" t="n"/>
      <c r="E275" s="1687" t="n"/>
      <c r="F275" s="1687" t="n"/>
      <c r="G275" s="1687" t="n"/>
      <c r="H275" s="1687" t="n"/>
      <c r="I275" s="1687" t="n"/>
      <c r="J275" s="1687" t="n"/>
      <c r="K275" s="1687" t="n"/>
      <c r="L275" s="1687" t="n"/>
      <c r="M275" s="1687" t="n"/>
      <c r="N275" s="1687" t="n"/>
      <c r="O275" s="1688" t="n"/>
      <c r="P275" s="1689" t="n"/>
      <c r="Q275" s="1688" t="n"/>
      <c r="R275" s="1688" t="n"/>
      <c r="S275" s="1687" t="n"/>
      <c r="T275" s="1688" t="n"/>
      <c r="U275" s="1689" t="n"/>
      <c r="V275" s="1688" t="n"/>
      <c r="W275" s="1688" t="n"/>
      <c r="X275" s="1687">
        <f>X357/X333</f>
        <v/>
      </c>
      <c r="Y275" s="1688" t="n"/>
      <c r="Z275" s="1689" t="n"/>
      <c r="AA275" s="1688">
        <f>AA357/AA333</f>
        <v/>
      </c>
      <c r="AB275" s="1688">
        <f>AB357/AB333</f>
        <v/>
      </c>
      <c r="AC275" s="1687">
        <f>AC357/AC333</f>
        <v/>
      </c>
      <c r="AD275" s="1688">
        <f>AD357/AD333</f>
        <v/>
      </c>
      <c r="AE275" s="1689">
        <f>AE357/AE333</f>
        <v/>
      </c>
      <c r="AF275" s="1688">
        <f>AF357/AF333</f>
        <v/>
      </c>
      <c r="AG275" s="1688">
        <f>AG357/AG333</f>
        <v/>
      </c>
      <c r="AH275" s="1687">
        <f>AH357/AH333</f>
        <v/>
      </c>
      <c r="AI275" s="1688">
        <f>AI357/AI333</f>
        <v/>
      </c>
      <c r="AJ275" s="1689">
        <f>AJ357/AJ333</f>
        <v/>
      </c>
      <c r="AK275" s="1690">
        <f>AK357/AK333</f>
        <v/>
      </c>
      <c r="AL275" s="1657">
        <f>AL357/AL333</f>
        <v/>
      </c>
      <c r="AM275" s="1656">
        <f>AM357/AM333</f>
        <v/>
      </c>
      <c r="AN275" s="1657">
        <f>AN357/AN333</f>
        <v/>
      </c>
      <c r="AO275" s="1657">
        <f>AO357/AO333</f>
        <v/>
      </c>
      <c r="AP275" s="1657">
        <f>AP357/AP333</f>
        <v/>
      </c>
      <c r="AQ275" s="1657">
        <f>AQ357/AQ333</f>
        <v/>
      </c>
      <c r="AR275" s="1656">
        <f>AR357/AR333</f>
        <v/>
      </c>
      <c r="AS275" s="1656">
        <f>AS357/AS333</f>
        <v/>
      </c>
      <c r="AT275" s="1656">
        <f>AT357/AT333</f>
        <v/>
      </c>
      <c r="AU275" s="1656">
        <f>AU357/AU333</f>
        <v/>
      </c>
      <c r="AV275" s="1551" t="n"/>
    </row>
    <row r="276" hidden="1" outlineLevel="1" ht="14.4" customFormat="1" customHeight="1" s="1676">
      <c r="A276" s="1692" t="inlineStr">
        <is>
          <t>Company Reported Non-GAAP Operating Income Margin, %</t>
        </is>
      </c>
      <c r="B276" s="1686" t="n"/>
      <c r="C276" s="1687" t="n"/>
      <c r="D276" s="1687" t="n"/>
      <c r="E276" s="1687" t="n"/>
      <c r="F276" s="1687" t="n"/>
      <c r="G276" s="1687" t="n"/>
      <c r="H276" s="1687" t="n"/>
      <c r="I276" s="1687" t="n"/>
      <c r="J276" s="1687" t="n"/>
      <c r="K276" s="1687" t="n"/>
      <c r="L276" s="1687" t="n"/>
      <c r="M276" s="1687" t="n"/>
      <c r="N276" s="1687" t="n"/>
      <c r="O276" s="1688" t="n"/>
      <c r="P276" s="1689" t="n"/>
      <c r="Q276" s="1688" t="n"/>
      <c r="R276" s="1688" t="n"/>
      <c r="S276" s="1687" t="n"/>
      <c r="T276" s="1688" t="n"/>
      <c r="U276" s="1689" t="n"/>
      <c r="V276" s="1688" t="n"/>
      <c r="W276" s="1688" t="n"/>
      <c r="X276" s="1687">
        <f>X359/X333</f>
        <v/>
      </c>
      <c r="Y276" s="1688" t="n"/>
      <c r="Z276" s="1689" t="n"/>
      <c r="AA276" s="1688">
        <f>AA359/AA333</f>
        <v/>
      </c>
      <c r="AB276" s="1688">
        <f>AB359/AB333</f>
        <v/>
      </c>
      <c r="AC276" s="1687">
        <f>AC359/AC333</f>
        <v/>
      </c>
      <c r="AD276" s="1688">
        <f>AD359/AD333</f>
        <v/>
      </c>
      <c r="AE276" s="1689">
        <f>AE359/AE333</f>
        <v/>
      </c>
      <c r="AF276" s="1688">
        <f>AF359/AF333</f>
        <v/>
      </c>
      <c r="AG276" s="1688">
        <f>AG359/AG333</f>
        <v/>
      </c>
      <c r="AH276" s="1687">
        <f>AH359/AH333</f>
        <v/>
      </c>
      <c r="AI276" s="1688">
        <f>AI359/AI333</f>
        <v/>
      </c>
      <c r="AJ276" s="1689">
        <f>AJ359/AJ333</f>
        <v/>
      </c>
      <c r="AK276" s="1690">
        <f>AK359/AK333</f>
        <v/>
      </c>
      <c r="AL276" s="1657">
        <f>AL359/AL333</f>
        <v/>
      </c>
      <c r="AM276" s="1656">
        <f>AM359/AM333</f>
        <v/>
      </c>
      <c r="AN276" s="1657">
        <f>AN359/AN333</f>
        <v/>
      </c>
      <c r="AO276" s="1657">
        <f>AO359/AO333</f>
        <v/>
      </c>
      <c r="AP276" s="1657">
        <f>AP359/AP333</f>
        <v/>
      </c>
      <c r="AQ276" s="1657">
        <f>AQ359/AQ333</f>
        <v/>
      </c>
      <c r="AR276" s="1656">
        <f>AR359/AR333</f>
        <v/>
      </c>
      <c r="AS276" s="1656">
        <f>AS359/AS333</f>
        <v/>
      </c>
      <c r="AT276" s="1656">
        <f>AT359/AT333</f>
        <v/>
      </c>
      <c r="AU276" s="1656">
        <f>AU359/AU333</f>
        <v/>
      </c>
      <c r="AV276" s="1551" t="n"/>
    </row>
    <row r="277" hidden="1" outlineLevel="1" ht="14.4" customFormat="1" customHeight="1" s="1676">
      <c r="A277" s="1588" t="inlineStr">
        <is>
          <t>Consensus Estimates - Company Reported Non-GAAP Operating Income Margin, %</t>
        </is>
      </c>
      <c r="B277" s="1693" t="n"/>
      <c r="C277" s="1550" t="n"/>
      <c r="D277" s="1550" t="n"/>
      <c r="E277" s="1550" t="n"/>
      <c r="F277" s="1550" t="n"/>
      <c r="G277" s="1550" t="n"/>
      <c r="H277" s="1550" t="n"/>
      <c r="I277" s="1550" t="n"/>
      <c r="J277" s="1550" t="n"/>
      <c r="K277" s="1550" t="n"/>
      <c r="L277" s="1550" t="n"/>
      <c r="M277" s="1550" t="n"/>
      <c r="N277" s="1550" t="n"/>
      <c r="O277" s="1551" t="n"/>
      <c r="P277" s="1694" t="n"/>
      <c r="Q277" s="1551" t="n"/>
      <c r="R277" s="1551" t="n"/>
      <c r="S277" s="1550" t="n"/>
      <c r="T277" s="1551" t="n"/>
      <c r="U277" s="1694" t="n"/>
      <c r="V277" s="1551" t="n"/>
      <c r="W277" s="1551" t="n"/>
      <c r="X277" s="1550" t="n"/>
      <c r="Y277" s="1551" t="n"/>
      <c r="Z277" s="1694" t="n"/>
      <c r="AA277" s="1551" t="n"/>
      <c r="AB277" s="1551" t="n"/>
      <c r="AC277" s="1550" t="n"/>
      <c r="AD277" s="1551" t="n"/>
      <c r="AE277" s="1694" t="n"/>
      <c r="AF277" s="1551" t="n"/>
      <c r="AG277" s="1551" t="n"/>
      <c r="AH277" s="1550" t="n"/>
      <c r="AI277" s="1551" t="n"/>
      <c r="AJ277" s="1694" t="n"/>
      <c r="AK277" s="1553" t="n"/>
      <c r="AL277" s="1460">
        <f>IFERROR(AL360/AL334,0)</f>
        <v/>
      </c>
      <c r="AM277" s="1459">
        <f>IFERROR(AM360/AM334,0)</f>
        <v/>
      </c>
      <c r="AN277" s="1460">
        <f>IFERROR(AN360/AN334,0)</f>
        <v/>
      </c>
      <c r="AO277" s="1460">
        <f>IFERROR(AO360/AO334,0)</f>
        <v/>
      </c>
      <c r="AP277" s="1460">
        <f>IFERROR(AP360/AP334,0)</f>
        <v/>
      </c>
      <c r="AQ277" s="1460">
        <f>IFERROR(AQ360/AQ334,0)</f>
        <v/>
      </c>
      <c r="AR277" s="1459">
        <f>IFERROR(AR360/AR334,0)</f>
        <v/>
      </c>
      <c r="AS277" s="1459">
        <f>IFERROR(AS360/AS334,0)</f>
        <v/>
      </c>
      <c r="AT277" s="1459">
        <f>IFERROR(AT360/AT334,0)</f>
        <v/>
      </c>
      <c r="AU277" s="1459">
        <f>IFERROR(AU360/AU334,0)</f>
        <v/>
      </c>
      <c r="AV277" s="1551" t="n"/>
    </row>
    <row r="278" collapsed="1" ht="14.4" customFormat="1" customHeight="1" s="1676">
      <c r="A278" s="1692" t="n"/>
      <c r="B278" s="1686" t="n"/>
      <c r="C278" s="1687" t="n"/>
      <c r="D278" s="1687" t="n"/>
      <c r="E278" s="1687" t="n"/>
      <c r="F278" s="1687" t="n"/>
      <c r="G278" s="1687" t="n"/>
      <c r="H278" s="1687" t="n"/>
      <c r="I278" s="1687" t="n"/>
      <c r="J278" s="1687" t="n"/>
      <c r="K278" s="1687" t="n"/>
      <c r="L278" s="1687" t="n"/>
      <c r="M278" s="1687" t="n"/>
      <c r="N278" s="1687" t="n"/>
      <c r="O278" s="1688" t="n"/>
      <c r="P278" s="1689" t="n"/>
      <c r="Q278" s="1688" t="n"/>
      <c r="R278" s="1688" t="n"/>
      <c r="S278" s="1687" t="n"/>
      <c r="T278" s="1688" t="n"/>
      <c r="U278" s="1689" t="n"/>
      <c r="V278" s="1688" t="n"/>
      <c r="W278" s="1688" t="n"/>
      <c r="X278" s="1687" t="n"/>
      <c r="Y278" s="1688" t="n"/>
      <c r="Z278" s="1689" t="n"/>
      <c r="AA278" s="1688" t="n"/>
      <c r="AB278" s="1688" t="n"/>
      <c r="AC278" s="1687" t="n"/>
      <c r="AD278" s="1688" t="n"/>
      <c r="AE278" s="1689" t="n"/>
      <c r="AF278" s="1688" t="n"/>
      <c r="AG278" s="1688" t="n"/>
      <c r="AH278" s="1687" t="n"/>
      <c r="AI278" s="1688" t="n"/>
      <c r="AJ278" s="1689" t="n"/>
      <c r="AK278" s="1690" t="n"/>
      <c r="AL278" s="1657" t="n"/>
      <c r="AM278" s="1656" t="n"/>
      <c r="AN278" s="1657" t="n"/>
      <c r="AO278" s="1657" t="n"/>
      <c r="AP278" s="1657" t="n"/>
      <c r="AQ278" s="1657" t="n"/>
      <c r="AR278" s="1656" t="n"/>
      <c r="AS278" s="1656" t="n"/>
      <c r="AT278" s="1656" t="n"/>
      <c r="AU278" s="1656" t="n"/>
      <c r="AV278" s="1551" t="n"/>
    </row>
    <row r="279" ht="14.4" customFormat="1" customHeight="1" s="1418">
      <c r="A279" s="1530" t="inlineStr">
        <is>
          <t>Income Statement - As Reported</t>
        </is>
      </c>
      <c r="B279" s="1531" t="n"/>
      <c r="C279" s="1531" t="n"/>
      <c r="D279" s="1531" t="n"/>
      <c r="E279" s="1531" t="n"/>
      <c r="F279" s="1531" t="n"/>
      <c r="G279" s="1531" t="n"/>
      <c r="H279" s="1531" t="n"/>
      <c r="I279" s="1531" t="n"/>
      <c r="J279" s="1531" t="n"/>
      <c r="K279" s="1531" t="n"/>
      <c r="L279" s="1531" t="n"/>
      <c r="M279" s="1531" t="n"/>
      <c r="N279" s="1531" t="n"/>
      <c r="O279" s="1531" t="n"/>
      <c r="P279" s="1531" t="n"/>
      <c r="Q279" s="1531" t="n"/>
      <c r="R279" s="1531" t="n"/>
      <c r="S279" s="1531" t="n"/>
      <c r="T279" s="1531" t="n"/>
      <c r="U279" s="1531" t="n"/>
      <c r="V279" s="1531" t="n"/>
      <c r="W279" s="1531" t="n"/>
      <c r="X279" s="1531" t="n"/>
      <c r="Y279" s="1531" t="n"/>
      <c r="Z279" s="1531" t="n"/>
      <c r="AA279" s="1532" t="inlineStr">
        <is>
          <t>9 Months</t>
        </is>
      </c>
      <c r="AB279" s="1531" t="n"/>
      <c r="AC279" s="1531" t="n"/>
      <c r="AD279" s="1531" t="n"/>
      <c r="AE279" s="1531" t="n"/>
      <c r="AF279" s="1531" t="n"/>
      <c r="AG279" s="1531" t="n"/>
      <c r="AH279" s="1531" t="n"/>
      <c r="AI279" s="1531" t="n"/>
      <c r="AJ279" s="1531" t="n"/>
      <c r="AK279" s="1533" t="n"/>
      <c r="AL279" s="1531" t="n"/>
      <c r="AM279" s="1531" t="n"/>
      <c r="AN279" s="1531" t="n"/>
      <c r="AO279" s="1531" t="n"/>
      <c r="AP279" s="1531" t="n"/>
      <c r="AQ279" s="1531" t="n"/>
      <c r="AR279" s="1531" t="n"/>
      <c r="AS279" s="1531" t="n"/>
      <c r="AT279" s="1531" t="n"/>
      <c r="AU279" s="1531" t="n"/>
      <c r="AV279" s="1422" t="n"/>
    </row>
    <row r="280" hidden="1" outlineLevel="1" ht="14.4" customFormat="1" customHeight="1" s="1438">
      <c r="A280" s="1439" t="inlineStr">
        <is>
          <t>Revenue</t>
        </is>
      </c>
      <c r="B280" s="1695" t="n"/>
      <c r="C280" s="1535" t="n"/>
      <c r="D280" s="1535" t="n"/>
      <c r="E280" s="1535" t="n"/>
      <c r="F280" s="1535" t="n"/>
      <c r="G280" s="1535" t="n"/>
      <c r="H280" s="1535" t="n"/>
      <c r="I280" s="1535" t="n"/>
      <c r="J280" s="1535" t="n"/>
      <c r="K280" s="1535" t="n"/>
      <c r="L280" s="1535" t="n"/>
      <c r="M280" s="1535" t="n"/>
      <c r="N280" s="1535" t="n"/>
      <c r="O280" s="1536" t="n"/>
      <c r="P280" s="1536" t="n"/>
      <c r="Q280" s="1536" t="n"/>
      <c r="R280" s="1536" t="n"/>
      <c r="S280" s="1535" t="n"/>
      <c r="T280" s="1536" t="n"/>
      <c r="U280" s="1536" t="n"/>
      <c r="V280" s="1536" t="n"/>
      <c r="W280" s="1536" t="n"/>
      <c r="X280" s="1696" t="n">
        <v>15.83</v>
      </c>
      <c r="Y280" s="1536" t="n"/>
      <c r="Z280" s="1536" t="n"/>
      <c r="AA280" s="1697" t="n">
        <v>112.946</v>
      </c>
      <c r="AB280" s="1446">
        <f>AC280-SUM(Y280,Z280,AA280)</f>
        <v/>
      </c>
      <c r="AC280" s="1696" t="n">
        <v>228.943</v>
      </c>
      <c r="AD280" s="1697" t="n">
        <v>188.684</v>
      </c>
      <c r="AE280" s="1697" t="n">
        <v>395.371</v>
      </c>
      <c r="AF280" s="1697" t="n">
        <v>583.941</v>
      </c>
      <c r="AG280" s="1697" t="n">
        <v>747.4299999999999</v>
      </c>
      <c r="AH280" s="1696" t="n">
        <v>1915.426</v>
      </c>
      <c r="AI280" s="1697" t="n">
        <v>981.6319999999999</v>
      </c>
      <c r="AJ280" s="1697" t="n">
        <v>1212.788</v>
      </c>
      <c r="AK280" s="1675" t="n">
        <v>1364.676</v>
      </c>
      <c r="AL280" s="1536" t="n"/>
      <c r="AM280" s="1535" t="n"/>
      <c r="AN280" s="1536" t="n"/>
      <c r="AO280" s="1536" t="n"/>
      <c r="AP280" s="1536" t="n"/>
      <c r="AQ280" s="1536" t="n"/>
      <c r="AR280" s="1535" t="n"/>
      <c r="AS280" s="1535" t="n"/>
      <c r="AT280" s="1535" t="n"/>
      <c r="AU280" s="1535" t="n"/>
      <c r="AV280" s="1446" t="n"/>
    </row>
    <row r="281" hidden="1" outlineLevel="1" ht="14.4" customFormat="1" customHeight="1" s="1418">
      <c r="A281" s="1539" t="inlineStr">
        <is>
          <t>Cost of revenue</t>
        </is>
      </c>
      <c r="B281" s="1698" t="n"/>
      <c r="C281" s="1529" t="n"/>
      <c r="D281" s="1529" t="n"/>
      <c r="E281" s="1529" t="n"/>
      <c r="F281" s="1529" t="n"/>
      <c r="G281" s="1529" t="n"/>
      <c r="H281" s="1529" t="n"/>
      <c r="I281" s="1529" t="n"/>
      <c r="J281" s="1529" t="n"/>
      <c r="K281" s="1529" t="n"/>
      <c r="L281" s="1529" t="n"/>
      <c r="M281" s="1529" t="n"/>
      <c r="N281" s="1529" t="n"/>
      <c r="O281" s="1420" t="n"/>
      <c r="P281" s="1420" t="n"/>
      <c r="Q281" s="1420" t="n"/>
      <c r="R281" s="1420" t="n"/>
      <c r="S281" s="1529" t="n"/>
      <c r="T281" s="1420" t="n"/>
      <c r="U281" s="1420" t="n"/>
      <c r="V281" s="1420" t="n"/>
      <c r="W281" s="1420" t="n"/>
      <c r="X281" s="1593" t="n">
        <v>12.122</v>
      </c>
      <c r="Y281" s="1420" t="n"/>
      <c r="Z281" s="1420" t="n"/>
      <c r="AA281" s="1594" t="n">
        <v>33.932</v>
      </c>
      <c r="AB281" s="1422">
        <f>AC281-SUM(Y281,Z281,AA281)</f>
        <v/>
      </c>
      <c r="AC281" s="1593" t="n">
        <v>68.78</v>
      </c>
      <c r="AD281" s="1594" t="n">
        <v>59.22</v>
      </c>
      <c r="AE281" s="1594" t="n">
        <v>108.838</v>
      </c>
      <c r="AF281" s="1594" t="n">
        <v>143.134</v>
      </c>
      <c r="AG281" s="1594" t="n">
        <v>182.158</v>
      </c>
      <c r="AH281" s="1593" t="n">
        <v>493.35</v>
      </c>
      <c r="AI281" s="1594" t="n">
        <v>262.394</v>
      </c>
      <c r="AJ281" s="1594" t="n">
        <v>312.667</v>
      </c>
      <c r="AK281" s="1595" t="n">
        <v>368.824</v>
      </c>
      <c r="AL281" s="1420" t="n"/>
      <c r="AM281" s="1529" t="n"/>
      <c r="AN281" s="1420" t="n"/>
      <c r="AO281" s="1420" t="n"/>
      <c r="AP281" s="1420" t="n"/>
      <c r="AQ281" s="1420" t="n"/>
      <c r="AR281" s="1529" t="n"/>
      <c r="AS281" s="1529" t="n"/>
      <c r="AT281" s="1529" t="n"/>
      <c r="AU281" s="1529" t="n"/>
      <c r="AV281" s="1422" t="n"/>
    </row>
    <row r="282" hidden="1" outlineLevel="1" ht="14.4" customFormat="1" customHeight="1" s="1418">
      <c r="A282" s="1539" t="inlineStr">
        <is>
          <t>Technology and infrastructure</t>
        </is>
      </c>
      <c r="B282" s="1698" t="n"/>
      <c r="C282" s="1529" t="n"/>
      <c r="D282" s="1529" t="n"/>
      <c r="E282" s="1529" t="n"/>
      <c r="F282" s="1529" t="n"/>
      <c r="G282" s="1529" t="n"/>
      <c r="H282" s="1529" t="n"/>
      <c r="I282" s="1529" t="n"/>
      <c r="J282" s="1529" t="n"/>
      <c r="K282" s="1529" t="n"/>
      <c r="L282" s="1529" t="n"/>
      <c r="M282" s="1529" t="n"/>
      <c r="N282" s="1529" t="n"/>
      <c r="O282" s="1420" t="n"/>
      <c r="P282" s="1420" t="n"/>
      <c r="Q282" s="1420" t="n"/>
      <c r="R282" s="1420" t="n"/>
      <c r="S282" s="1529" t="n"/>
      <c r="T282" s="1420" t="n"/>
      <c r="U282" s="1420" t="n"/>
      <c r="V282" s="1420" t="n"/>
      <c r="W282" s="1420" t="n"/>
      <c r="X282" s="1593" t="n">
        <v>18.106</v>
      </c>
      <c r="Y282" s="1420" t="n"/>
      <c r="Z282" s="1420" t="n"/>
      <c r="AA282" s="1594" t="n">
        <v>65.922</v>
      </c>
      <c r="AB282" s="1422">
        <f>AC282-SUM(Y282,Z282,AA282)</f>
        <v/>
      </c>
      <c r="AC282" s="1593" t="n">
        <v>131.855</v>
      </c>
      <c r="AD282" s="1594" t="n">
        <v>92.881</v>
      </c>
      <c r="AE282" s="1594" t="n">
        <v>182.886</v>
      </c>
      <c r="AF282" s="1594" t="n">
        <v>285.509</v>
      </c>
      <c r="AG282" s="1594" t="n">
        <v>399.409</v>
      </c>
      <c r="AH282" s="1593" t="n">
        <v>960.6849999999999</v>
      </c>
      <c r="AI282" s="1594" t="n">
        <v>561.402</v>
      </c>
      <c r="AJ282" s="1594" t="n">
        <v>669.913</v>
      </c>
      <c r="AK282" s="1595" t="n">
        <v>747.479</v>
      </c>
      <c r="AL282" s="1420" t="n"/>
      <c r="AM282" s="1529" t="n"/>
      <c r="AN282" s="1420" t="n"/>
      <c r="AO282" s="1420" t="n"/>
      <c r="AP282" s="1420" t="n"/>
      <c r="AQ282" s="1420" t="n"/>
      <c r="AR282" s="1529" t="n"/>
      <c r="AS282" s="1529" t="n"/>
      <c r="AT282" s="1529" t="n"/>
      <c r="AU282" s="1529" t="n"/>
      <c r="AV282" s="1422" t="n"/>
    </row>
    <row r="283" hidden="1" outlineLevel="1" ht="14.4" customFormat="1" customHeight="1" s="1418">
      <c r="A283" s="1539" t="inlineStr">
        <is>
          <t>Sales and marketing</t>
        </is>
      </c>
      <c r="B283" s="1698" t="n"/>
      <c r="C283" s="1529" t="n"/>
      <c r="D283" s="1529" t="n"/>
      <c r="E283" s="1529" t="n"/>
      <c r="F283" s="1529" t="n"/>
      <c r="G283" s="1529" t="n"/>
      <c r="H283" s="1529" t="n"/>
      <c r="I283" s="1529" t="n"/>
      <c r="J283" s="1529" t="n"/>
      <c r="K283" s="1529" t="n"/>
      <c r="L283" s="1529" t="n"/>
      <c r="M283" s="1529" t="n"/>
      <c r="N283" s="1529" t="n"/>
      <c r="O283" s="1420" t="n"/>
      <c r="P283" s="1420" t="n"/>
      <c r="Q283" s="1420" t="n"/>
      <c r="R283" s="1420" t="n"/>
      <c r="S283" s="1529" t="n"/>
      <c r="T283" s="1420" t="n"/>
      <c r="U283" s="1420" t="n"/>
      <c r="V283" s="1420" t="n"/>
      <c r="W283" s="1420" t="n"/>
      <c r="X283" s="1593" t="n">
        <v>2.481</v>
      </c>
      <c r="Y283" s="1420" t="n"/>
      <c r="Z283" s="1420" t="n"/>
      <c r="AA283" s="1594" t="n">
        <v>8.351000000000001</v>
      </c>
      <c r="AB283" s="1422">
        <f>AC283-SUM(Y283,Z283,AA283)</f>
        <v/>
      </c>
      <c r="AC283" s="1593" t="n">
        <v>12.917</v>
      </c>
      <c r="AD283" s="1594" t="n">
        <v>4.05</v>
      </c>
      <c r="AE283" s="1594" t="n">
        <v>4.172</v>
      </c>
      <c r="AF283" s="1594" t="n">
        <v>4.554</v>
      </c>
      <c r="AG283" s="1594" t="n">
        <v>5.613</v>
      </c>
      <c r="AH283" s="1593" t="n">
        <v>18.389</v>
      </c>
      <c r="AI283" s="1594" t="n">
        <v>10.549</v>
      </c>
      <c r="AJ283" s="1594" t="n">
        <v>36.799</v>
      </c>
      <c r="AK283" s="1595" t="n">
        <v>44.645</v>
      </c>
      <c r="AL283" s="1420" t="n"/>
      <c r="AM283" s="1529" t="n"/>
      <c r="AN283" s="1420" t="n"/>
      <c r="AO283" s="1420" t="n"/>
      <c r="AP283" s="1420" t="n"/>
      <c r="AQ283" s="1420" t="n"/>
      <c r="AR283" s="1529" t="n"/>
      <c r="AS283" s="1529" t="n"/>
      <c r="AT283" s="1529" t="n"/>
      <c r="AU283" s="1529" t="n"/>
      <c r="AV283" s="1422" t="n"/>
    </row>
    <row r="284" hidden="1" outlineLevel="1" ht="14.4" customFormat="1" customHeight="1" s="1418">
      <c r="A284" s="1539" t="inlineStr">
        <is>
          <t>General and administrative</t>
        </is>
      </c>
      <c r="B284" s="1698" t="n"/>
      <c r="C284" s="1529" t="n"/>
      <c r="D284" s="1529" t="n"/>
      <c r="E284" s="1529" t="n"/>
      <c r="F284" s="1529" t="n"/>
      <c r="G284" s="1529" t="n"/>
      <c r="H284" s="1529" t="n"/>
      <c r="I284" s="1529" t="n"/>
      <c r="J284" s="1529" t="n"/>
      <c r="K284" s="1529" t="n"/>
      <c r="L284" s="1529" t="n"/>
      <c r="M284" s="1529" t="n"/>
      <c r="N284" s="1529" t="n"/>
      <c r="O284" s="1420" t="n"/>
      <c r="P284" s="1420" t="n"/>
      <c r="Q284" s="1420" t="n"/>
      <c r="R284" s="1420" t="n"/>
      <c r="S284" s="1529" t="n"/>
      <c r="T284" s="1420" t="n"/>
      <c r="U284" s="1420" t="n"/>
      <c r="V284" s="1420" t="n"/>
      <c r="W284" s="1420" t="n"/>
      <c r="X284" s="1593" t="n">
        <v>6.001</v>
      </c>
      <c r="Y284" s="1420" t="n"/>
      <c r="Z284" s="1420" t="n"/>
      <c r="AA284" s="1594" t="n">
        <v>17.375</v>
      </c>
      <c r="AB284" s="1422">
        <f>AC284-SUM(Y284,Z284,AA284)</f>
        <v/>
      </c>
      <c r="AC284" s="1593" t="n">
        <v>29.842</v>
      </c>
      <c r="AD284" s="1594" t="n">
        <v>15.686</v>
      </c>
      <c r="AE284" s="1594" t="n">
        <v>21.754</v>
      </c>
      <c r="AF284" s="1594" t="n">
        <v>33.628</v>
      </c>
      <c r="AG284" s="1594" t="n">
        <v>47.576</v>
      </c>
      <c r="AH284" s="1593" t="n">
        <v>118.644</v>
      </c>
      <c r="AI284" s="1594" t="n">
        <v>174.757</v>
      </c>
      <c r="AJ284" s="1594" t="n">
        <v>174.2</v>
      </c>
      <c r="AK284" s="1595" t="n">
        <v>151.878</v>
      </c>
      <c r="AL284" s="1420" t="n"/>
      <c r="AM284" s="1529" t="n"/>
      <c r="AN284" s="1420" t="n"/>
      <c r="AO284" s="1420" t="n"/>
      <c r="AP284" s="1420" t="n"/>
      <c r="AQ284" s="1420" t="n"/>
      <c r="AR284" s="1529" t="n"/>
      <c r="AS284" s="1529" t="n"/>
      <c r="AT284" s="1529" t="n"/>
      <c r="AU284" s="1529" t="n"/>
      <c r="AV284" s="1422" t="n"/>
    </row>
    <row r="285" hidden="1" outlineLevel="1" ht="14.4" customFormat="1" customHeight="1" s="1438">
      <c r="A285" s="1542" t="inlineStr">
        <is>
          <t>Operating income (loss)</t>
        </is>
      </c>
      <c r="B285" s="1699" t="n"/>
      <c r="C285" s="1544" t="n"/>
      <c r="D285" s="1544" t="n"/>
      <c r="E285" s="1544" t="n"/>
      <c r="F285" s="1544" t="n"/>
      <c r="G285" s="1544" t="n"/>
      <c r="H285" s="1544" t="n"/>
      <c r="I285" s="1544" t="n"/>
      <c r="J285" s="1544" t="n"/>
      <c r="K285" s="1544" t="n"/>
      <c r="L285" s="1544" t="n"/>
      <c r="M285" s="1544" t="n"/>
      <c r="N285" s="1544" t="n"/>
      <c r="O285" s="1545" t="n"/>
      <c r="P285" s="1545" t="n"/>
      <c r="Q285" s="1545" t="n"/>
      <c r="R285" s="1545" t="n"/>
      <c r="S285" s="1544" t="n"/>
      <c r="T285" s="1545" t="n"/>
      <c r="U285" s="1545" t="n"/>
      <c r="V285" s="1545" t="n"/>
      <c r="W285" s="1545" t="n"/>
      <c r="X285" s="1546">
        <f>X280-SUM(X281:X284)</f>
        <v/>
      </c>
      <c r="Y285" s="1545" t="n"/>
      <c r="Z285" s="1545" t="n"/>
      <c r="AA285" s="1547">
        <f>AA280-SUM(AA281:AA284)</f>
        <v/>
      </c>
      <c r="AB285" s="1547">
        <f>AB280-SUM(AB281:AB284)</f>
        <v/>
      </c>
      <c r="AC285" s="1546">
        <f>AC280-SUM(AC281:AC284)</f>
        <v/>
      </c>
      <c r="AD285" s="1547">
        <f>AD280-SUM(AD281:AD284)</f>
        <v/>
      </c>
      <c r="AE285" s="1547">
        <f>AE280-SUM(AE281:AE284)</f>
        <v/>
      </c>
      <c r="AF285" s="1547">
        <f>AF280-SUM(AF281:AF284)</f>
        <v/>
      </c>
      <c r="AG285" s="1547">
        <f>AG280-SUM(AG281:AG284)</f>
        <v/>
      </c>
      <c r="AH285" s="1546">
        <f>AH280-SUM(AH281:AH284)</f>
        <v/>
      </c>
      <c r="AI285" s="1547">
        <f>AI280-SUM(AI281:AI284)</f>
        <v/>
      </c>
      <c r="AJ285" s="1547">
        <f>AJ280-SUM(AJ281:AJ284)</f>
        <v/>
      </c>
      <c r="AK285" s="1548">
        <f>AK280-SUM(AK281:AK284)</f>
        <v/>
      </c>
      <c r="AL285" s="1545" t="n"/>
      <c r="AM285" s="1544" t="n"/>
      <c r="AN285" s="1545" t="n"/>
      <c r="AO285" s="1545" t="n"/>
      <c r="AP285" s="1545" t="n"/>
      <c r="AQ285" s="1545" t="n"/>
      <c r="AR285" s="1544" t="n"/>
      <c r="AS285" s="1544" t="n"/>
      <c r="AT285" s="1544" t="n"/>
      <c r="AU285" s="1544" t="n"/>
      <c r="AV285" s="1446" t="n"/>
    </row>
    <row r="286" hidden="1" outlineLevel="1" ht="14.4" customFormat="1" customHeight="1" s="1418">
      <c r="A286" s="1539" t="inlineStr">
        <is>
          <t>Loss on fair value adjustments</t>
        </is>
      </c>
      <c r="B286" s="1698" t="n"/>
      <c r="C286" s="1529" t="n"/>
      <c r="D286" s="1529" t="n"/>
      <c r="E286" s="1529" t="n"/>
      <c r="F286" s="1529" t="n"/>
      <c r="G286" s="1529" t="n"/>
      <c r="H286" s="1529" t="n"/>
      <c r="I286" s="1529" t="n"/>
      <c r="J286" s="1529" t="n"/>
      <c r="K286" s="1529" t="n"/>
      <c r="L286" s="1529" t="n"/>
      <c r="M286" s="1529" t="n"/>
      <c r="N286" s="1529" t="n"/>
      <c r="O286" s="1420" t="n"/>
      <c r="P286" s="1420" t="n"/>
      <c r="Q286" s="1420" t="n"/>
      <c r="R286" s="1420" t="n"/>
      <c r="S286" s="1529" t="n"/>
      <c r="T286" s="1420" t="n"/>
      <c r="U286" s="1420" t="n"/>
      <c r="V286" s="1420" t="n"/>
      <c r="W286" s="1420" t="n"/>
      <c r="X286" s="1593" t="n">
        <v>-2.884</v>
      </c>
      <c r="Y286" s="1420" t="n"/>
      <c r="Z286" s="1420" t="n"/>
      <c r="AA286" s="1594" t="n">
        <v>-390.485</v>
      </c>
      <c r="AB286" s="1422">
        <f>AC286-SUM(Y286,Z286,AA286)</f>
        <v/>
      </c>
      <c r="AC286" s="1593" t="n">
        <v>-533.952</v>
      </c>
      <c r="AD286" s="1594" t="n">
        <v>-97.5</v>
      </c>
      <c r="AE286" s="1594" t="n">
        <v>-310.231</v>
      </c>
      <c r="AF286" s="1594" t="n">
        <v>-341.133</v>
      </c>
      <c r="AG286" s="1594" t="n">
        <v>-7.065</v>
      </c>
      <c r="AH286" s="1593" t="n">
        <v>-755.929</v>
      </c>
      <c r="AI286" s="1594" t="n">
        <v>26.837</v>
      </c>
      <c r="AJ286" s="1594" t="n">
        <v>0</v>
      </c>
      <c r="AK286" s="1595" t="n">
        <v>0</v>
      </c>
      <c r="AL286" s="1420" t="n"/>
      <c r="AM286" s="1529" t="n"/>
      <c r="AN286" s="1420" t="n"/>
      <c r="AO286" s="1420" t="n"/>
      <c r="AP286" s="1420" t="n"/>
      <c r="AQ286" s="1420" t="n"/>
      <c r="AR286" s="1529" t="n"/>
      <c r="AS286" s="1529" t="n"/>
      <c r="AT286" s="1529" t="n"/>
      <c r="AU286" s="1529" t="n"/>
      <c r="AV286" s="1422" t="n"/>
    </row>
    <row r="287" hidden="1" outlineLevel="1" ht="14.4" customFormat="1" customHeight="1" s="1418">
      <c r="A287" s="1539" t="inlineStr">
        <is>
          <t>Interest expense, net</t>
        </is>
      </c>
      <c r="B287" s="1698" t="n"/>
      <c r="C287" s="1529" t="n"/>
      <c r="D287" s="1529" t="n"/>
      <c r="E287" s="1529" t="n"/>
      <c r="F287" s="1529" t="n"/>
      <c r="G287" s="1529" t="n"/>
      <c r="H287" s="1529" t="n"/>
      <c r="I287" s="1529" t="n"/>
      <c r="J287" s="1529" t="n"/>
      <c r="K287" s="1529" t="n"/>
      <c r="L287" s="1529" t="n"/>
      <c r="M287" s="1529" t="n"/>
      <c r="N287" s="1529" t="n"/>
      <c r="O287" s="1420" t="n"/>
      <c r="P287" s="1420" t="n"/>
      <c r="Q287" s="1420" t="n"/>
      <c r="R287" s="1420" t="n"/>
      <c r="S287" s="1529" t="n"/>
      <c r="T287" s="1420" t="n"/>
      <c r="U287" s="1420" t="n"/>
      <c r="V287" s="1420" t="n"/>
      <c r="W287" s="1420" t="n"/>
      <c r="X287" s="1593" t="n">
        <v>-9.444000000000001</v>
      </c>
      <c r="Y287" s="1420" t="n"/>
      <c r="Z287" s="1420" t="n"/>
      <c r="AA287" s="1594" t="n">
        <v>-12.314</v>
      </c>
      <c r="AB287" s="1422">
        <f>AC287-SUM(Y287,Z287,AA287)</f>
        <v/>
      </c>
      <c r="AC287" s="1593" t="n">
        <v>-28.404</v>
      </c>
      <c r="AD287" s="1594" t="n">
        <v>-40.656</v>
      </c>
      <c r="AE287" s="1594" t="n">
        <v>-66.76600000000001</v>
      </c>
      <c r="AF287" s="1594" t="n">
        <v>-104.375</v>
      </c>
      <c r="AG287" s="1594" t="n">
        <v>-149.027</v>
      </c>
      <c r="AH287" s="1593" t="n">
        <v>-360.824</v>
      </c>
      <c r="AI287" s="1594" t="n">
        <v>-263.835</v>
      </c>
      <c r="AJ287" s="1594" t="n">
        <v>-266.966</v>
      </c>
      <c r="AK287" s="1595" t="n">
        <v>-310.555</v>
      </c>
      <c r="AL287" s="1420" t="n"/>
      <c r="AM287" s="1529" t="n"/>
      <c r="AN287" s="1420" t="n"/>
      <c r="AO287" s="1420" t="n"/>
      <c r="AP287" s="1420" t="n"/>
      <c r="AQ287" s="1420" t="n"/>
      <c r="AR287" s="1529" t="n"/>
      <c r="AS287" s="1529" t="n"/>
      <c r="AT287" s="1529" t="n"/>
      <c r="AU287" s="1529" t="n"/>
      <c r="AV287" s="1422" t="n"/>
    </row>
    <row r="288" hidden="1" outlineLevel="1" ht="14.4" customFormat="1" customHeight="1" s="1418">
      <c r="A288" s="1539" t="inlineStr">
        <is>
          <t>Other income, net</t>
        </is>
      </c>
      <c r="B288" s="1698" t="n"/>
      <c r="C288" s="1529" t="n"/>
      <c r="D288" s="1529" t="n"/>
      <c r="E288" s="1529" t="n"/>
      <c r="F288" s="1529" t="n"/>
      <c r="G288" s="1529" t="n"/>
      <c r="H288" s="1529" t="n"/>
      <c r="I288" s="1529" t="n"/>
      <c r="J288" s="1529" t="n"/>
      <c r="K288" s="1529" t="n"/>
      <c r="L288" s="1529" t="n"/>
      <c r="M288" s="1529" t="n"/>
      <c r="N288" s="1529" t="n"/>
      <c r="O288" s="1420" t="n"/>
      <c r="P288" s="1420" t="n"/>
      <c r="Q288" s="1420" t="n"/>
      <c r="R288" s="1420" t="n"/>
      <c r="S288" s="1529" t="n"/>
      <c r="T288" s="1420" t="n"/>
      <c r="U288" s="1420" t="n"/>
      <c r="V288" s="1420" t="n"/>
      <c r="W288" s="1420" t="n"/>
      <c r="X288" s="1593" t="n">
        <v>0.192</v>
      </c>
      <c r="Y288" s="1420" t="n"/>
      <c r="Z288" s="1420" t="n"/>
      <c r="AA288" s="1594" t="n">
        <v>11.776</v>
      </c>
      <c r="AB288" s="1422">
        <f>AC288-SUM(Y288,Z288,AA288)</f>
        <v/>
      </c>
      <c r="AC288" s="1593" t="n">
        <v>18.76</v>
      </c>
      <c r="AD288" s="1594" t="n">
        <v>7.46</v>
      </c>
      <c r="AE288" s="1594" t="n">
        <v>16.406</v>
      </c>
      <c r="AF288" s="1594" t="n">
        <v>10.244</v>
      </c>
      <c r="AG288" s="1594" t="n">
        <v>14.084</v>
      </c>
      <c r="AH288" s="1593" t="n">
        <v>48.194</v>
      </c>
      <c r="AI288" s="1594" t="n">
        <v>-4.137</v>
      </c>
      <c r="AJ288" s="1594" t="n">
        <v>5.023</v>
      </c>
      <c r="AK288" s="1595" t="n">
        <v>21.901</v>
      </c>
      <c r="AL288" s="1420" t="n"/>
      <c r="AM288" s="1529" t="n"/>
      <c r="AN288" s="1420" t="n"/>
      <c r="AO288" s="1420" t="n"/>
      <c r="AP288" s="1420" t="n"/>
      <c r="AQ288" s="1420" t="n"/>
      <c r="AR288" s="1529" t="n"/>
      <c r="AS288" s="1529" t="n"/>
      <c r="AT288" s="1529" t="n"/>
      <c r="AU288" s="1529" t="n"/>
      <c r="AV288" s="1422" t="n"/>
    </row>
    <row r="289" hidden="1" outlineLevel="1" ht="14.4" customFormat="1" customHeight="1" s="1438">
      <c r="A289" s="1542" t="inlineStr">
        <is>
          <t>Loss before provision for (benefit from) income taxes</t>
        </is>
      </c>
      <c r="B289" s="1699" t="n"/>
      <c r="C289" s="1544" t="n"/>
      <c r="D289" s="1544" t="n"/>
      <c r="E289" s="1544" t="n"/>
      <c r="F289" s="1544" t="n"/>
      <c r="G289" s="1544" t="n"/>
      <c r="H289" s="1544" t="n"/>
      <c r="I289" s="1544" t="n"/>
      <c r="J289" s="1544" t="n"/>
      <c r="K289" s="1544" t="n"/>
      <c r="L289" s="1544" t="n"/>
      <c r="M289" s="1544" t="n"/>
      <c r="N289" s="1544" t="n"/>
      <c r="O289" s="1545" t="n"/>
      <c r="P289" s="1545" t="n"/>
      <c r="Q289" s="1545" t="n"/>
      <c r="R289" s="1545" t="n"/>
      <c r="S289" s="1544" t="n"/>
      <c r="T289" s="1545" t="n"/>
      <c r="U289" s="1545" t="n"/>
      <c r="V289" s="1545" t="n"/>
      <c r="W289" s="1545" t="n"/>
      <c r="X289" s="1546">
        <f>SUM(X285:X288)</f>
        <v/>
      </c>
      <c r="Y289" s="1545" t="n"/>
      <c r="Z289" s="1545" t="n"/>
      <c r="AA289" s="1547">
        <f>SUM(AA285:AA288)</f>
        <v/>
      </c>
      <c r="AB289" s="1547">
        <f>SUM(AB285:AB288)</f>
        <v/>
      </c>
      <c r="AC289" s="1546">
        <f>SUM(AC285:AC288)</f>
        <v/>
      </c>
      <c r="AD289" s="1547">
        <f>SUM(AD285:AD288)</f>
        <v/>
      </c>
      <c r="AE289" s="1547">
        <f>SUM(AE285:AE288)</f>
        <v/>
      </c>
      <c r="AF289" s="1547">
        <f>SUM(AF285:AF288)</f>
        <v/>
      </c>
      <c r="AG289" s="1547">
        <f>SUM(AG285:AG288)</f>
        <v/>
      </c>
      <c r="AH289" s="1546">
        <f>SUM(AH285:AH288)</f>
        <v/>
      </c>
      <c r="AI289" s="1547">
        <f>SUM(AI285:AI288)</f>
        <v/>
      </c>
      <c r="AJ289" s="1547">
        <f>SUM(AJ285:AJ288)</f>
        <v/>
      </c>
      <c r="AK289" s="1548">
        <f>SUM(AK285:AK288)</f>
        <v/>
      </c>
      <c r="AL289" s="1545" t="n"/>
      <c r="AM289" s="1544" t="n"/>
      <c r="AN289" s="1545" t="n"/>
      <c r="AO289" s="1545" t="n"/>
      <c r="AP289" s="1545" t="n"/>
      <c r="AQ289" s="1545" t="n"/>
      <c r="AR289" s="1544" t="n"/>
      <c r="AS289" s="1544" t="n"/>
      <c r="AT289" s="1544" t="n"/>
      <c r="AU289" s="1544" t="n"/>
      <c r="AV289" s="1446" t="n"/>
    </row>
    <row r="290" hidden="1" outlineLevel="1" ht="14.4" customFormat="1" customHeight="1" s="1418">
      <c r="A290" s="1700" t="inlineStr">
        <is>
          <t>Current tax</t>
        </is>
      </c>
      <c r="B290" s="1698" t="n"/>
      <c r="C290" s="1529" t="n"/>
      <c r="D290" s="1529" t="n"/>
      <c r="E290" s="1529" t="n"/>
      <c r="F290" s="1529" t="n"/>
      <c r="G290" s="1529" t="n"/>
      <c r="H290" s="1529" t="n"/>
      <c r="I290" s="1529" t="n"/>
      <c r="J290" s="1529" t="n"/>
      <c r="K290" s="1529" t="n"/>
      <c r="L290" s="1529" t="n"/>
      <c r="M290" s="1529" t="n"/>
      <c r="N290" s="1529" t="n"/>
      <c r="O290" s="1420" t="n"/>
      <c r="P290" s="1420" t="n"/>
      <c r="Q290" s="1420" t="n"/>
      <c r="R290" s="1420" t="n"/>
      <c r="S290" s="1529" t="n"/>
      <c r="T290" s="1420" t="n"/>
      <c r="U290" s="1420" t="n"/>
      <c r="V290" s="1420" t="n"/>
      <c r="W290" s="1420" t="n"/>
      <c r="X290" s="1593" t="n">
        <v>-1.89</v>
      </c>
      <c r="Y290" s="1420" t="n"/>
      <c r="Z290" s="1420" t="n"/>
      <c r="AA290" s="1420" t="n"/>
      <c r="AB290" s="1420" t="n"/>
      <c r="AC290" s="1593" t="n">
        <v>0</v>
      </c>
      <c r="AD290" s="1420" t="n"/>
      <c r="AE290" s="1420" t="n"/>
      <c r="AF290" s="1420" t="n"/>
      <c r="AG290" s="1420" t="n"/>
      <c r="AH290" s="1593" t="n">
        <v>6.461</v>
      </c>
      <c r="AI290" s="1420" t="n"/>
      <c r="AJ290" s="1420" t="n"/>
      <c r="AK290" s="1421" t="n"/>
      <c r="AL290" s="1420" t="n"/>
      <c r="AM290" s="1529" t="n"/>
      <c r="AN290" s="1420" t="n"/>
      <c r="AO290" s="1420" t="n"/>
      <c r="AP290" s="1420" t="n"/>
      <c r="AQ290" s="1420" t="n"/>
      <c r="AR290" s="1529" t="n"/>
      <c r="AS290" s="1529" t="n"/>
      <c r="AT290" s="1529" t="n"/>
      <c r="AU290" s="1529" t="n"/>
      <c r="AV290" s="1422" t="n"/>
    </row>
    <row r="291" hidden="1" outlineLevel="1" ht="14.4" customFormat="1" customHeight="1" s="1418">
      <c r="A291" s="1701" t="inlineStr">
        <is>
          <t>Deferred tax</t>
        </is>
      </c>
      <c r="B291" s="1702" t="n"/>
      <c r="C291" s="1582" t="n"/>
      <c r="D291" s="1582" t="n"/>
      <c r="E291" s="1582" t="n"/>
      <c r="F291" s="1582" t="n"/>
      <c r="G291" s="1582" t="n"/>
      <c r="H291" s="1582" t="n"/>
      <c r="I291" s="1582" t="n"/>
      <c r="J291" s="1582" t="n"/>
      <c r="K291" s="1582" t="n"/>
      <c r="L291" s="1582" t="n"/>
      <c r="M291" s="1582" t="n"/>
      <c r="N291" s="1582" t="n"/>
      <c r="O291" s="1583" t="n"/>
      <c r="P291" s="1583" t="n"/>
      <c r="Q291" s="1583" t="n"/>
      <c r="R291" s="1583" t="n"/>
      <c r="S291" s="1582" t="n"/>
      <c r="T291" s="1583" t="n"/>
      <c r="U291" s="1583" t="n"/>
      <c r="V291" s="1583" t="n"/>
      <c r="W291" s="1583" t="n"/>
      <c r="X291" s="1586" t="n">
        <v>-2.26</v>
      </c>
      <c r="Y291" s="1583" t="n"/>
      <c r="Z291" s="1583" t="n"/>
      <c r="AA291" s="1583" t="n"/>
      <c r="AB291" s="1583" t="n"/>
      <c r="AC291" s="1586" t="n">
        <v>35.701</v>
      </c>
      <c r="AD291" s="1583" t="n"/>
      <c r="AE291" s="1583" t="n"/>
      <c r="AF291" s="1583" t="n"/>
      <c r="AG291" s="1583" t="n"/>
      <c r="AH291" s="1586" t="n">
        <v>112.786</v>
      </c>
      <c r="AI291" s="1583" t="n"/>
      <c r="AJ291" s="1583" t="n"/>
      <c r="AK291" s="1584" t="n"/>
      <c r="AL291" s="1583" t="n"/>
      <c r="AM291" s="1582" t="n"/>
      <c r="AN291" s="1583" t="n"/>
      <c r="AO291" s="1583" t="n"/>
      <c r="AP291" s="1583" t="n"/>
      <c r="AQ291" s="1583" t="n"/>
      <c r="AR291" s="1582" t="n"/>
      <c r="AS291" s="1582" t="n"/>
      <c r="AT291" s="1582" t="n"/>
      <c r="AU291" s="1582" t="n"/>
      <c r="AV291" s="1422" t="n"/>
    </row>
    <row r="292" hidden="1" outlineLevel="1" ht="14.4" customFormat="1" customHeight="1" s="1418">
      <c r="A292" s="1539" t="inlineStr">
        <is>
          <t>Provision for (benefit from) income taxes</t>
        </is>
      </c>
      <c r="B292" s="1698" t="n"/>
      <c r="C292" s="1529" t="n"/>
      <c r="D292" s="1529" t="n"/>
      <c r="E292" s="1529" t="n"/>
      <c r="F292" s="1529" t="n"/>
      <c r="G292" s="1529" t="n"/>
      <c r="H292" s="1529" t="n"/>
      <c r="I292" s="1529" t="n"/>
      <c r="J292" s="1529" t="n"/>
      <c r="K292" s="1529" t="n"/>
      <c r="L292" s="1529" t="n"/>
      <c r="M292" s="1529" t="n"/>
      <c r="N292" s="1529" t="n"/>
      <c r="O292" s="1420" t="n"/>
      <c r="P292" s="1420" t="n"/>
      <c r="Q292" s="1420" t="n"/>
      <c r="R292" s="1420" t="n"/>
      <c r="S292" s="1529" t="n"/>
      <c r="T292" s="1420" t="n"/>
      <c r="U292" s="1420" t="n"/>
      <c r="V292" s="1420" t="n"/>
      <c r="W292" s="1420" t="n"/>
      <c r="X292" s="1540">
        <f>SUM(X290:X291)</f>
        <v/>
      </c>
      <c r="Y292" s="1420" t="n"/>
      <c r="Z292" s="1420" t="n"/>
      <c r="AA292" s="1594" t="n">
        <v>19.517</v>
      </c>
      <c r="AB292" s="1422">
        <f>AC292-SUM(Y292,Z292,AA292)</f>
        <v/>
      </c>
      <c r="AC292" s="1540">
        <f>SUM(AC290:AC291)</f>
        <v/>
      </c>
      <c r="AD292" s="1594" t="n">
        <v>15.399</v>
      </c>
      <c r="AE292" s="1594" t="n">
        <v>40.151</v>
      </c>
      <c r="AF292" s="1594" t="n">
        <v>41.659</v>
      </c>
      <c r="AG292" s="1594" t="n">
        <v>22.038</v>
      </c>
      <c r="AH292" s="1540">
        <f>SUM(AH290:AH291)</f>
        <v/>
      </c>
      <c r="AI292" s="1594" t="n">
        <v>46.036</v>
      </c>
      <c r="AJ292" s="1594" t="n">
        <v>47.775</v>
      </c>
      <c r="AK292" s="1595" t="n">
        <v>-126.68</v>
      </c>
      <c r="AL292" s="1420" t="n"/>
      <c r="AM292" s="1529" t="n"/>
      <c r="AN292" s="1420" t="n"/>
      <c r="AO292" s="1420" t="n"/>
      <c r="AP292" s="1420" t="n"/>
      <c r="AQ292" s="1420" t="n"/>
      <c r="AR292" s="1529" t="n"/>
      <c r="AS292" s="1529" t="n"/>
      <c r="AT292" s="1529" t="n"/>
      <c r="AU292" s="1529" t="n"/>
      <c r="AV292" s="1422" t="n"/>
    </row>
    <row r="293" hidden="1" outlineLevel="1" ht="14.4" customFormat="1" customHeight="1" s="1438">
      <c r="A293" s="1542" t="inlineStr">
        <is>
          <t>Net loss from continuing operations</t>
        </is>
      </c>
      <c r="B293" s="1699" t="n"/>
      <c r="C293" s="1544" t="n"/>
      <c r="D293" s="1544" t="n"/>
      <c r="E293" s="1544" t="n"/>
      <c r="F293" s="1544" t="n"/>
      <c r="G293" s="1544" t="n"/>
      <c r="H293" s="1544" t="n"/>
      <c r="I293" s="1544" t="n"/>
      <c r="J293" s="1544" t="n"/>
      <c r="K293" s="1544" t="n"/>
      <c r="L293" s="1544" t="n"/>
      <c r="M293" s="1544" t="n"/>
      <c r="N293" s="1544" t="n"/>
      <c r="O293" s="1545" t="n"/>
      <c r="P293" s="1545" t="n"/>
      <c r="Q293" s="1545" t="n"/>
      <c r="R293" s="1545" t="n"/>
      <c r="S293" s="1544" t="n"/>
      <c r="T293" s="1545" t="n"/>
      <c r="U293" s="1545" t="n"/>
      <c r="V293" s="1545" t="n"/>
      <c r="W293" s="1545" t="n"/>
      <c r="X293" s="1546">
        <f>X289-X292</f>
        <v/>
      </c>
      <c r="Y293" s="1545" t="n"/>
      <c r="Z293" s="1545" t="n"/>
      <c r="AA293" s="1547">
        <f>AA289-AA292</f>
        <v/>
      </c>
      <c r="AB293" s="1547">
        <f>AB289-AB292</f>
        <v/>
      </c>
      <c r="AC293" s="1546">
        <f>AC289-AC292</f>
        <v/>
      </c>
      <c r="AD293" s="1547">
        <f>AD289-AD292</f>
        <v/>
      </c>
      <c r="AE293" s="1547">
        <f>AE289-AE292</f>
        <v/>
      </c>
      <c r="AF293" s="1547">
        <f>AF289-AF292</f>
        <v/>
      </c>
      <c r="AG293" s="1547">
        <f>AG289-AG292</f>
        <v/>
      </c>
      <c r="AH293" s="1546">
        <f>AH289-AH292</f>
        <v/>
      </c>
      <c r="AI293" s="1547">
        <f>AI289-AI292</f>
        <v/>
      </c>
      <c r="AJ293" s="1547">
        <f>AJ289-AJ292</f>
        <v/>
      </c>
      <c r="AK293" s="1548">
        <f>AK289-AK292</f>
        <v/>
      </c>
      <c r="AL293" s="1545" t="n"/>
      <c r="AM293" s="1544" t="n"/>
      <c r="AN293" s="1545" t="n"/>
      <c r="AO293" s="1545" t="n"/>
      <c r="AP293" s="1545" t="n"/>
      <c r="AQ293" s="1545" t="n"/>
      <c r="AR293" s="1544" t="n"/>
      <c r="AS293" s="1544" t="n"/>
      <c r="AT293" s="1544" t="n"/>
      <c r="AU293" s="1544" t="n"/>
      <c r="AV293" s="1446" t="n"/>
    </row>
    <row r="294" hidden="1" outlineLevel="1" ht="14.4" customFormat="1" customHeight="1" s="1418">
      <c r="A294" s="1703" t="inlineStr">
        <is>
          <t>Net loss from discontinued operations, net of tax</t>
        </is>
      </c>
      <c r="B294" s="1702" t="n"/>
      <c r="C294" s="1582" t="n"/>
      <c r="D294" s="1582" t="n"/>
      <c r="E294" s="1582" t="n"/>
      <c r="F294" s="1582" t="n"/>
      <c r="G294" s="1582" t="n"/>
      <c r="H294" s="1582" t="n"/>
      <c r="I294" s="1582" t="n"/>
      <c r="J294" s="1582" t="n"/>
      <c r="K294" s="1582" t="n"/>
      <c r="L294" s="1582" t="n"/>
      <c r="M294" s="1582" t="n"/>
      <c r="N294" s="1582" t="n"/>
      <c r="O294" s="1583" t="n"/>
      <c r="P294" s="1583" t="n"/>
      <c r="Q294" s="1583" t="n"/>
      <c r="R294" s="1583" t="n"/>
      <c r="S294" s="1582" t="n"/>
      <c r="T294" s="1583" t="n"/>
      <c r="U294" s="1583" t="n"/>
      <c r="V294" s="1583" t="n"/>
      <c r="W294" s="1583" t="n"/>
      <c r="X294" s="1586" t="n">
        <v>-0.189</v>
      </c>
      <c r="Y294" s="1583" t="n"/>
      <c r="Z294" s="1583" t="n"/>
      <c r="AA294" s="1585" t="n">
        <v>0</v>
      </c>
      <c r="AB294" s="1704">
        <f>AC294-SUM(Y294,Z294,AA294)</f>
        <v/>
      </c>
      <c r="AC294" s="1586" t="n">
        <v>0</v>
      </c>
      <c r="AD294" s="1585" t="n">
        <v>0</v>
      </c>
      <c r="AE294" s="1585" t="n">
        <v>0</v>
      </c>
      <c r="AF294" s="1585" t="n">
        <v>0</v>
      </c>
      <c r="AG294" s="1704">
        <f>AH294-AD294-AE294-AF294</f>
        <v/>
      </c>
      <c r="AH294" s="1586" t="n">
        <v>0</v>
      </c>
      <c r="AI294" s="1585" t="n">
        <v>0</v>
      </c>
      <c r="AJ294" s="1583" t="n"/>
      <c r="AK294" s="1584" t="n"/>
      <c r="AL294" s="1583" t="n"/>
      <c r="AM294" s="1582" t="n"/>
      <c r="AN294" s="1583" t="n"/>
      <c r="AO294" s="1583" t="n"/>
      <c r="AP294" s="1583" t="n"/>
      <c r="AQ294" s="1583" t="n"/>
      <c r="AR294" s="1582" t="n"/>
      <c r="AS294" s="1582" t="n"/>
      <c r="AT294" s="1582" t="n"/>
      <c r="AU294" s="1582" t="n"/>
      <c r="AV294" s="1422" t="n"/>
    </row>
    <row r="295" hidden="1" outlineLevel="1" ht="14.4" customFormat="1" customHeight="1" s="1438">
      <c r="A295" s="1439" t="inlineStr">
        <is>
          <t>Net loss</t>
        </is>
      </c>
      <c r="B295" s="1695" t="n"/>
      <c r="C295" s="1535" t="n"/>
      <c r="D295" s="1535" t="n"/>
      <c r="E295" s="1535" t="n"/>
      <c r="F295" s="1535" t="n"/>
      <c r="G295" s="1535" t="n"/>
      <c r="H295" s="1535" t="n"/>
      <c r="I295" s="1535" t="n"/>
      <c r="J295" s="1535" t="n"/>
      <c r="K295" s="1535" t="n"/>
      <c r="L295" s="1535" t="n"/>
      <c r="M295" s="1535" t="n"/>
      <c r="N295" s="1535" t="n"/>
      <c r="O295" s="1536" t="n"/>
      <c r="P295" s="1536" t="n"/>
      <c r="Q295" s="1536" t="n"/>
      <c r="R295" s="1536" t="n"/>
      <c r="S295" s="1535" t="n"/>
      <c r="T295" s="1536" t="n"/>
      <c r="U295" s="1536" t="n"/>
      <c r="V295" s="1536" t="n"/>
      <c r="W295" s="1536" t="n"/>
      <c r="X295" s="1537">
        <f>X293+X294</f>
        <v/>
      </c>
      <c r="Y295" s="1536" t="n"/>
      <c r="Z295" s="1536" t="n"/>
      <c r="AA295" s="1446">
        <f>AA293+AA294</f>
        <v/>
      </c>
      <c r="AB295" s="1446">
        <f>AB293+AB294</f>
        <v/>
      </c>
      <c r="AC295" s="1537">
        <f>AC293+AC294</f>
        <v/>
      </c>
      <c r="AD295" s="1446">
        <f>AD293+AD294</f>
        <v/>
      </c>
      <c r="AE295" s="1446">
        <f>AE293+AE294</f>
        <v/>
      </c>
      <c r="AF295" s="1446">
        <f>AF293+AF294</f>
        <v/>
      </c>
      <c r="AG295" s="1446">
        <f>AG293+AG294</f>
        <v/>
      </c>
      <c r="AH295" s="1537">
        <f>AH293+AH294</f>
        <v/>
      </c>
      <c r="AI295" s="1446">
        <f>AI293+AI294</f>
        <v/>
      </c>
      <c r="AJ295" s="1446">
        <f>AJ293+AJ294</f>
        <v/>
      </c>
      <c r="AK295" s="1538">
        <f>AK293+AK294</f>
        <v/>
      </c>
      <c r="AL295" s="1536" t="n"/>
      <c r="AM295" s="1535" t="n"/>
      <c r="AN295" s="1536" t="n"/>
      <c r="AO295" s="1536" t="n"/>
      <c r="AP295" s="1536" t="n"/>
      <c r="AQ295" s="1536" t="n"/>
      <c r="AR295" s="1535" t="n"/>
      <c r="AS295" s="1535" t="n"/>
      <c r="AT295" s="1535" t="n"/>
      <c r="AU295" s="1535" t="n"/>
      <c r="AV295" s="1446" t="n"/>
    </row>
    <row r="296" hidden="1" outlineLevel="1" ht="14.4" customFormat="1" customHeight="1" s="1418">
      <c r="A296" s="1539" t="inlineStr">
        <is>
          <t>Dividends and accretion on Series C redeemable convertible preferred stock</t>
        </is>
      </c>
      <c r="B296" s="1698" t="n"/>
      <c r="C296" s="1529" t="n"/>
      <c r="D296" s="1529" t="n"/>
      <c r="E296" s="1529" t="n"/>
      <c r="F296" s="1529" t="n"/>
      <c r="G296" s="1529" t="n"/>
      <c r="H296" s="1529" t="n"/>
      <c r="I296" s="1529" t="n"/>
      <c r="J296" s="1529" t="n"/>
      <c r="K296" s="1529" t="n"/>
      <c r="L296" s="1529" t="n"/>
      <c r="M296" s="1529" t="n"/>
      <c r="N296" s="1529" t="n"/>
      <c r="O296" s="1420" t="n"/>
      <c r="P296" s="1420" t="n"/>
      <c r="Q296" s="1420" t="n"/>
      <c r="R296" s="1420" t="n"/>
      <c r="S296" s="1529" t="n"/>
      <c r="T296" s="1420" t="n"/>
      <c r="U296" s="1420" t="n"/>
      <c r="V296" s="1420" t="n"/>
      <c r="W296" s="1420" t="n"/>
      <c r="X296" s="1593" t="n">
        <v>0</v>
      </c>
      <c r="Y296" s="1420" t="n"/>
      <c r="Z296" s="1420" t="n"/>
      <c r="AA296" s="1420" t="n"/>
      <c r="AB296" s="1422">
        <f>AC296-SUM(Y296,Z296,AA296)</f>
        <v/>
      </c>
      <c r="AC296" s="1593" t="n">
        <v>0</v>
      </c>
      <c r="AD296" s="1594" t="n">
        <v>0</v>
      </c>
      <c r="AE296" s="1594" t="n">
        <v>-15.596</v>
      </c>
      <c r="AF296" s="1420">
        <f>-44.956-AE296-AD296</f>
        <v/>
      </c>
      <c r="AG296" s="1422">
        <f>AH296-SUM(AD296,AE296,AF296)</f>
        <v/>
      </c>
      <c r="AH296" s="1593" t="n">
        <v>-74.31699999999999</v>
      </c>
      <c r="AI296" s="1594" t="n">
        <v>-28.722</v>
      </c>
      <c r="AJ296" s="1594" t="n">
        <v>0</v>
      </c>
      <c r="AK296" s="1595" t="n">
        <v>0</v>
      </c>
      <c r="AL296" s="1420" t="n"/>
      <c r="AM296" s="1529" t="n"/>
      <c r="AN296" s="1420" t="n"/>
      <c r="AO296" s="1420" t="n"/>
      <c r="AP296" s="1420" t="n"/>
      <c r="AQ296" s="1420" t="n"/>
      <c r="AR296" s="1529" t="n"/>
      <c r="AS296" s="1529" t="n"/>
      <c r="AT296" s="1529" t="n"/>
      <c r="AU296" s="1529" t="n"/>
      <c r="AV296" s="1422" t="n"/>
    </row>
    <row r="297" hidden="1" outlineLevel="1" ht="14.4" customFormat="1" customHeight="1" s="1438">
      <c r="A297" s="1705" t="inlineStr">
        <is>
          <t>Net loss attributable to common stockholders</t>
        </is>
      </c>
      <c r="B297" s="1706" t="n"/>
      <c r="C297" s="1707" t="n"/>
      <c r="D297" s="1707" t="n"/>
      <c r="E297" s="1707" t="n"/>
      <c r="F297" s="1707" t="n"/>
      <c r="G297" s="1707" t="n"/>
      <c r="H297" s="1707" t="n"/>
      <c r="I297" s="1707" t="n"/>
      <c r="J297" s="1707" t="n"/>
      <c r="K297" s="1707" t="n"/>
      <c r="L297" s="1707" t="n"/>
      <c r="M297" s="1707" t="n"/>
      <c r="N297" s="1707" t="n"/>
      <c r="O297" s="1708" t="n"/>
      <c r="P297" s="1708" t="n"/>
      <c r="Q297" s="1708" t="n"/>
      <c r="R297" s="1708" t="n"/>
      <c r="S297" s="1707" t="n"/>
      <c r="T297" s="1708" t="n"/>
      <c r="U297" s="1708" t="n"/>
      <c r="V297" s="1708" t="n"/>
      <c r="W297" s="1708" t="n"/>
      <c r="X297" s="1709">
        <f>X295+X296</f>
        <v/>
      </c>
      <c r="Y297" s="1708" t="n"/>
      <c r="Z297" s="1708" t="n"/>
      <c r="AA297" s="1710">
        <f>AA295+AA296</f>
        <v/>
      </c>
      <c r="AB297" s="1710">
        <f>AB295+AB296</f>
        <v/>
      </c>
      <c r="AC297" s="1709">
        <f>AC295+AC296</f>
        <v/>
      </c>
      <c r="AD297" s="1710">
        <f>AD295+AD296</f>
        <v/>
      </c>
      <c r="AE297" s="1710">
        <f>AE295+AE296</f>
        <v/>
      </c>
      <c r="AF297" s="1710">
        <f>AF295+AF296</f>
        <v/>
      </c>
      <c r="AG297" s="1710">
        <f>AG295+AG296</f>
        <v/>
      </c>
      <c r="AH297" s="1709">
        <f>AH295+AH296</f>
        <v/>
      </c>
      <c r="AI297" s="1710">
        <f>AI295+AI296</f>
        <v/>
      </c>
      <c r="AJ297" s="1710">
        <f>AJ295+AJ296</f>
        <v/>
      </c>
      <c r="AK297" s="1711">
        <f>AK295+AK296</f>
        <v/>
      </c>
      <c r="AL297" s="1708" t="n"/>
      <c r="AM297" s="1707" t="n"/>
      <c r="AN297" s="1708" t="n"/>
      <c r="AO297" s="1708" t="n"/>
      <c r="AP297" s="1708" t="n"/>
      <c r="AQ297" s="1708" t="n"/>
      <c r="AR297" s="1707" t="n"/>
      <c r="AS297" s="1707" t="n"/>
      <c r="AT297" s="1707" t="n"/>
      <c r="AU297" s="1707" t="n"/>
      <c r="AV297" s="1446" t="n"/>
    </row>
    <row r="298" hidden="1" outlineLevel="1" ht="14.4" customFormat="1" customHeight="1" s="1438">
      <c r="A298" s="1467" t="n"/>
      <c r="B298" s="1695" t="n"/>
      <c r="C298" s="1529" t="n"/>
      <c r="D298" s="1529" t="n"/>
      <c r="E298" s="1529" t="n"/>
      <c r="F298" s="1529" t="n"/>
      <c r="G298" s="1529" t="n"/>
      <c r="H298" s="1529" t="n"/>
      <c r="I298" s="1529" t="n"/>
      <c r="J298" s="1529" t="n"/>
      <c r="K298" s="1529" t="n"/>
      <c r="L298" s="1529" t="n"/>
      <c r="M298" s="1529" t="n"/>
      <c r="N298" s="1529" t="n"/>
      <c r="O298" s="1420" t="n"/>
      <c r="P298" s="1536" t="n"/>
      <c r="Q298" s="1420" t="n"/>
      <c r="R298" s="1420" t="n"/>
      <c r="S298" s="1529" t="n"/>
      <c r="T298" s="1420" t="n"/>
      <c r="U298" s="1536" t="n"/>
      <c r="V298" s="1420" t="n"/>
      <c r="W298" s="1420" t="n"/>
      <c r="X298" s="1529" t="n"/>
      <c r="Y298" s="1420" t="n"/>
      <c r="Z298" s="1536" t="n"/>
      <c r="AA298" s="1420" t="n"/>
      <c r="AB298" s="1420" t="n"/>
      <c r="AC298" s="1529" t="n"/>
      <c r="AD298" s="1420" t="n"/>
      <c r="AE298" s="1536" t="n"/>
      <c r="AF298" s="1420" t="n"/>
      <c r="AG298" s="1420" t="n"/>
      <c r="AH298" s="1529" t="n"/>
      <c r="AI298" s="1420" t="n"/>
      <c r="AJ298" s="1536" t="n"/>
      <c r="AK298" s="1421" t="n"/>
      <c r="AL298" s="1536" t="n"/>
      <c r="AM298" s="1535" t="n"/>
      <c r="AN298" s="1536" t="n"/>
      <c r="AO298" s="1536" t="n"/>
      <c r="AP298" s="1536" t="n"/>
      <c r="AQ298" s="1536" t="n"/>
      <c r="AR298" s="1535" t="n"/>
      <c r="AS298" s="1535" t="n"/>
      <c r="AT298" s="1535" t="n"/>
      <c r="AU298" s="1535" t="n"/>
      <c r="AV298" s="1446" t="n"/>
    </row>
    <row r="299" hidden="1" outlineLevel="1" ht="14.4" customFormat="1" customHeight="1" s="1418">
      <c r="A299" s="1712" t="inlineStr">
        <is>
          <t>IS Check</t>
        </is>
      </c>
      <c r="B299" s="1712" t="n"/>
      <c r="C299" s="1713" t="n"/>
      <c r="D299" s="1713" t="n"/>
      <c r="E299" s="1713" t="n"/>
      <c r="F299" s="1713" t="n"/>
      <c r="G299" s="1713" t="n"/>
      <c r="H299" s="1713" t="n"/>
      <c r="I299" s="1713" t="n"/>
      <c r="J299" s="1713" t="n"/>
      <c r="K299" s="1713" t="n"/>
      <c r="L299" s="1713" t="n"/>
      <c r="M299" s="1713" t="n"/>
      <c r="N299" s="1713" t="n"/>
      <c r="O299" s="1713" t="n"/>
      <c r="P299" s="1713" t="n"/>
      <c r="Q299" s="1713" t="n"/>
      <c r="R299" s="1713" t="n"/>
      <c r="S299" s="1713" t="n"/>
      <c r="T299" s="1713" t="n"/>
      <c r="U299" s="1713" t="n"/>
      <c r="V299" s="1713" t="n"/>
      <c r="W299" s="1713" t="n"/>
      <c r="X299" s="1713">
        <f>IF(ISBLANK(INDEX(MO_IS_FirstRow,0,COLUMN())),0,ROUND(X295-X568,6))</f>
        <v/>
      </c>
      <c r="Y299" s="1713" t="n"/>
      <c r="Z299" s="1713" t="n"/>
      <c r="AA299" s="1713">
        <f>IF(ISBLANK(INDEX(MO_IS_FirstRow,0,COLUMN())),0,ROUND(AA295-AA568,6))</f>
        <v/>
      </c>
      <c r="AB299" s="1713">
        <f>IF(ISBLANK(INDEX(MO_IS_FirstRow,0,COLUMN())),0,ROUND(AB295-AB568,6))</f>
        <v/>
      </c>
      <c r="AC299" s="1713">
        <f>IF(ISBLANK(INDEX(MO_IS_FirstRow,0,COLUMN())),0,ROUND(AC295-AC568,6))</f>
        <v/>
      </c>
      <c r="AD299" s="1713" t="n"/>
      <c r="AE299" s="1713">
        <f>IF(ISBLANK(INDEX(MO_IS_FirstRow,0,COLUMN())),0,ROUND(AE295-AE570,6))</f>
        <v/>
      </c>
      <c r="AF299" s="1713">
        <f>IF(ISBLANK(INDEX(MO_IS_FirstRow,0,COLUMN())),0,ROUND(AF295-AF570,6))</f>
        <v/>
      </c>
      <c r="AG299" s="1713">
        <f>IF(ISBLANK(INDEX(MO_IS_FirstRow,0,COLUMN())),0,ROUND(AG295-AG568,6))</f>
        <v/>
      </c>
      <c r="AH299" s="1713">
        <f>IF(ISBLANK(INDEX(MO_IS_FirstRow,0,COLUMN())),0,ROUND(AH295-AH568,6))</f>
        <v/>
      </c>
      <c r="AI299" s="1713">
        <f>IF(ISBLANK(INDEX(MO_IS_FirstRow,0,COLUMN())),0,ROUND(AI295-AI570,6))</f>
        <v/>
      </c>
      <c r="AJ299" s="1713">
        <f>IF(ISBLANK(INDEX(MO_IS_FirstRow,0,COLUMN())),0,ROUND(AJ295-AJ570,6))</f>
        <v/>
      </c>
      <c r="AK299" s="1714">
        <f>IF(ISBLANK(INDEX(MO_IS_FirstRow,0,COLUMN())),0,ROUND(AK295-AK570,6))</f>
        <v/>
      </c>
      <c r="AL299" s="1713">
        <f>IF(ISBLANK(INDEX(MO_IS_FirstRow,0,COLUMN())),0,ROUND(AL295-AL570,6))</f>
        <v/>
      </c>
      <c r="AM299" s="1713">
        <f>IF(ISBLANK(INDEX(MO_IS_FirstRow,0,COLUMN())),0,ROUND(AM295-AM570,6))</f>
        <v/>
      </c>
      <c r="AN299" s="1713">
        <f>IF(ISBLANK(INDEX(MO_IS_FirstRow,0,COLUMN())),0,ROUND(AN295-AN570,6))</f>
        <v/>
      </c>
      <c r="AO299" s="1713">
        <f>IF(ISBLANK(INDEX(MO_IS_FirstRow,0,COLUMN())),0,ROUND(AO295-AO570,6))</f>
        <v/>
      </c>
      <c r="AP299" s="1713">
        <f>IF(ISBLANK(INDEX(MO_IS_FirstRow,0,COLUMN())),0,ROUND(AP295-AP570,6))</f>
        <v/>
      </c>
      <c r="AQ299" s="1713">
        <f>IF(ISBLANK(INDEX(MO_IS_FirstRow,0,COLUMN())),0,ROUND(AQ295-AQ570,6))</f>
        <v/>
      </c>
      <c r="AR299" s="1713">
        <f>IF(ISBLANK(INDEX(MO_IS_FirstRow,0,COLUMN())),0,ROUND(AR295-AR570,6))</f>
        <v/>
      </c>
      <c r="AS299" s="1713">
        <f>IF(ISBLANK(INDEX(MO_IS_FirstRow,0,COLUMN())),0,ROUND(AS295-AS570,6))</f>
        <v/>
      </c>
      <c r="AT299" s="1713">
        <f>IF(ISBLANK(INDEX(MO_IS_FirstRow,0,COLUMN())),0,ROUND(AT295-AT570,6))</f>
        <v/>
      </c>
      <c r="AU299" s="1713">
        <f>IF(ISBLANK(INDEX(MO_IS_FirstRow,0,COLUMN())),0,ROUND(AU295-AU570,6))</f>
        <v/>
      </c>
      <c r="AV299" s="1422" t="n"/>
    </row>
    <row r="300" collapsed="1" ht="14.4" customFormat="1" customHeight="1" s="1438">
      <c r="A300" s="1467" t="n"/>
      <c r="B300" s="1695" t="n"/>
      <c r="C300" s="1529" t="n"/>
      <c r="D300" s="1529" t="n"/>
      <c r="E300" s="1529" t="n"/>
      <c r="F300" s="1529" t="n"/>
      <c r="G300" s="1529" t="n"/>
      <c r="H300" s="1529" t="n"/>
      <c r="I300" s="1529" t="n"/>
      <c r="J300" s="1529" t="n"/>
      <c r="K300" s="1529" t="n"/>
      <c r="L300" s="1529" t="n"/>
      <c r="M300" s="1529" t="n"/>
      <c r="N300" s="1529" t="n"/>
      <c r="O300" s="1420" t="n"/>
      <c r="P300" s="1536" t="n"/>
      <c r="Q300" s="1420" t="n"/>
      <c r="R300" s="1420" t="n"/>
      <c r="S300" s="1529" t="n"/>
      <c r="T300" s="1420" t="n"/>
      <c r="U300" s="1536" t="n"/>
      <c r="V300" s="1420" t="n"/>
      <c r="W300" s="1420" t="n"/>
      <c r="X300" s="1529" t="n"/>
      <c r="Y300" s="1420" t="n"/>
      <c r="Z300" s="1536" t="n"/>
      <c r="AA300" s="1420" t="n"/>
      <c r="AB300" s="1420" t="n"/>
      <c r="AC300" s="1529" t="n"/>
      <c r="AD300" s="1420" t="n"/>
      <c r="AE300" s="1536" t="n"/>
      <c r="AF300" s="1420" t="n"/>
      <c r="AG300" s="1420" t="n"/>
      <c r="AH300" s="1529" t="n"/>
      <c r="AI300" s="1420" t="n"/>
      <c r="AJ300" s="1536" t="n"/>
      <c r="AK300" s="1421" t="n"/>
      <c r="AL300" s="1536" t="n"/>
      <c r="AM300" s="1535" t="n"/>
      <c r="AN300" s="1536" t="n"/>
      <c r="AO300" s="1536" t="n"/>
      <c r="AP300" s="1536" t="n"/>
      <c r="AQ300" s="1536" t="n"/>
      <c r="AR300" s="1535" t="n"/>
      <c r="AS300" s="1535" t="n"/>
      <c r="AT300" s="1535" t="n"/>
      <c r="AU300" s="1535" t="n"/>
      <c r="AV300" s="1446" t="n"/>
    </row>
    <row r="301" ht="14.4" customFormat="1" customHeight="1" s="1418">
      <c r="A301" s="1530" t="inlineStr">
        <is>
          <t>Adjusted Numbers - As Reported</t>
        </is>
      </c>
      <c r="B301" s="1531" t="n"/>
      <c r="C301" s="1531" t="n"/>
      <c r="D301" s="1531" t="n"/>
      <c r="E301" s="1531" t="n"/>
      <c r="F301" s="1531" t="n"/>
      <c r="G301" s="1531" t="n"/>
      <c r="H301" s="1531" t="n"/>
      <c r="I301" s="1531" t="n"/>
      <c r="J301" s="1531" t="n"/>
      <c r="K301" s="1531" t="n"/>
      <c r="L301" s="1531" t="n"/>
      <c r="M301" s="1531" t="n"/>
      <c r="N301" s="1531" t="n"/>
      <c r="O301" s="1531" t="n"/>
      <c r="P301" s="1531" t="n"/>
      <c r="Q301" s="1531" t="n"/>
      <c r="R301" s="1531" t="n"/>
      <c r="S301" s="1531" t="n"/>
      <c r="T301" s="1531" t="n"/>
      <c r="U301" s="1531" t="n"/>
      <c r="V301" s="1531" t="n"/>
      <c r="W301" s="1531" t="n"/>
      <c r="X301" s="1531" t="n"/>
      <c r="Y301" s="1531" t="n"/>
      <c r="Z301" s="1531" t="n"/>
      <c r="AA301" s="1532" t="inlineStr">
        <is>
          <t>9 Months</t>
        </is>
      </c>
      <c r="AB301" s="1531" t="n"/>
      <c r="AC301" s="1531" t="n"/>
      <c r="AD301" s="1531" t="n"/>
      <c r="AE301" s="1531" t="n"/>
      <c r="AF301" s="1531" t="n"/>
      <c r="AG301" s="1531" t="n"/>
      <c r="AH301" s="1531" t="n"/>
      <c r="AI301" s="1531" t="n"/>
      <c r="AJ301" s="1531" t="n"/>
      <c r="AK301" s="1533" t="n"/>
      <c r="AL301" s="1531" t="n"/>
      <c r="AM301" s="1531" t="n"/>
      <c r="AN301" s="1531" t="n"/>
      <c r="AO301" s="1531" t="n"/>
      <c r="AP301" s="1531" t="n"/>
      <c r="AQ301" s="1531" t="n"/>
      <c r="AR301" s="1531" t="n"/>
      <c r="AS301" s="1531" t="n"/>
      <c r="AT301" s="1531" t="n"/>
      <c r="AU301" s="1531" t="n"/>
      <c r="AV301" s="1422" t="n"/>
    </row>
    <row r="302" hidden="1" outlineLevel="1" ht="14.4" customFormat="1" customHeight="1" s="1438">
      <c r="A302" s="1439" t="inlineStr">
        <is>
          <t>Net loss</t>
        </is>
      </c>
      <c r="B302" s="1695" t="n"/>
      <c r="C302" s="1535" t="n"/>
      <c r="D302" s="1535" t="n"/>
      <c r="E302" s="1535" t="n"/>
      <c r="F302" s="1535" t="n"/>
      <c r="G302" s="1535" t="n"/>
      <c r="H302" s="1535" t="n"/>
      <c r="I302" s="1535" t="n"/>
      <c r="J302" s="1535" t="n"/>
      <c r="K302" s="1535" t="n"/>
      <c r="L302" s="1535" t="n"/>
      <c r="M302" s="1535" t="n"/>
      <c r="N302" s="1535" t="n"/>
      <c r="O302" s="1536" t="n"/>
      <c r="P302" s="1536" t="n"/>
      <c r="Q302" s="1536" t="n"/>
      <c r="R302" s="1536" t="n"/>
      <c r="S302" s="1535" t="n"/>
      <c r="T302" s="1536" t="n"/>
      <c r="U302" s="1536" t="n"/>
      <c r="V302" s="1536" t="n"/>
      <c r="W302" s="1536" t="n"/>
      <c r="X302" s="1696" t="n">
        <v>-31.055</v>
      </c>
      <c r="Y302" s="1536" t="n"/>
      <c r="Z302" s="1536" t="n"/>
      <c r="AA302" s="1697" t="n">
        <v>-423.174</v>
      </c>
      <c r="AB302" s="1446">
        <f>AC302-SUM(Y302,Z302,AA302)</f>
        <v/>
      </c>
      <c r="AC302" s="1696" t="n">
        <v>-593.748</v>
      </c>
      <c r="AD302" s="1697" t="n">
        <v>-129.248</v>
      </c>
      <c r="AE302" s="1697" t="n">
        <v>-323.021</v>
      </c>
      <c r="AF302" s="1697" t="n">
        <v>-359.807</v>
      </c>
      <c r="AG302" s="1697" t="n">
        <v>-51.372</v>
      </c>
      <c r="AH302" s="1537">
        <f>SUM(AD302,AE302,AF302,AG302)</f>
        <v/>
      </c>
      <c r="AI302" s="1697" t="n">
        <v>-314.641</v>
      </c>
      <c r="AJ302" s="1446">
        <f>AJ295</f>
        <v/>
      </c>
      <c r="AK302" s="1675" t="n">
        <v>-110.124</v>
      </c>
      <c r="AL302" s="1536" t="n"/>
      <c r="AM302" s="1535" t="n"/>
      <c r="AN302" s="1536" t="n"/>
      <c r="AO302" s="1536" t="n"/>
      <c r="AP302" s="1536" t="n"/>
      <c r="AQ302" s="1536" t="n"/>
      <c r="AR302" s="1535" t="n"/>
      <c r="AS302" s="1535" t="n"/>
      <c r="AT302" s="1535" t="n"/>
      <c r="AU302" s="1535" t="n"/>
      <c r="AV302" s="1446" t="n"/>
    </row>
    <row r="303" hidden="1" outlineLevel="1" ht="14.4" customFormat="1" customHeight="1" s="1438">
      <c r="A303" s="1539" t="inlineStr">
        <is>
          <t>Loss on fair value adjustments</t>
        </is>
      </c>
      <c r="B303" s="1695" t="n"/>
      <c r="C303" s="1529" t="n"/>
      <c r="D303" s="1529" t="n"/>
      <c r="E303" s="1529" t="n"/>
      <c r="F303" s="1529" t="n"/>
      <c r="G303" s="1529" t="n"/>
      <c r="H303" s="1529" t="n"/>
      <c r="I303" s="1529" t="n"/>
      <c r="J303" s="1529" t="n"/>
      <c r="K303" s="1529" t="n"/>
      <c r="L303" s="1529" t="n"/>
      <c r="M303" s="1529" t="n"/>
      <c r="N303" s="1529" t="n"/>
      <c r="O303" s="1420" t="n"/>
      <c r="P303" s="1420" t="n"/>
      <c r="Q303" s="1420" t="n"/>
      <c r="R303" s="1420" t="n"/>
      <c r="S303" s="1529" t="n"/>
      <c r="T303" s="1420" t="n"/>
      <c r="U303" s="1420" t="n"/>
      <c r="V303" s="1420" t="n"/>
      <c r="W303" s="1420" t="n"/>
      <c r="X303" s="1593" t="n">
        <v>2.884</v>
      </c>
      <c r="Y303" s="1420" t="n"/>
      <c r="Z303" s="1420" t="n"/>
      <c r="AA303" s="1594" t="n">
        <v>390.485</v>
      </c>
      <c r="AB303" s="1422">
        <f>AC303-SUM(Y303,Z303,AA303)</f>
        <v/>
      </c>
      <c r="AC303" s="1593" t="n">
        <v>533.952</v>
      </c>
      <c r="AD303" s="1594" t="n">
        <v>97.5</v>
      </c>
      <c r="AE303" s="1594" t="n">
        <v>310.231</v>
      </c>
      <c r="AF303" s="1594" t="n">
        <v>341.133</v>
      </c>
      <c r="AG303" s="1594" t="n">
        <v>7.065</v>
      </c>
      <c r="AH303" s="1540">
        <f>SUM(AD303,AE303,AF303,AG303)</f>
        <v/>
      </c>
      <c r="AI303" s="1594" t="n">
        <v>-26.837</v>
      </c>
      <c r="AJ303" s="1594" t="n">
        <v>0</v>
      </c>
      <c r="AK303" s="1421" t="n"/>
      <c r="AL303" s="1536" t="n"/>
      <c r="AM303" s="1535" t="n"/>
      <c r="AN303" s="1536" t="n"/>
      <c r="AO303" s="1536" t="n"/>
      <c r="AP303" s="1536" t="n"/>
      <c r="AQ303" s="1536" t="n"/>
      <c r="AR303" s="1535" t="n"/>
      <c r="AS303" s="1535" t="n"/>
      <c r="AT303" s="1535" t="n"/>
      <c r="AU303" s="1535" t="n"/>
      <c r="AV303" s="1446" t="n"/>
    </row>
    <row r="304" hidden="1" outlineLevel="1" ht="14.4" customFormat="1" customHeight="1" s="1438">
      <c r="A304" s="1539" t="inlineStr">
        <is>
          <t>Depreciation and amortization</t>
        </is>
      </c>
      <c r="B304" s="1695" t="n"/>
      <c r="C304" s="1529" t="n"/>
      <c r="D304" s="1529" t="n"/>
      <c r="E304" s="1529" t="n"/>
      <c r="F304" s="1529" t="n"/>
      <c r="G304" s="1529" t="n"/>
      <c r="H304" s="1529" t="n"/>
      <c r="I304" s="1529" t="n"/>
      <c r="J304" s="1529" t="n"/>
      <c r="K304" s="1529" t="n"/>
      <c r="L304" s="1529" t="n"/>
      <c r="M304" s="1529" t="n"/>
      <c r="N304" s="1529" t="n"/>
      <c r="O304" s="1420" t="n"/>
      <c r="P304" s="1420" t="n"/>
      <c r="Q304" s="1420" t="n"/>
      <c r="R304" s="1420" t="n"/>
      <c r="S304" s="1529" t="n"/>
      <c r="T304" s="1420" t="n"/>
      <c r="U304" s="1420" t="n"/>
      <c r="V304" s="1420" t="n"/>
      <c r="W304" s="1420" t="n"/>
      <c r="X304" s="1593" t="n">
        <v>11.695</v>
      </c>
      <c r="Y304" s="1420" t="n"/>
      <c r="Z304" s="1420" t="n"/>
      <c r="AA304" s="1594" t="n">
        <v>49.88</v>
      </c>
      <c r="AB304" s="1422">
        <f>AC304-SUM(Y304,Z304,AA304)</f>
        <v/>
      </c>
      <c r="AC304" s="1593" t="n">
        <v>103.21</v>
      </c>
      <c r="AD304" s="1594" t="n">
        <v>79.51000000000001</v>
      </c>
      <c r="AE304" s="1594" t="n">
        <v>164.46</v>
      </c>
      <c r="AF304" s="1594" t="n">
        <v>254.024</v>
      </c>
      <c r="AG304" s="1594" t="n">
        <v>365.419</v>
      </c>
      <c r="AH304" s="1540">
        <f>SUM(AD304,AE304,AF304,AG304)</f>
        <v/>
      </c>
      <c r="AI304" s="1594" t="n">
        <v>443.497</v>
      </c>
      <c r="AJ304" s="1594" t="n">
        <v>559.481</v>
      </c>
      <c r="AK304" s="1595" t="n">
        <v>630.479</v>
      </c>
      <c r="AL304" s="1536" t="n"/>
      <c r="AM304" s="1535" t="n"/>
      <c r="AN304" s="1536" t="n"/>
      <c r="AO304" s="1536" t="n"/>
      <c r="AP304" s="1536" t="n"/>
      <c r="AQ304" s="1536" t="n"/>
      <c r="AR304" s="1535" t="n"/>
      <c r="AS304" s="1535" t="n"/>
      <c r="AT304" s="1535" t="n"/>
      <c r="AU304" s="1535" t="n"/>
      <c r="AV304" s="1446" t="n"/>
    </row>
    <row r="305" hidden="1" outlineLevel="1" ht="14.4" customFormat="1" customHeight="1" s="1438">
      <c r="A305" s="1539" t="inlineStr">
        <is>
          <t>Interest expense, net</t>
        </is>
      </c>
      <c r="B305" s="1695" t="n"/>
      <c r="C305" s="1529" t="n"/>
      <c r="D305" s="1529" t="n"/>
      <c r="E305" s="1529" t="n"/>
      <c r="F305" s="1529" t="n"/>
      <c r="G305" s="1529" t="n"/>
      <c r="H305" s="1529" t="n"/>
      <c r="I305" s="1529" t="n"/>
      <c r="J305" s="1529" t="n"/>
      <c r="K305" s="1529" t="n"/>
      <c r="L305" s="1529" t="n"/>
      <c r="M305" s="1529" t="n"/>
      <c r="N305" s="1529" t="n"/>
      <c r="O305" s="1420" t="n"/>
      <c r="P305" s="1420" t="n"/>
      <c r="Q305" s="1420" t="n"/>
      <c r="R305" s="1420" t="n"/>
      <c r="S305" s="1529" t="n"/>
      <c r="T305" s="1420" t="n"/>
      <c r="U305" s="1420" t="n"/>
      <c r="V305" s="1420" t="n"/>
      <c r="W305" s="1420" t="n"/>
      <c r="X305" s="1593" t="n">
        <v>9.444000000000001</v>
      </c>
      <c r="Y305" s="1420" t="n"/>
      <c r="Z305" s="1420" t="n"/>
      <c r="AA305" s="1594" t="n">
        <v>12.314</v>
      </c>
      <c r="AB305" s="1422">
        <f>AC305-SUM(Y305,Z305,AA305)</f>
        <v/>
      </c>
      <c r="AC305" s="1593" t="n">
        <v>28.404</v>
      </c>
      <c r="AD305" s="1594" t="n">
        <v>40.656</v>
      </c>
      <c r="AE305" s="1594" t="n">
        <v>66.76600000000001</v>
      </c>
      <c r="AF305" s="1594" t="n">
        <v>104.375</v>
      </c>
      <c r="AG305" s="1594" t="n">
        <v>149.027</v>
      </c>
      <c r="AH305" s="1540">
        <f>SUM(AD305,AE305,AF305,AG305)</f>
        <v/>
      </c>
      <c r="AI305" s="1594" t="n">
        <v>263.835</v>
      </c>
      <c r="AJ305" s="1594" t="n">
        <v>266.966</v>
      </c>
      <c r="AK305" s="1595" t="n">
        <v>310.555</v>
      </c>
      <c r="AL305" s="1536" t="n"/>
      <c r="AM305" s="1535" t="n"/>
      <c r="AN305" s="1536" t="n"/>
      <c r="AO305" s="1536" t="n"/>
      <c r="AP305" s="1536" t="n"/>
      <c r="AQ305" s="1536" t="n"/>
      <c r="AR305" s="1535" t="n"/>
      <c r="AS305" s="1535" t="n"/>
      <c r="AT305" s="1535" t="n"/>
      <c r="AU305" s="1535" t="n"/>
      <c r="AV305" s="1446" t="n"/>
    </row>
    <row r="306" hidden="1" outlineLevel="1" ht="14.4" customFormat="1" customHeight="1" s="1438">
      <c r="A306" s="1539" t="inlineStr">
        <is>
          <t>Stock-based compensation</t>
        </is>
      </c>
      <c r="B306" s="1695" t="n"/>
      <c r="C306" s="1529" t="n"/>
      <c r="D306" s="1529" t="n"/>
      <c r="E306" s="1529" t="n"/>
      <c r="F306" s="1529" t="n"/>
      <c r="G306" s="1529" t="n"/>
      <c r="H306" s="1529" t="n"/>
      <c r="I306" s="1529" t="n"/>
      <c r="J306" s="1529" t="n"/>
      <c r="K306" s="1529" t="n"/>
      <c r="L306" s="1529" t="n"/>
      <c r="M306" s="1529" t="n"/>
      <c r="N306" s="1529" t="n"/>
      <c r="O306" s="1420" t="n"/>
      <c r="P306" s="1420" t="n"/>
      <c r="Q306" s="1420" t="n"/>
      <c r="R306" s="1420" t="n"/>
      <c r="S306" s="1529" t="n"/>
      <c r="T306" s="1420" t="n"/>
      <c r="U306" s="1420" t="n"/>
      <c r="V306" s="1420" t="n"/>
      <c r="W306" s="1420" t="n"/>
      <c r="X306" s="1593" t="n">
        <v>1.49</v>
      </c>
      <c r="Y306" s="1420" t="n"/>
      <c r="Z306" s="1420" t="n"/>
      <c r="AA306" s="1594" t="n">
        <v>7.058</v>
      </c>
      <c r="AB306" s="1422">
        <f>AC306-SUM(Y306,Z306,AA306)</f>
        <v/>
      </c>
      <c r="AC306" s="1593" t="n">
        <v>15.154</v>
      </c>
      <c r="AD306" s="1594" t="n">
        <v>8.189</v>
      </c>
      <c r="AE306" s="1594" t="n">
        <v>7.66</v>
      </c>
      <c r="AF306" s="1594" t="n">
        <v>7.617</v>
      </c>
      <c r="AG306" s="1594" t="n">
        <v>8.021000000000001</v>
      </c>
      <c r="AH306" s="1540">
        <f>SUM(AD306,AE306,AF306,AG306)</f>
        <v/>
      </c>
      <c r="AI306" s="1594" t="n">
        <v>183.974</v>
      </c>
      <c r="AJ306" s="1594" t="n">
        <v>145.005</v>
      </c>
      <c r="AK306" s="1595" t="n">
        <v>144.431</v>
      </c>
      <c r="AL306" s="1536" t="n"/>
      <c r="AM306" s="1535" t="n"/>
      <c r="AN306" s="1536" t="n"/>
      <c r="AO306" s="1536" t="n"/>
      <c r="AP306" s="1536" t="n"/>
      <c r="AQ306" s="1536" t="n"/>
      <c r="AR306" s="1535" t="n"/>
      <c r="AS306" s="1535" t="n"/>
      <c r="AT306" s="1535" t="n"/>
      <c r="AU306" s="1535" t="n"/>
      <c r="AV306" s="1446" t="n"/>
    </row>
    <row r="307" hidden="1" outlineLevel="1" ht="14.4" customFormat="1" customHeight="1" s="1438">
      <c r="A307" s="1539" t="inlineStr">
        <is>
          <t>Acquisition related costs</t>
        </is>
      </c>
      <c r="B307" s="1695" t="n"/>
      <c r="C307" s="1529" t="n"/>
      <c r="D307" s="1529" t="n"/>
      <c r="E307" s="1529" t="n"/>
      <c r="F307" s="1529" t="n"/>
      <c r="G307" s="1529" t="n"/>
      <c r="H307" s="1529" t="n"/>
      <c r="I307" s="1529" t="n"/>
      <c r="J307" s="1529" t="n"/>
      <c r="K307" s="1529" t="n"/>
      <c r="L307" s="1529" t="n"/>
      <c r="M307" s="1529" t="n"/>
      <c r="N307" s="1529" t="n"/>
      <c r="O307" s="1420" t="n"/>
      <c r="P307" s="1420" t="n"/>
      <c r="Q307" s="1420" t="n"/>
      <c r="R307" s="1420" t="n"/>
      <c r="S307" s="1529" t="n"/>
      <c r="T307" s="1420" t="n"/>
      <c r="U307" s="1420" t="n"/>
      <c r="V307" s="1420" t="n"/>
      <c r="W307" s="1420" t="n"/>
      <c r="X307" s="1529" t="n"/>
      <c r="Y307" s="1420" t="n"/>
      <c r="Z307" s="1420" t="n"/>
      <c r="AA307" s="1420" t="n"/>
      <c r="AB307" s="1420" t="n"/>
      <c r="AC307" s="1529" t="n"/>
      <c r="AD307" s="1420" t="n"/>
      <c r="AE307" s="1420" t="n"/>
      <c r="AF307" s="1420" t="n"/>
      <c r="AG307" s="1420" t="n"/>
      <c r="AH307" s="1529" t="n"/>
      <c r="AI307" s="1594" t="n">
        <v>6.13</v>
      </c>
      <c r="AJ307" s="1594" t="n">
        <v>29.474</v>
      </c>
      <c r="AK307" s="1595" t="n">
        <v>11.364</v>
      </c>
      <c r="AL307" s="1536" t="n"/>
      <c r="AM307" s="1535" t="n"/>
      <c r="AN307" s="1536" t="n"/>
      <c r="AO307" s="1536" t="n"/>
      <c r="AP307" s="1536" t="n"/>
      <c r="AQ307" s="1536" t="n"/>
      <c r="AR307" s="1535" t="n"/>
      <c r="AS307" s="1535" t="n"/>
      <c r="AT307" s="1535" t="n"/>
      <c r="AU307" s="1535" t="n"/>
      <c r="AV307" s="1446" t="n"/>
    </row>
    <row r="308" hidden="1" outlineLevel="1" ht="14.4" customFormat="1" customHeight="1" s="1438">
      <c r="A308" s="1539" t="inlineStr">
        <is>
          <t>Other income, net</t>
        </is>
      </c>
      <c r="B308" s="1695" t="n"/>
      <c r="C308" s="1529" t="n"/>
      <c r="D308" s="1529" t="n"/>
      <c r="E308" s="1529" t="n"/>
      <c r="F308" s="1529" t="n"/>
      <c r="G308" s="1529" t="n"/>
      <c r="H308" s="1529" t="n"/>
      <c r="I308" s="1529" t="n"/>
      <c r="J308" s="1529" t="n"/>
      <c r="K308" s="1529" t="n"/>
      <c r="L308" s="1529" t="n"/>
      <c r="M308" s="1529" t="n"/>
      <c r="N308" s="1529" t="n"/>
      <c r="O308" s="1420" t="n"/>
      <c r="P308" s="1420" t="n"/>
      <c r="Q308" s="1420" t="n"/>
      <c r="R308" s="1420" t="n"/>
      <c r="S308" s="1529" t="n"/>
      <c r="T308" s="1420" t="n"/>
      <c r="U308" s="1420" t="n"/>
      <c r="V308" s="1420" t="n"/>
      <c r="W308" s="1420" t="n"/>
      <c r="X308" s="1593" t="n">
        <v>-0.192</v>
      </c>
      <c r="Y308" s="1420" t="n"/>
      <c r="Z308" s="1420" t="n"/>
      <c r="AA308" s="1594" t="n">
        <v>-11.776</v>
      </c>
      <c r="AB308" s="1422">
        <f>AC308-SUM(Y308,Z308,AA308)</f>
        <v/>
      </c>
      <c r="AC308" s="1593" t="n">
        <v>-18.76</v>
      </c>
      <c r="AD308" s="1594" t="n">
        <v>-7.46</v>
      </c>
      <c r="AE308" s="1594" t="n">
        <v>-16.406</v>
      </c>
      <c r="AF308" s="1594" t="n">
        <v>-10.244</v>
      </c>
      <c r="AG308" s="1594" t="n">
        <v>-14.084</v>
      </c>
      <c r="AH308" s="1540">
        <f>SUM(AD308,AE308,AF308,AG308)</f>
        <v/>
      </c>
      <c r="AI308" s="1594" t="n">
        <v>4.137</v>
      </c>
      <c r="AJ308" s="1594" t="n">
        <v>-5.023</v>
      </c>
      <c r="AK308" s="1595" t="n">
        <v>-21.901</v>
      </c>
      <c r="AL308" s="1536" t="n"/>
      <c r="AM308" s="1535" t="n"/>
      <c r="AN308" s="1536" t="n"/>
      <c r="AO308" s="1536" t="n"/>
      <c r="AP308" s="1536" t="n"/>
      <c r="AQ308" s="1536" t="n"/>
      <c r="AR308" s="1535" t="n"/>
      <c r="AS308" s="1535" t="n"/>
      <c r="AT308" s="1535" t="n"/>
      <c r="AU308" s="1535" t="n"/>
      <c r="AV308" s="1446" t="n"/>
    </row>
    <row r="309" hidden="1" outlineLevel="1" ht="14.4" customFormat="1" customHeight="1" s="1438">
      <c r="A309" s="1539" t="inlineStr">
        <is>
          <t>Provision for (benefit from) income taxes</t>
        </is>
      </c>
      <c r="B309" s="1695" t="n"/>
      <c r="C309" s="1529" t="n"/>
      <c r="D309" s="1529" t="n"/>
      <c r="E309" s="1529" t="n"/>
      <c r="F309" s="1529" t="n"/>
      <c r="G309" s="1529" t="n"/>
      <c r="H309" s="1529" t="n"/>
      <c r="I309" s="1529" t="n"/>
      <c r="J309" s="1529" t="n"/>
      <c r="K309" s="1529" t="n"/>
      <c r="L309" s="1529" t="n"/>
      <c r="M309" s="1529" t="n"/>
      <c r="N309" s="1529" t="n"/>
      <c r="O309" s="1420" t="n"/>
      <c r="P309" s="1420" t="n"/>
      <c r="Q309" s="1420" t="n"/>
      <c r="R309" s="1420" t="n"/>
      <c r="S309" s="1529" t="n"/>
      <c r="T309" s="1420" t="n"/>
      <c r="U309" s="1420" t="n"/>
      <c r="V309" s="1420" t="n"/>
      <c r="W309" s="1420" t="n"/>
      <c r="X309" s="1593" t="n">
        <v>-4.15</v>
      </c>
      <c r="Y309" s="1420" t="n"/>
      <c r="Z309" s="1420" t="n"/>
      <c r="AA309" s="1594" t="n">
        <v>19.517</v>
      </c>
      <c r="AB309" s="1422">
        <f>AC309-SUM(Y309,Z309,AA309)</f>
        <v/>
      </c>
      <c r="AC309" s="1593" t="n">
        <v>35.701</v>
      </c>
      <c r="AD309" s="1594" t="n">
        <v>15.399</v>
      </c>
      <c r="AE309" s="1594" t="n">
        <v>40.151</v>
      </c>
      <c r="AF309" s="1594" t="n">
        <v>41.659</v>
      </c>
      <c r="AG309" s="1594" t="n">
        <v>22.038</v>
      </c>
      <c r="AH309" s="1540">
        <f>SUM(AD309,AE309,AF309,AG309)</f>
        <v/>
      </c>
      <c r="AI309" s="1594" t="n">
        <v>46.036</v>
      </c>
      <c r="AJ309" s="1594" t="n">
        <v>47.775</v>
      </c>
      <c r="AK309" s="1595" t="n">
        <v>-126.68</v>
      </c>
      <c r="AL309" s="1536" t="n"/>
      <c r="AM309" s="1535" t="n"/>
      <c r="AN309" s="1536" t="n"/>
      <c r="AO309" s="1536" t="n"/>
      <c r="AP309" s="1536" t="n"/>
      <c r="AQ309" s="1536" t="n"/>
      <c r="AR309" s="1535" t="n"/>
      <c r="AS309" s="1535" t="n"/>
      <c r="AT309" s="1535" t="n"/>
      <c r="AU309" s="1535" t="n"/>
      <c r="AV309" s="1446" t="n"/>
    </row>
    <row r="310" hidden="1" outlineLevel="1" ht="14.4" customFormat="1" customHeight="1" s="1438">
      <c r="A310" s="1542" t="inlineStr">
        <is>
          <t>Adjusted EBITDA</t>
        </is>
      </c>
      <c r="B310" s="1699" t="n"/>
      <c r="C310" s="1544" t="n"/>
      <c r="D310" s="1544" t="n"/>
      <c r="E310" s="1544" t="n"/>
      <c r="F310" s="1544" t="n"/>
      <c r="G310" s="1544" t="n"/>
      <c r="H310" s="1544" t="n"/>
      <c r="I310" s="1544" t="n"/>
      <c r="J310" s="1544" t="n"/>
      <c r="K310" s="1544" t="n"/>
      <c r="L310" s="1544" t="n"/>
      <c r="M310" s="1544" t="n"/>
      <c r="N310" s="1544" t="n"/>
      <c r="O310" s="1545" t="n"/>
      <c r="P310" s="1545" t="n"/>
      <c r="Q310" s="1545" t="n"/>
      <c r="R310" s="1545" t="n"/>
      <c r="S310" s="1544" t="n"/>
      <c r="T310" s="1545" t="n"/>
      <c r="U310" s="1545" t="n"/>
      <c r="V310" s="1545" t="n"/>
      <c r="W310" s="1545" t="n"/>
      <c r="X310" s="1546">
        <f>SUM(X302:X309)</f>
        <v/>
      </c>
      <c r="Y310" s="1545" t="n"/>
      <c r="Z310" s="1545" t="n"/>
      <c r="AA310" s="1547">
        <f>SUM(AA302:AA309)</f>
        <v/>
      </c>
      <c r="AB310" s="1547">
        <f>SUM(AB302:AB309)</f>
        <v/>
      </c>
      <c r="AC310" s="1546">
        <f>SUM(AC302:AC309)</f>
        <v/>
      </c>
      <c r="AD310" s="1547">
        <f>SUM(AD302:AD309)</f>
        <v/>
      </c>
      <c r="AE310" s="1547">
        <f>SUM(AE302:AE309)</f>
        <v/>
      </c>
      <c r="AF310" s="1547">
        <f>SUM(AF302:AF309)</f>
        <v/>
      </c>
      <c r="AG310" s="1547">
        <f>SUM(AG302:AG309)</f>
        <v/>
      </c>
      <c r="AH310" s="1546">
        <f>SUM(AH302:AH309)</f>
        <v/>
      </c>
      <c r="AI310" s="1547">
        <f>SUM(AI302:AI309)</f>
        <v/>
      </c>
      <c r="AJ310" s="1547">
        <f>SUM(AJ302:AJ309)</f>
        <v/>
      </c>
      <c r="AK310" s="1548">
        <f>SUM(AK302:AK309)</f>
        <v/>
      </c>
      <c r="AL310" s="1545" t="n"/>
      <c r="AM310" s="1544" t="n"/>
      <c r="AN310" s="1545" t="n"/>
      <c r="AO310" s="1545" t="n"/>
      <c r="AP310" s="1545" t="n"/>
      <c r="AQ310" s="1545" t="n"/>
      <c r="AR310" s="1544" t="n"/>
      <c r="AS310" s="1544" t="n"/>
      <c r="AT310" s="1544" t="n"/>
      <c r="AU310" s="1544" t="n"/>
      <c r="AV310" s="1446" t="n"/>
    </row>
    <row r="311" hidden="1" outlineLevel="1" ht="14.4" customFormat="1" customHeight="1" s="1438">
      <c r="A311" s="1467" t="n"/>
      <c r="B311" s="1695" t="n"/>
      <c r="C311" s="1529" t="n"/>
      <c r="D311" s="1529" t="n"/>
      <c r="E311" s="1529" t="n"/>
      <c r="F311" s="1529" t="n"/>
      <c r="G311" s="1529" t="n"/>
      <c r="H311" s="1529" t="n"/>
      <c r="I311" s="1529" t="n"/>
      <c r="J311" s="1529" t="n"/>
      <c r="K311" s="1529" t="n"/>
      <c r="L311" s="1529" t="n"/>
      <c r="M311" s="1529" t="n"/>
      <c r="N311" s="1529" t="n"/>
      <c r="O311" s="1420" t="n"/>
      <c r="P311" s="1420" t="n"/>
      <c r="Q311" s="1420" t="n"/>
      <c r="R311" s="1420" t="n"/>
      <c r="S311" s="1529" t="n"/>
      <c r="T311" s="1420" t="n"/>
      <c r="U311" s="1420" t="n"/>
      <c r="V311" s="1420" t="n"/>
      <c r="W311" s="1420" t="n"/>
      <c r="X311" s="1529" t="n"/>
      <c r="Y311" s="1420" t="n"/>
      <c r="Z311" s="1420" t="n"/>
      <c r="AA311" s="1420" t="n"/>
      <c r="AB311" s="1420" t="n"/>
      <c r="AC311" s="1529" t="n"/>
      <c r="AD311" s="1420" t="n"/>
      <c r="AE311" s="1420" t="n"/>
      <c r="AF311" s="1420" t="n"/>
      <c r="AG311" s="1420" t="n"/>
      <c r="AH311" s="1529" t="n"/>
      <c r="AI311" s="1420" t="n"/>
      <c r="AJ311" s="1420" t="n"/>
      <c r="AK311" s="1421" t="n"/>
      <c r="AL311" s="1536" t="n"/>
      <c r="AM311" s="1535" t="n"/>
      <c r="AN311" s="1536" t="n"/>
      <c r="AO311" s="1536" t="n"/>
      <c r="AP311" s="1536" t="n"/>
      <c r="AQ311" s="1536" t="n"/>
      <c r="AR311" s="1535" t="n"/>
      <c r="AS311" s="1535" t="n"/>
      <c r="AT311" s="1535" t="n"/>
      <c r="AU311" s="1535" t="n"/>
      <c r="AV311" s="1446" t="n"/>
    </row>
    <row r="312" hidden="1" outlineLevel="1" ht="14.4" customFormat="1" customHeight="1" s="1438">
      <c r="A312" s="1439" t="inlineStr">
        <is>
          <t>Operating income</t>
        </is>
      </c>
      <c r="B312" s="1695" t="n"/>
      <c r="C312" s="1535" t="n"/>
      <c r="D312" s="1535" t="n"/>
      <c r="E312" s="1535" t="n"/>
      <c r="F312" s="1535" t="n"/>
      <c r="G312" s="1535" t="n"/>
      <c r="H312" s="1535" t="n"/>
      <c r="I312" s="1535" t="n"/>
      <c r="J312" s="1535" t="n"/>
      <c r="K312" s="1535" t="n"/>
      <c r="L312" s="1535" t="n"/>
      <c r="M312" s="1535" t="n"/>
      <c r="N312" s="1535" t="n"/>
      <c r="O312" s="1536" t="n"/>
      <c r="P312" s="1536" t="n"/>
      <c r="Q312" s="1536" t="n"/>
      <c r="R312" s="1536" t="n"/>
      <c r="S312" s="1535" t="n"/>
      <c r="T312" s="1536" t="n"/>
      <c r="U312" s="1536" t="n"/>
      <c r="V312" s="1536" t="n"/>
      <c r="W312" s="1536" t="n"/>
      <c r="X312" s="1696" t="n">
        <v>-22.88</v>
      </c>
      <c r="Y312" s="1536" t="n"/>
      <c r="Z312" s="1536" t="n"/>
      <c r="AA312" s="1697" t="n">
        <v>-12.634</v>
      </c>
      <c r="AB312" s="1446">
        <f>AC312-SUM(Y312,Z312,AA312)</f>
        <v/>
      </c>
      <c r="AC312" s="1696" t="n">
        <v>-14.451</v>
      </c>
      <c r="AD312" s="1697" t="n">
        <v>16.847</v>
      </c>
      <c r="AE312" s="1697" t="n">
        <v>77.721</v>
      </c>
      <c r="AF312" s="1697" t="n">
        <v>117.116</v>
      </c>
      <c r="AG312" s="1697" t="n">
        <v>112.674</v>
      </c>
      <c r="AH312" s="1537">
        <f>SUM(AD312,AE312,AF312,AG312)</f>
        <v/>
      </c>
      <c r="AI312" s="1446">
        <f>AI285</f>
        <v/>
      </c>
      <c r="AJ312" s="1446">
        <f>AJ285</f>
        <v/>
      </c>
      <c r="AK312" s="1675" t="n">
        <v>51.85</v>
      </c>
      <c r="AL312" s="1536" t="n"/>
      <c r="AM312" s="1535" t="n"/>
      <c r="AN312" s="1536" t="n"/>
      <c r="AO312" s="1536" t="n"/>
      <c r="AP312" s="1536" t="n"/>
      <c r="AQ312" s="1536" t="n"/>
      <c r="AR312" s="1535" t="n"/>
      <c r="AS312" s="1535" t="n"/>
      <c r="AT312" s="1535" t="n"/>
      <c r="AU312" s="1535" t="n"/>
      <c r="AV312" s="1446" t="n"/>
    </row>
    <row r="313" hidden="1" outlineLevel="1" ht="14.4" customFormat="1" customHeight="1" s="1438">
      <c r="A313" s="1539" t="inlineStr">
        <is>
          <t>Stock-based compensation</t>
        </is>
      </c>
      <c r="B313" s="1695" t="n"/>
      <c r="C313" s="1529" t="n"/>
      <c r="D313" s="1529" t="n"/>
      <c r="E313" s="1529" t="n"/>
      <c r="F313" s="1529" t="n"/>
      <c r="G313" s="1529" t="n"/>
      <c r="H313" s="1529" t="n"/>
      <c r="I313" s="1529" t="n"/>
      <c r="J313" s="1529" t="n"/>
      <c r="K313" s="1529" t="n"/>
      <c r="L313" s="1529" t="n"/>
      <c r="M313" s="1529" t="n"/>
      <c r="N313" s="1529" t="n"/>
      <c r="O313" s="1420" t="n"/>
      <c r="P313" s="1420" t="n"/>
      <c r="Q313" s="1420" t="n"/>
      <c r="R313" s="1420" t="n"/>
      <c r="S313" s="1529" t="n"/>
      <c r="T313" s="1420" t="n"/>
      <c r="U313" s="1420" t="n"/>
      <c r="V313" s="1420" t="n"/>
      <c r="W313" s="1420" t="n"/>
      <c r="X313" s="1593" t="n">
        <v>1.49</v>
      </c>
      <c r="Y313" s="1420" t="n"/>
      <c r="Z313" s="1420" t="n"/>
      <c r="AA313" s="1594" t="n">
        <v>7.058</v>
      </c>
      <c r="AB313" s="1422">
        <f>AC313-SUM(Y313,Z313,AA313)</f>
        <v/>
      </c>
      <c r="AC313" s="1593" t="n">
        <v>15.154</v>
      </c>
      <c r="AD313" s="1594" t="n">
        <v>8.189</v>
      </c>
      <c r="AE313" s="1594" t="n">
        <v>7.66</v>
      </c>
      <c r="AF313" s="1594" t="n">
        <v>7.617</v>
      </c>
      <c r="AG313" s="1594" t="n">
        <v>8.021000000000001</v>
      </c>
      <c r="AH313" s="1540">
        <f>SUM(AD313,AE313,AF313,AG313)</f>
        <v/>
      </c>
      <c r="AI313" s="1594" t="n">
        <v>183.974</v>
      </c>
      <c r="AJ313" s="1594" t="n">
        <v>145.005</v>
      </c>
      <c r="AK313" s="1595" t="n">
        <v>144.431</v>
      </c>
      <c r="AL313" s="1536" t="n"/>
      <c r="AM313" s="1535" t="n"/>
      <c r="AN313" s="1536" t="n"/>
      <c r="AO313" s="1536" t="n"/>
      <c r="AP313" s="1536" t="n"/>
      <c r="AQ313" s="1536" t="n"/>
      <c r="AR313" s="1535" t="n"/>
      <c r="AS313" s="1535" t="n"/>
      <c r="AT313" s="1535" t="n"/>
      <c r="AU313" s="1535" t="n"/>
      <c r="AV313" s="1446" t="n"/>
    </row>
    <row r="314" hidden="1" outlineLevel="1" ht="14.4" customFormat="1" customHeight="1" s="1438">
      <c r="A314" s="1539" t="inlineStr">
        <is>
          <t>Amortization of acquired intangibles</t>
        </is>
      </c>
      <c r="B314" s="1695" t="n"/>
      <c r="C314" s="1529" t="n"/>
      <c r="D314" s="1529" t="n"/>
      <c r="E314" s="1529" t="n"/>
      <c r="F314" s="1529" t="n"/>
      <c r="G314" s="1529" t="n"/>
      <c r="H314" s="1529" t="n"/>
      <c r="I314" s="1529" t="n"/>
      <c r="J314" s="1529" t="n"/>
      <c r="K314" s="1529" t="n"/>
      <c r="L314" s="1529" t="n"/>
      <c r="M314" s="1529" t="n"/>
      <c r="N314" s="1529" t="n"/>
      <c r="O314" s="1420" t="n"/>
      <c r="P314" s="1420" t="n"/>
      <c r="Q314" s="1420" t="n"/>
      <c r="R314" s="1420" t="n"/>
      <c r="S314" s="1529" t="n"/>
      <c r="T314" s="1420" t="n"/>
      <c r="U314" s="1420" t="n"/>
      <c r="V314" s="1420" t="n"/>
      <c r="W314" s="1420" t="n"/>
      <c r="X314" s="1529" t="n"/>
      <c r="Y314" s="1420" t="n"/>
      <c r="Z314" s="1420" t="n"/>
      <c r="AA314" s="1420" t="n"/>
      <c r="AB314" s="1420" t="n"/>
      <c r="AC314" s="1529" t="n"/>
      <c r="AD314" s="1420" t="n"/>
      <c r="AE314" s="1420" t="n"/>
      <c r="AF314" s="1420" t="n"/>
      <c r="AG314" s="1420" t="n"/>
      <c r="AH314" s="1529" t="n"/>
      <c r="AI314" s="1420" t="n"/>
      <c r="AJ314" s="1594" t="n">
        <v>6.1</v>
      </c>
      <c r="AK314" s="1595" t="n">
        <v>9.509</v>
      </c>
      <c r="AL314" s="1536" t="n"/>
      <c r="AM314" s="1535" t="n"/>
      <c r="AN314" s="1536" t="n"/>
      <c r="AO314" s="1536" t="n"/>
      <c r="AP314" s="1536" t="n"/>
      <c r="AQ314" s="1536" t="n"/>
      <c r="AR314" s="1535" t="n"/>
      <c r="AS314" s="1535" t="n"/>
      <c r="AT314" s="1535" t="n"/>
      <c r="AU314" s="1535" t="n"/>
      <c r="AV314" s="1446" t="n"/>
    </row>
    <row r="315" hidden="1" outlineLevel="1" ht="14.4" customFormat="1" customHeight="1" s="1438">
      <c r="A315" s="1539" t="inlineStr">
        <is>
          <t>Acquisition related costs</t>
        </is>
      </c>
      <c r="B315" s="1695" t="n"/>
      <c r="C315" s="1529" t="n"/>
      <c r="D315" s="1529" t="n"/>
      <c r="E315" s="1529" t="n"/>
      <c r="F315" s="1529" t="n"/>
      <c r="G315" s="1529" t="n"/>
      <c r="H315" s="1529" t="n"/>
      <c r="I315" s="1529" t="n"/>
      <c r="J315" s="1529" t="n"/>
      <c r="K315" s="1529" t="n"/>
      <c r="L315" s="1529" t="n"/>
      <c r="M315" s="1529" t="n"/>
      <c r="N315" s="1529" t="n"/>
      <c r="O315" s="1420" t="n"/>
      <c r="P315" s="1420" t="n"/>
      <c r="Q315" s="1420" t="n"/>
      <c r="R315" s="1420" t="n"/>
      <c r="S315" s="1529" t="n"/>
      <c r="T315" s="1420" t="n"/>
      <c r="U315" s="1420" t="n"/>
      <c r="V315" s="1420" t="n"/>
      <c r="W315" s="1420" t="n"/>
      <c r="X315" s="1529" t="n"/>
      <c r="Y315" s="1420" t="n"/>
      <c r="Z315" s="1420" t="n"/>
      <c r="AA315" s="1420" t="n"/>
      <c r="AB315" s="1420" t="n"/>
      <c r="AC315" s="1529" t="n"/>
      <c r="AD315" s="1420" t="n"/>
      <c r="AE315" s="1420" t="n"/>
      <c r="AF315" s="1420" t="n"/>
      <c r="AG315" s="1420" t="n"/>
      <c r="AH315" s="1529" t="n"/>
      <c r="AI315" s="1594" t="n">
        <v>6.13</v>
      </c>
      <c r="AJ315" s="1594" t="n">
        <v>29.474</v>
      </c>
      <c r="AK315" s="1595" t="n">
        <v>11.364</v>
      </c>
      <c r="AL315" s="1536" t="n"/>
      <c r="AM315" s="1535" t="n"/>
      <c r="AN315" s="1536" t="n"/>
      <c r="AO315" s="1536" t="n"/>
      <c r="AP315" s="1536" t="n"/>
      <c r="AQ315" s="1536" t="n"/>
      <c r="AR315" s="1535" t="n"/>
      <c r="AS315" s="1535" t="n"/>
      <c r="AT315" s="1535" t="n"/>
      <c r="AU315" s="1535" t="n"/>
      <c r="AV315" s="1446" t="n"/>
    </row>
    <row r="316" hidden="1" outlineLevel="1" ht="14.4" customFormat="1" customHeight="1" s="1438">
      <c r="A316" s="1542" t="inlineStr">
        <is>
          <t>Adjusted operating income</t>
        </is>
      </c>
      <c r="B316" s="1699" t="n"/>
      <c r="C316" s="1544" t="n"/>
      <c r="D316" s="1544" t="n"/>
      <c r="E316" s="1544" t="n"/>
      <c r="F316" s="1544" t="n"/>
      <c r="G316" s="1544" t="n"/>
      <c r="H316" s="1544" t="n"/>
      <c r="I316" s="1544" t="n"/>
      <c r="J316" s="1544" t="n"/>
      <c r="K316" s="1544" t="n"/>
      <c r="L316" s="1544" t="n"/>
      <c r="M316" s="1544" t="n"/>
      <c r="N316" s="1544" t="n"/>
      <c r="O316" s="1545" t="n"/>
      <c r="P316" s="1545" t="n"/>
      <c r="Q316" s="1545" t="n"/>
      <c r="R316" s="1545" t="n"/>
      <c r="S316" s="1544" t="n"/>
      <c r="T316" s="1545" t="n"/>
      <c r="U316" s="1545" t="n"/>
      <c r="V316" s="1545" t="n"/>
      <c r="W316" s="1545" t="n"/>
      <c r="X316" s="1546">
        <f>SUM(X312:X315)</f>
        <v/>
      </c>
      <c r="Y316" s="1545" t="n"/>
      <c r="Z316" s="1545" t="n"/>
      <c r="AA316" s="1547">
        <f>SUM(AA312:AA315)</f>
        <v/>
      </c>
      <c r="AB316" s="1547">
        <f>SUM(AB312:AB315)</f>
        <v/>
      </c>
      <c r="AC316" s="1546">
        <f>SUM(AC312:AC315)</f>
        <v/>
      </c>
      <c r="AD316" s="1547">
        <f>SUM(AD312:AD315)</f>
        <v/>
      </c>
      <c r="AE316" s="1547">
        <f>SUM(AE312:AE315)</f>
        <v/>
      </c>
      <c r="AF316" s="1547">
        <f>SUM(AF312:AF315)</f>
        <v/>
      </c>
      <c r="AG316" s="1547">
        <f>SUM(AG312:AG315)</f>
        <v/>
      </c>
      <c r="AH316" s="1546">
        <f>SUM(AH312:AH315)</f>
        <v/>
      </c>
      <c r="AI316" s="1547">
        <f>SUM(AI312:AI315)</f>
        <v/>
      </c>
      <c r="AJ316" s="1547">
        <f>SUM(AJ312:AJ315)</f>
        <v/>
      </c>
      <c r="AK316" s="1548">
        <f>SUM(AK312:AK315)</f>
        <v/>
      </c>
      <c r="AL316" s="1545" t="n"/>
      <c r="AM316" s="1544" t="n"/>
      <c r="AN316" s="1545" t="n"/>
      <c r="AO316" s="1545" t="n"/>
      <c r="AP316" s="1545" t="n"/>
      <c r="AQ316" s="1545" t="n"/>
      <c r="AR316" s="1544" t="n"/>
      <c r="AS316" s="1544" t="n"/>
      <c r="AT316" s="1544" t="n"/>
      <c r="AU316" s="1544" t="n"/>
      <c r="AV316" s="1446" t="n"/>
    </row>
    <row r="317" hidden="1" outlineLevel="1" ht="14.4" customFormat="1" customHeight="1" s="1438">
      <c r="A317" s="1467" t="n"/>
      <c r="B317" s="1695" t="n"/>
      <c r="C317" s="1529" t="n"/>
      <c r="D317" s="1529" t="n"/>
      <c r="E317" s="1529" t="n"/>
      <c r="F317" s="1529" t="n"/>
      <c r="G317" s="1529" t="n"/>
      <c r="H317" s="1529" t="n"/>
      <c r="I317" s="1529" t="n"/>
      <c r="J317" s="1529" t="n"/>
      <c r="K317" s="1529" t="n"/>
      <c r="L317" s="1529" t="n"/>
      <c r="M317" s="1529" t="n"/>
      <c r="N317" s="1529" t="n"/>
      <c r="O317" s="1420" t="n"/>
      <c r="P317" s="1420" t="n"/>
      <c r="Q317" s="1420" t="n"/>
      <c r="R317" s="1420" t="n"/>
      <c r="S317" s="1529" t="n"/>
      <c r="T317" s="1420" t="n"/>
      <c r="U317" s="1420" t="n"/>
      <c r="V317" s="1420" t="n"/>
      <c r="W317" s="1420" t="n"/>
      <c r="X317" s="1529" t="n"/>
      <c r="Y317" s="1420" t="n"/>
      <c r="Z317" s="1420" t="n"/>
      <c r="AA317" s="1420" t="n"/>
      <c r="AB317" s="1420" t="n"/>
      <c r="AC317" s="1529" t="n"/>
      <c r="AD317" s="1420" t="n"/>
      <c r="AE317" s="1420" t="n"/>
      <c r="AF317" s="1420" t="n"/>
      <c r="AG317" s="1420" t="n"/>
      <c r="AH317" s="1529" t="n"/>
      <c r="AI317" s="1420" t="n"/>
      <c r="AJ317" s="1420" t="n"/>
      <c r="AK317" s="1421" t="n"/>
      <c r="AL317" s="1536" t="n"/>
      <c r="AM317" s="1535" t="n"/>
      <c r="AN317" s="1536" t="n"/>
      <c r="AO317" s="1536" t="n"/>
      <c r="AP317" s="1536" t="n"/>
      <c r="AQ317" s="1536" t="n"/>
      <c r="AR317" s="1535" t="n"/>
      <c r="AS317" s="1535" t="n"/>
      <c r="AT317" s="1535" t="n"/>
      <c r="AU317" s="1535" t="n"/>
      <c r="AV317" s="1446" t="n"/>
    </row>
    <row r="318" hidden="1" outlineLevel="1" ht="14.4" customFormat="1" customHeight="1" s="1438">
      <c r="A318" s="1439" t="inlineStr">
        <is>
          <t>Net loss</t>
        </is>
      </c>
      <c r="B318" s="1695" t="n"/>
      <c r="C318" s="1535" t="n"/>
      <c r="D318" s="1535" t="n"/>
      <c r="E318" s="1535" t="n"/>
      <c r="F318" s="1535" t="n"/>
      <c r="G318" s="1535" t="n"/>
      <c r="H318" s="1535" t="n"/>
      <c r="I318" s="1535" t="n"/>
      <c r="J318" s="1535" t="n"/>
      <c r="K318" s="1535" t="n"/>
      <c r="L318" s="1535" t="n"/>
      <c r="M318" s="1535" t="n"/>
      <c r="N318" s="1535" t="n"/>
      <c r="O318" s="1536" t="n"/>
      <c r="P318" s="1536" t="n"/>
      <c r="Q318" s="1536" t="n"/>
      <c r="R318" s="1536" t="n"/>
      <c r="S318" s="1535" t="n"/>
      <c r="T318" s="1536" t="n"/>
      <c r="U318" s="1536" t="n"/>
      <c r="V318" s="1536" t="n"/>
      <c r="W318" s="1536" t="n"/>
      <c r="X318" s="1696" t="n">
        <v>-31.055</v>
      </c>
      <c r="Y318" s="1536" t="n"/>
      <c r="Z318" s="1536" t="n"/>
      <c r="AA318" s="1697" t="n">
        <v>-423.174</v>
      </c>
      <c r="AB318" s="1446">
        <f>AC318-SUM(Y318,Z318,AA318)</f>
        <v/>
      </c>
      <c r="AC318" s="1696" t="n">
        <v>-593.748</v>
      </c>
      <c r="AD318" s="1697" t="n">
        <v>-129.248</v>
      </c>
      <c r="AE318" s="1697" t="n">
        <v>-323.021</v>
      </c>
      <c r="AF318" s="1697" t="n">
        <v>-359.807</v>
      </c>
      <c r="AG318" s="1697" t="n">
        <v>-51.372</v>
      </c>
      <c r="AH318" s="1537">
        <f>SUM(AD318,AE318,AF318,AG318)</f>
        <v/>
      </c>
      <c r="AI318" s="1446">
        <f>AI295</f>
        <v/>
      </c>
      <c r="AJ318" s="1446">
        <f>AJ295</f>
        <v/>
      </c>
      <c r="AK318" s="1675" t="n">
        <v>-110.124</v>
      </c>
      <c r="AL318" s="1536" t="n"/>
      <c r="AM318" s="1535" t="n"/>
      <c r="AN318" s="1536" t="n"/>
      <c r="AO318" s="1536" t="n"/>
      <c r="AP318" s="1536" t="n"/>
      <c r="AQ318" s="1536" t="n"/>
      <c r="AR318" s="1535" t="n"/>
      <c r="AS318" s="1535" t="n"/>
      <c r="AT318" s="1535" t="n"/>
      <c r="AU318" s="1535" t="n"/>
      <c r="AV318" s="1446" t="n"/>
    </row>
    <row r="319" hidden="1" outlineLevel="1" ht="14.4" customFormat="1" customHeight="1" s="1438">
      <c r="A319" s="1539" t="inlineStr">
        <is>
          <t>Loss on fair value adjustments</t>
        </is>
      </c>
      <c r="B319" s="1695" t="n"/>
      <c r="C319" s="1529" t="n"/>
      <c r="D319" s="1529" t="n"/>
      <c r="E319" s="1529" t="n"/>
      <c r="F319" s="1529" t="n"/>
      <c r="G319" s="1529" t="n"/>
      <c r="H319" s="1529" t="n"/>
      <c r="I319" s="1529" t="n"/>
      <c r="J319" s="1529" t="n"/>
      <c r="K319" s="1529" t="n"/>
      <c r="L319" s="1529" t="n"/>
      <c r="M319" s="1529" t="n"/>
      <c r="N319" s="1529" t="n"/>
      <c r="O319" s="1420" t="n"/>
      <c r="P319" s="1420" t="n"/>
      <c r="Q319" s="1420" t="n"/>
      <c r="R319" s="1420" t="n"/>
      <c r="S319" s="1529" t="n"/>
      <c r="T319" s="1420" t="n"/>
      <c r="U319" s="1420" t="n"/>
      <c r="V319" s="1420" t="n"/>
      <c r="W319" s="1420" t="n"/>
      <c r="X319" s="1593" t="n">
        <v>2.884</v>
      </c>
      <c r="Y319" s="1420" t="n"/>
      <c r="Z319" s="1420" t="n"/>
      <c r="AA319" s="1594" t="n">
        <v>390.485</v>
      </c>
      <c r="AB319" s="1422">
        <f>AC319-SUM(Y319,Z319,AA319)</f>
        <v/>
      </c>
      <c r="AC319" s="1593" t="n">
        <v>533.952</v>
      </c>
      <c r="AD319" s="1594" t="n">
        <v>97.5</v>
      </c>
      <c r="AE319" s="1594" t="n">
        <v>310.231</v>
      </c>
      <c r="AF319" s="1594" t="n">
        <v>341.133</v>
      </c>
      <c r="AG319" s="1594" t="n">
        <v>7.065</v>
      </c>
      <c r="AH319" s="1540">
        <f>SUM(AD319,AE319,AF319,AG319)</f>
        <v/>
      </c>
      <c r="AI319" s="1594" t="n">
        <v>-26.837</v>
      </c>
      <c r="AJ319" s="1594" t="n">
        <v>0</v>
      </c>
      <c r="AK319" s="1421" t="n"/>
      <c r="AL319" s="1536" t="n"/>
      <c r="AM319" s="1535" t="n"/>
      <c r="AN319" s="1536" t="n"/>
      <c r="AO319" s="1536" t="n"/>
      <c r="AP319" s="1536" t="n"/>
      <c r="AQ319" s="1536" t="n"/>
      <c r="AR319" s="1535" t="n"/>
      <c r="AS319" s="1535" t="n"/>
      <c r="AT319" s="1535" t="n"/>
      <c r="AU319" s="1535" t="n"/>
      <c r="AV319" s="1446" t="n"/>
    </row>
    <row r="320" hidden="1" outlineLevel="1" ht="14.4" customFormat="1" customHeight="1" s="1438">
      <c r="A320" s="1539" t="inlineStr">
        <is>
          <t>Stock-based compensation</t>
        </is>
      </c>
      <c r="B320" s="1695" t="n"/>
      <c r="C320" s="1529" t="n"/>
      <c r="D320" s="1529" t="n"/>
      <c r="E320" s="1529" t="n"/>
      <c r="F320" s="1529" t="n"/>
      <c r="G320" s="1529" t="n"/>
      <c r="H320" s="1529" t="n"/>
      <c r="I320" s="1529" t="n"/>
      <c r="J320" s="1529" t="n"/>
      <c r="K320" s="1529" t="n"/>
      <c r="L320" s="1529" t="n"/>
      <c r="M320" s="1529" t="n"/>
      <c r="N320" s="1529" t="n"/>
      <c r="O320" s="1420" t="n"/>
      <c r="P320" s="1420" t="n"/>
      <c r="Q320" s="1420" t="n"/>
      <c r="R320" s="1420" t="n"/>
      <c r="S320" s="1529" t="n"/>
      <c r="T320" s="1420" t="n"/>
      <c r="U320" s="1420" t="n"/>
      <c r="V320" s="1420" t="n"/>
      <c r="W320" s="1420" t="n"/>
      <c r="X320" s="1593" t="n">
        <v>1.49</v>
      </c>
      <c r="Y320" s="1420" t="n"/>
      <c r="Z320" s="1420" t="n"/>
      <c r="AA320" s="1594" t="n">
        <v>7.058</v>
      </c>
      <c r="AB320" s="1422">
        <f>AC320-SUM(Y320,Z320,AA320)</f>
        <v/>
      </c>
      <c r="AC320" s="1593" t="n">
        <v>15.154</v>
      </c>
      <c r="AD320" s="1594" t="n">
        <v>8.189</v>
      </c>
      <c r="AE320" s="1594" t="n">
        <v>7.66</v>
      </c>
      <c r="AF320" s="1594" t="n">
        <v>7.617</v>
      </c>
      <c r="AG320" s="1594" t="n">
        <v>8.021000000000001</v>
      </c>
      <c r="AH320" s="1540">
        <f>SUM(AD320,AE320,AF320,AG320)</f>
        <v/>
      </c>
      <c r="AI320" s="1594" t="n">
        <v>183.974</v>
      </c>
      <c r="AJ320" s="1594" t="n">
        <v>145.005</v>
      </c>
      <c r="AK320" s="1595" t="n">
        <v>144.431</v>
      </c>
      <c r="AL320" s="1536" t="n"/>
      <c r="AM320" s="1535" t="n"/>
      <c r="AN320" s="1536" t="n"/>
      <c r="AO320" s="1536" t="n"/>
      <c r="AP320" s="1536" t="n"/>
      <c r="AQ320" s="1536" t="n"/>
      <c r="AR320" s="1535" t="n"/>
      <c r="AS320" s="1535" t="n"/>
      <c r="AT320" s="1535" t="n"/>
      <c r="AU320" s="1535" t="n"/>
      <c r="AV320" s="1446" t="n"/>
    </row>
    <row r="321" hidden="1" outlineLevel="1" ht="14.4" customFormat="1" customHeight="1" s="1438">
      <c r="A321" s="1539" t="inlineStr">
        <is>
          <t>Acquisition related costs</t>
        </is>
      </c>
      <c r="B321" s="1695" t="n"/>
      <c r="C321" s="1529" t="n"/>
      <c r="D321" s="1529" t="n"/>
      <c r="E321" s="1529" t="n"/>
      <c r="F321" s="1529" t="n"/>
      <c r="G321" s="1529" t="n"/>
      <c r="H321" s="1529" t="n"/>
      <c r="I321" s="1529" t="n"/>
      <c r="J321" s="1529" t="n"/>
      <c r="K321" s="1529" t="n"/>
      <c r="L321" s="1529" t="n"/>
      <c r="M321" s="1529" t="n"/>
      <c r="N321" s="1529" t="n"/>
      <c r="O321" s="1420" t="n"/>
      <c r="P321" s="1420" t="n"/>
      <c r="Q321" s="1420" t="n"/>
      <c r="R321" s="1420" t="n"/>
      <c r="S321" s="1529" t="n"/>
      <c r="T321" s="1420" t="n"/>
      <c r="U321" s="1420" t="n"/>
      <c r="V321" s="1420" t="n"/>
      <c r="W321" s="1420" t="n"/>
      <c r="X321" s="1529" t="n"/>
      <c r="Y321" s="1420" t="n"/>
      <c r="Z321" s="1420" t="n"/>
      <c r="AA321" s="1420" t="n"/>
      <c r="AB321" s="1420" t="n"/>
      <c r="AC321" s="1529" t="n"/>
      <c r="AD321" s="1420" t="n"/>
      <c r="AE321" s="1420" t="n"/>
      <c r="AF321" s="1420" t="n"/>
      <c r="AG321" s="1420" t="n"/>
      <c r="AH321" s="1529" t="n"/>
      <c r="AI321" s="1594" t="n">
        <v>6.13</v>
      </c>
      <c r="AJ321" s="1594" t="n">
        <v>29.474</v>
      </c>
      <c r="AK321" s="1595" t="n">
        <v>11.364</v>
      </c>
      <c r="AL321" s="1536" t="n"/>
      <c r="AM321" s="1535" t="n"/>
      <c r="AN321" s="1536" t="n"/>
      <c r="AO321" s="1536" t="n"/>
      <c r="AP321" s="1536" t="n"/>
      <c r="AQ321" s="1536" t="n"/>
      <c r="AR321" s="1535" t="n"/>
      <c r="AS321" s="1535" t="n"/>
      <c r="AT321" s="1535" t="n"/>
      <c r="AU321" s="1535" t="n"/>
      <c r="AV321" s="1446" t="n"/>
    </row>
    <row r="322" hidden="1" outlineLevel="1" ht="14.4" customFormat="1" customHeight="1" s="1438">
      <c r="A322" s="1539" t="inlineStr">
        <is>
          <t>Amortization of acquired intangibles</t>
        </is>
      </c>
      <c r="B322" s="1695" t="n"/>
      <c r="C322" s="1529" t="n"/>
      <c r="D322" s="1529" t="n"/>
      <c r="E322" s="1529" t="n"/>
      <c r="F322" s="1529" t="n"/>
      <c r="G322" s="1529" t="n"/>
      <c r="H322" s="1529" t="n"/>
      <c r="I322" s="1529" t="n"/>
      <c r="J322" s="1529" t="n"/>
      <c r="K322" s="1529" t="n"/>
      <c r="L322" s="1529" t="n"/>
      <c r="M322" s="1529" t="n"/>
      <c r="N322" s="1529" t="n"/>
      <c r="O322" s="1420" t="n"/>
      <c r="P322" s="1420" t="n"/>
      <c r="Q322" s="1420" t="n"/>
      <c r="R322" s="1420" t="n"/>
      <c r="S322" s="1529" t="n"/>
      <c r="T322" s="1420" t="n"/>
      <c r="U322" s="1420" t="n"/>
      <c r="V322" s="1420" t="n"/>
      <c r="W322" s="1420" t="n"/>
      <c r="X322" s="1529" t="n"/>
      <c r="Y322" s="1420" t="n"/>
      <c r="Z322" s="1420" t="n"/>
      <c r="AA322" s="1420" t="n"/>
      <c r="AB322" s="1420" t="n"/>
      <c r="AC322" s="1529" t="n"/>
      <c r="AD322" s="1420" t="n"/>
      <c r="AE322" s="1420" t="n"/>
      <c r="AF322" s="1420" t="n"/>
      <c r="AG322" s="1420" t="n"/>
      <c r="AH322" s="1529" t="n"/>
      <c r="AI322" s="1420" t="n"/>
      <c r="AJ322" s="1594" t="n">
        <v>6.1</v>
      </c>
      <c r="AK322" s="1595" t="n">
        <v>9.509</v>
      </c>
      <c r="AL322" s="1536" t="n"/>
      <c r="AM322" s="1535" t="n"/>
      <c r="AN322" s="1536" t="n"/>
      <c r="AO322" s="1536" t="n"/>
      <c r="AP322" s="1536" t="n"/>
      <c r="AQ322" s="1536" t="n"/>
      <c r="AR322" s="1535" t="n"/>
      <c r="AS322" s="1535" t="n"/>
      <c r="AT322" s="1535" t="n"/>
      <c r="AU322" s="1535" t="n"/>
      <c r="AV322" s="1446" t="n"/>
    </row>
    <row r="323" hidden="1" outlineLevel="1" ht="14.4" customFormat="1" customHeight="1" s="1438">
      <c r="A323" s="1539" t="inlineStr">
        <is>
          <t>Loss on extinguishment of debt</t>
        </is>
      </c>
      <c r="B323" s="1695" t="n"/>
      <c r="C323" s="1529" t="n"/>
      <c r="D323" s="1529" t="n"/>
      <c r="E323" s="1529" t="n"/>
      <c r="F323" s="1529" t="n"/>
      <c r="G323" s="1529" t="n"/>
      <c r="H323" s="1529" t="n"/>
      <c r="I323" s="1529" t="n"/>
      <c r="J323" s="1529" t="n"/>
      <c r="K323" s="1529" t="n"/>
      <c r="L323" s="1529" t="n"/>
      <c r="M323" s="1529" t="n"/>
      <c r="N323" s="1529" t="n"/>
      <c r="O323" s="1420" t="n"/>
      <c r="P323" s="1420" t="n"/>
      <c r="Q323" s="1420" t="n"/>
      <c r="R323" s="1420" t="n"/>
      <c r="S323" s="1529" t="n"/>
      <c r="T323" s="1420" t="n"/>
      <c r="U323" s="1420" t="n"/>
      <c r="V323" s="1420" t="n"/>
      <c r="W323" s="1420" t="n"/>
      <c r="X323" s="1529" t="n"/>
      <c r="Y323" s="1420" t="n"/>
      <c r="Z323" s="1420" t="n"/>
      <c r="AA323" s="1420" t="n"/>
      <c r="AB323" s="1420" t="n"/>
      <c r="AC323" s="1529" t="n"/>
      <c r="AD323" s="1420" t="n"/>
      <c r="AE323" s="1420" t="n"/>
      <c r="AF323" s="1420" t="n"/>
      <c r="AG323" s="1420" t="n"/>
      <c r="AH323" s="1529" t="n"/>
      <c r="AI323" s="1420" t="n"/>
      <c r="AJ323" s="1594" t="n">
        <v>8.487</v>
      </c>
      <c r="AK323" s="1595" t="n">
        <v>14.486</v>
      </c>
      <c r="AL323" s="1536" t="n"/>
      <c r="AM323" s="1535" t="n"/>
      <c r="AN323" s="1536" t="n"/>
      <c r="AO323" s="1536" t="n"/>
      <c r="AP323" s="1536" t="n"/>
      <c r="AQ323" s="1536" t="n"/>
      <c r="AR323" s="1535" t="n"/>
      <c r="AS323" s="1535" t="n"/>
      <c r="AT323" s="1535" t="n"/>
      <c r="AU323" s="1535" t="n"/>
      <c r="AV323" s="1446" t="n"/>
    </row>
    <row r="324" hidden="1" outlineLevel="1" ht="14.4" customFormat="1" customHeight="1" s="1438">
      <c r="A324" s="1539" t="inlineStr">
        <is>
          <t>Other adjustments</t>
        </is>
      </c>
      <c r="B324" s="1695" t="n"/>
      <c r="C324" s="1529" t="n"/>
      <c r="D324" s="1529" t="n"/>
      <c r="E324" s="1529" t="n"/>
      <c r="F324" s="1529" t="n"/>
      <c r="G324" s="1529" t="n"/>
      <c r="H324" s="1529" t="n"/>
      <c r="I324" s="1529" t="n"/>
      <c r="J324" s="1529" t="n"/>
      <c r="K324" s="1529" t="n"/>
      <c r="L324" s="1529" t="n"/>
      <c r="M324" s="1529" t="n"/>
      <c r="N324" s="1529" t="n"/>
      <c r="O324" s="1420" t="n"/>
      <c r="P324" s="1420" t="n"/>
      <c r="Q324" s="1420" t="n"/>
      <c r="R324" s="1420" t="n"/>
      <c r="S324" s="1529" t="n"/>
      <c r="T324" s="1420" t="n"/>
      <c r="U324" s="1420" t="n"/>
      <c r="V324" s="1420" t="n"/>
      <c r="W324" s="1420" t="n"/>
      <c r="X324" s="1593" t="n">
        <v>0</v>
      </c>
      <c r="Y324" s="1420" t="n"/>
      <c r="Z324" s="1420" t="n"/>
      <c r="AA324" s="1594" t="n">
        <v>0</v>
      </c>
      <c r="AB324" s="1422">
        <f>AC324-SUM(Y324,Z324,AA324)</f>
        <v/>
      </c>
      <c r="AC324" s="1593" t="n">
        <v>0</v>
      </c>
      <c r="AD324" s="1594" t="n">
        <v>0</v>
      </c>
      <c r="AE324" s="1594" t="n">
        <v>0</v>
      </c>
      <c r="AF324" s="1594" t="n">
        <v>11.124</v>
      </c>
      <c r="AG324" s="1594" t="n">
        <v>0</v>
      </c>
      <c r="AH324" s="1540">
        <f>SUM(AD324,AE324,AF324,AG324)</f>
        <v/>
      </c>
      <c r="AI324" s="1594" t="n">
        <v>1.819</v>
      </c>
      <c r="AJ324" s="1594" t="n">
        <v>-10.69</v>
      </c>
      <c r="AK324" s="1595" t="n">
        <v>-12.094</v>
      </c>
      <c r="AL324" s="1536" t="n"/>
      <c r="AM324" s="1535" t="n"/>
      <c r="AN324" s="1536" t="n"/>
      <c r="AO324" s="1536" t="n"/>
      <c r="AP324" s="1536" t="n"/>
      <c r="AQ324" s="1536" t="n"/>
      <c r="AR324" s="1535" t="n"/>
      <c r="AS324" s="1535" t="n"/>
      <c r="AT324" s="1535" t="n"/>
      <c r="AU324" s="1535" t="n"/>
      <c r="AV324" s="1446" t="n"/>
    </row>
    <row r="325" hidden="1" outlineLevel="1" ht="14.4" customFormat="1" customHeight="1" s="1438">
      <c r="A325" s="1539" t="inlineStr">
        <is>
          <t>Income tax effect related to the above adjustments</t>
        </is>
      </c>
      <c r="B325" s="1695" t="n"/>
      <c r="C325" s="1529" t="n"/>
      <c r="D325" s="1529" t="n"/>
      <c r="E325" s="1529" t="n"/>
      <c r="F325" s="1529" t="n"/>
      <c r="G325" s="1529" t="n"/>
      <c r="H325" s="1529" t="n"/>
      <c r="I325" s="1529" t="n"/>
      <c r="J325" s="1529" t="n"/>
      <c r="K325" s="1529" t="n"/>
      <c r="L325" s="1529" t="n"/>
      <c r="M325" s="1529" t="n"/>
      <c r="N325" s="1529" t="n"/>
      <c r="O325" s="1420" t="n"/>
      <c r="P325" s="1420" t="n"/>
      <c r="Q325" s="1420" t="n"/>
      <c r="R325" s="1420" t="n"/>
      <c r="S325" s="1529" t="n"/>
      <c r="T325" s="1420" t="n"/>
      <c r="U325" s="1420" t="n"/>
      <c r="V325" s="1420" t="n"/>
      <c r="W325" s="1420" t="n"/>
      <c r="X325" s="1529" t="n"/>
      <c r="Y325" s="1420" t="n"/>
      <c r="Z325" s="1420" t="n"/>
      <c r="AA325" s="1420" t="n"/>
      <c r="AB325" s="1420" t="n"/>
      <c r="AC325" s="1529" t="n"/>
      <c r="AD325" s="1420" t="n"/>
      <c r="AE325" s="1420" t="n"/>
      <c r="AF325" s="1420" t="n"/>
      <c r="AG325" s="1420" t="n"/>
      <c r="AH325" s="1529" t="n"/>
      <c r="AI325" s="1420" t="n"/>
      <c r="AJ325" s="1594" t="n">
        <v>-18.673</v>
      </c>
      <c r="AK325" s="1595" t="n">
        <v>-98.542</v>
      </c>
      <c r="AL325" s="1536" t="n"/>
      <c r="AM325" s="1535" t="n"/>
      <c r="AN325" s="1536" t="n"/>
      <c r="AO325" s="1536" t="n"/>
      <c r="AP325" s="1536" t="n"/>
      <c r="AQ325" s="1536" t="n"/>
      <c r="AR325" s="1535" t="n"/>
      <c r="AS325" s="1535" t="n"/>
      <c r="AT325" s="1535" t="n"/>
      <c r="AU325" s="1535" t="n"/>
      <c r="AV325" s="1446" t="n"/>
    </row>
    <row r="326" hidden="1" outlineLevel="1" ht="14.4" customFormat="1" customHeight="1" s="1438">
      <c r="A326" s="1542" t="inlineStr">
        <is>
          <t>Adjusted net income (loss)</t>
        </is>
      </c>
      <c r="B326" s="1699" t="n"/>
      <c r="C326" s="1544" t="n"/>
      <c r="D326" s="1544" t="n"/>
      <c r="E326" s="1544" t="n"/>
      <c r="F326" s="1544" t="n"/>
      <c r="G326" s="1544" t="n"/>
      <c r="H326" s="1544" t="n"/>
      <c r="I326" s="1544" t="n"/>
      <c r="J326" s="1544" t="n"/>
      <c r="K326" s="1544" t="n"/>
      <c r="L326" s="1544" t="n"/>
      <c r="M326" s="1544" t="n"/>
      <c r="N326" s="1544" t="n"/>
      <c r="O326" s="1545" t="n"/>
      <c r="P326" s="1545" t="n"/>
      <c r="Q326" s="1545" t="n"/>
      <c r="R326" s="1545" t="n"/>
      <c r="S326" s="1544" t="n"/>
      <c r="T326" s="1545" t="n"/>
      <c r="U326" s="1545" t="n"/>
      <c r="V326" s="1545" t="n"/>
      <c r="W326" s="1545" t="n"/>
      <c r="X326" s="1546">
        <f>SUM(X318:X325)</f>
        <v/>
      </c>
      <c r="Y326" s="1545" t="n"/>
      <c r="Z326" s="1545" t="n"/>
      <c r="AA326" s="1547">
        <f>SUM(AA318:AA325)</f>
        <v/>
      </c>
      <c r="AB326" s="1547">
        <f>SUM(AB318:AB325)</f>
        <v/>
      </c>
      <c r="AC326" s="1546">
        <f>SUM(AC318:AC325)</f>
        <v/>
      </c>
      <c r="AD326" s="1547">
        <f>SUM(AD318:AD325)</f>
        <v/>
      </c>
      <c r="AE326" s="1547">
        <f>SUM(AE318:AE325)</f>
        <v/>
      </c>
      <c r="AF326" s="1547">
        <f>SUM(AF318:AF325)</f>
        <v/>
      </c>
      <c r="AG326" s="1547">
        <f>SUM(AG318:AG325)</f>
        <v/>
      </c>
      <c r="AH326" s="1546">
        <f>SUM(AH318:AH325)</f>
        <v/>
      </c>
      <c r="AI326" s="1547">
        <f>SUM(AI318:AI325)</f>
        <v/>
      </c>
      <c r="AJ326" s="1547">
        <f>SUM(AJ318:AJ325)</f>
        <v/>
      </c>
      <c r="AK326" s="1548">
        <f>SUM(AK318:AK325)</f>
        <v/>
      </c>
      <c r="AL326" s="1545" t="n"/>
      <c r="AM326" s="1544" t="n"/>
      <c r="AN326" s="1545" t="n"/>
      <c r="AO326" s="1545" t="n"/>
      <c r="AP326" s="1545" t="n"/>
      <c r="AQ326" s="1545" t="n"/>
      <c r="AR326" s="1544" t="n"/>
      <c r="AS326" s="1544" t="n"/>
      <c r="AT326" s="1544" t="n"/>
      <c r="AU326" s="1544" t="n"/>
      <c r="AV326" s="1446" t="n"/>
    </row>
    <row r="327" hidden="1" outlineLevel="1" ht="14.4" customFormat="1" customHeight="1" s="1438">
      <c r="A327" s="1513" t="n"/>
      <c r="B327" s="1695" t="n"/>
      <c r="C327" s="1535" t="n"/>
      <c r="D327" s="1535" t="n"/>
      <c r="E327" s="1535" t="n"/>
      <c r="F327" s="1535" t="n"/>
      <c r="G327" s="1535" t="n"/>
      <c r="H327" s="1535" t="n"/>
      <c r="I327" s="1535" t="n"/>
      <c r="J327" s="1535" t="n"/>
      <c r="K327" s="1535" t="n"/>
      <c r="L327" s="1535" t="n"/>
      <c r="M327" s="1535" t="n"/>
      <c r="N327" s="1535" t="n"/>
      <c r="O327" s="1536" t="n"/>
      <c r="P327" s="1536" t="n"/>
      <c r="Q327" s="1536" t="n"/>
      <c r="R327" s="1536" t="n"/>
      <c r="S327" s="1535" t="n"/>
      <c r="T327" s="1536" t="n"/>
      <c r="U327" s="1536" t="n"/>
      <c r="V327" s="1536" t="n"/>
      <c r="W327" s="1536" t="n"/>
      <c r="X327" s="1535" t="n"/>
      <c r="Y327" s="1536" t="n"/>
      <c r="Z327" s="1536" t="n"/>
      <c r="AA327" s="1536" t="n"/>
      <c r="AB327" s="1536" t="n"/>
      <c r="AC327" s="1535" t="n"/>
      <c r="AD327" s="1536" t="n"/>
      <c r="AE327" s="1536" t="n"/>
      <c r="AF327" s="1536" t="n"/>
      <c r="AG327" s="1536" t="n"/>
      <c r="AH327" s="1535" t="n"/>
      <c r="AI327" s="1536" t="n"/>
      <c r="AJ327" s="1536" t="n"/>
      <c r="AK327" s="1674" t="n"/>
      <c r="AL327" s="1536" t="n"/>
      <c r="AM327" s="1535" t="n"/>
      <c r="AN327" s="1536" t="n"/>
      <c r="AO327" s="1536" t="n"/>
      <c r="AP327" s="1536" t="n"/>
      <c r="AQ327" s="1536" t="n"/>
      <c r="AR327" s="1535" t="n"/>
      <c r="AS327" s="1535" t="n"/>
      <c r="AT327" s="1535" t="n"/>
      <c r="AU327" s="1535" t="n"/>
      <c r="AV327" s="1446" t="n"/>
    </row>
    <row r="328" hidden="1" outlineLevel="1" ht="14.4" customFormat="1" customHeight="1" s="1438">
      <c r="A328" s="1513" t="inlineStr">
        <is>
          <t>Net loss attributable to common stockholders, basic</t>
        </is>
      </c>
      <c r="B328" s="1695" t="n"/>
      <c r="C328" s="1535" t="n"/>
      <c r="D328" s="1535" t="n"/>
      <c r="E328" s="1535" t="n"/>
      <c r="F328" s="1535" t="n"/>
      <c r="G328" s="1535" t="n"/>
      <c r="H328" s="1535" t="n"/>
      <c r="I328" s="1535" t="n"/>
      <c r="J328" s="1535" t="n"/>
      <c r="K328" s="1535" t="n"/>
      <c r="L328" s="1535" t="n"/>
      <c r="M328" s="1535" t="n"/>
      <c r="N328" s="1535" t="n"/>
      <c r="O328" s="1536" t="n"/>
      <c r="P328" s="1536" t="n"/>
      <c r="Q328" s="1536" t="n"/>
      <c r="R328" s="1536" t="n"/>
      <c r="S328" s="1535" t="n"/>
      <c r="T328" s="1536" t="n"/>
      <c r="U328" s="1536" t="n"/>
      <c r="V328" s="1536" t="n"/>
      <c r="W328" s="1536" t="n"/>
      <c r="X328" s="1535" t="n"/>
      <c r="Y328" s="1536" t="n"/>
      <c r="Z328" s="1536" t="n"/>
      <c r="AA328" s="1536" t="n"/>
      <c r="AB328" s="1536" t="n"/>
      <c r="AC328" s="1535" t="n"/>
      <c r="AD328" s="1536">
        <f>AD297</f>
        <v/>
      </c>
      <c r="AE328" s="1536">
        <f>AE297</f>
        <v/>
      </c>
      <c r="AF328" s="1536">
        <f>AF297</f>
        <v/>
      </c>
      <c r="AG328" s="1536">
        <f>AG297</f>
        <v/>
      </c>
      <c r="AH328" s="1535">
        <f>AH297</f>
        <v/>
      </c>
      <c r="AI328" s="1536">
        <f>AI297</f>
        <v/>
      </c>
      <c r="AJ328" s="1536">
        <f>AJ297</f>
        <v/>
      </c>
      <c r="AK328" s="1674">
        <f>AK297</f>
        <v/>
      </c>
      <c r="AL328" s="1536" t="n"/>
      <c r="AM328" s="1535" t="n"/>
      <c r="AN328" s="1536" t="n"/>
      <c r="AO328" s="1536" t="n"/>
      <c r="AP328" s="1536" t="n"/>
      <c r="AQ328" s="1536" t="n"/>
      <c r="AR328" s="1535" t="n"/>
      <c r="AS328" s="1535" t="n"/>
      <c r="AT328" s="1535" t="n"/>
      <c r="AU328" s="1535" t="n"/>
      <c r="AV328" s="1446" t="n"/>
    </row>
    <row r="329" hidden="1" outlineLevel="1" ht="14.4" customFormat="1" customHeight="1" s="1418">
      <c r="A329" s="1467" t="inlineStr">
        <is>
          <t>Dilutive effect</t>
        </is>
      </c>
      <c r="B329" s="1698" t="n"/>
      <c r="C329" s="1529" t="n"/>
      <c r="D329" s="1529" t="n"/>
      <c r="E329" s="1529" t="n"/>
      <c r="F329" s="1529" t="n"/>
      <c r="G329" s="1529" t="n"/>
      <c r="H329" s="1529" t="n"/>
      <c r="I329" s="1529" t="n"/>
      <c r="J329" s="1529" t="n"/>
      <c r="K329" s="1529" t="n"/>
      <c r="L329" s="1529" t="n"/>
      <c r="M329" s="1529" t="n"/>
      <c r="N329" s="1529" t="n"/>
      <c r="O329" s="1420" t="n"/>
      <c r="P329" s="1420" t="n"/>
      <c r="Q329" s="1420" t="n"/>
      <c r="R329" s="1420" t="n"/>
      <c r="S329" s="1529" t="n"/>
      <c r="T329" s="1420" t="n"/>
      <c r="U329" s="1420" t="n"/>
      <c r="V329" s="1420" t="n"/>
      <c r="W329" s="1420" t="n"/>
      <c r="X329" s="1529" t="n"/>
      <c r="Y329" s="1420" t="n"/>
      <c r="Z329" s="1420" t="n"/>
      <c r="AA329" s="1420" t="n"/>
      <c r="AB329" s="1420" t="n"/>
      <c r="AC329" s="1529" t="n"/>
      <c r="AD329" s="1594" t="n">
        <v>0</v>
      </c>
      <c r="AE329" s="1420" t="n"/>
      <c r="AF329" s="1420" t="n"/>
      <c r="AG329" s="1420" t="n"/>
      <c r="AH329" s="1529" t="n"/>
      <c r="AI329" s="1594" t="n">
        <v>-26.845</v>
      </c>
      <c r="AJ329" s="1594" t="n">
        <v>0</v>
      </c>
      <c r="AK329" s="1421" t="n"/>
      <c r="AL329" s="1420" t="n"/>
      <c r="AM329" s="1529" t="n"/>
      <c r="AN329" s="1420" t="n"/>
      <c r="AO329" s="1420" t="n"/>
      <c r="AP329" s="1420" t="n"/>
      <c r="AQ329" s="1420" t="n"/>
      <c r="AR329" s="1529" t="n"/>
      <c r="AS329" s="1529" t="n"/>
      <c r="AT329" s="1529" t="n"/>
      <c r="AU329" s="1529" t="n"/>
      <c r="AV329" s="1422" t="n"/>
    </row>
    <row r="330" hidden="1" outlineLevel="1" ht="14.4" customFormat="1" customHeight="1" s="1438">
      <c r="A330" s="1568" t="inlineStr">
        <is>
          <t>Net loss attributable to common stockholders, diluted</t>
        </is>
      </c>
      <c r="B330" s="1699" t="n"/>
      <c r="C330" s="1544" t="n"/>
      <c r="D330" s="1544" t="n"/>
      <c r="E330" s="1544" t="n"/>
      <c r="F330" s="1544" t="n"/>
      <c r="G330" s="1544" t="n"/>
      <c r="H330" s="1544" t="n"/>
      <c r="I330" s="1544" t="n"/>
      <c r="J330" s="1544" t="n"/>
      <c r="K330" s="1544" t="n"/>
      <c r="L330" s="1544" t="n"/>
      <c r="M330" s="1544" t="n"/>
      <c r="N330" s="1544" t="n"/>
      <c r="O330" s="1545" t="n"/>
      <c r="P330" s="1545" t="n"/>
      <c r="Q330" s="1545" t="n"/>
      <c r="R330" s="1545" t="n"/>
      <c r="S330" s="1544" t="n"/>
      <c r="T330" s="1545" t="n"/>
      <c r="U330" s="1545" t="n"/>
      <c r="V330" s="1545" t="n"/>
      <c r="W330" s="1545" t="n"/>
      <c r="X330" s="1544" t="n"/>
      <c r="Y330" s="1545" t="n"/>
      <c r="Z330" s="1545" t="n"/>
      <c r="AA330" s="1545" t="n"/>
      <c r="AB330" s="1545" t="n"/>
      <c r="AC330" s="1544" t="n"/>
      <c r="AD330" s="1545">
        <f>SUM(AD328:AD329)</f>
        <v/>
      </c>
      <c r="AE330" s="1545">
        <f>SUM(AE328:AE329)</f>
        <v/>
      </c>
      <c r="AF330" s="1545">
        <f>SUM(AF328:AF329)</f>
        <v/>
      </c>
      <c r="AG330" s="1545">
        <f>SUM(AG328:AG329)</f>
        <v/>
      </c>
      <c r="AH330" s="1544">
        <f>SUM(AH328:AH329)</f>
        <v/>
      </c>
      <c r="AI330" s="1545">
        <f>SUM(AI328:AI329)</f>
        <v/>
      </c>
      <c r="AJ330" s="1545">
        <f>SUM(AJ328:AJ329)</f>
        <v/>
      </c>
      <c r="AK330" s="1596">
        <f>SUM(AK328:AK329)</f>
        <v/>
      </c>
      <c r="AL330" s="1545" t="n"/>
      <c r="AM330" s="1544" t="n"/>
      <c r="AN330" s="1545" t="n"/>
      <c r="AO330" s="1545" t="n"/>
      <c r="AP330" s="1545" t="n"/>
      <c r="AQ330" s="1545" t="n"/>
      <c r="AR330" s="1544" t="n"/>
      <c r="AS330" s="1544" t="n"/>
      <c r="AT330" s="1544" t="n"/>
      <c r="AU330" s="1544" t="n"/>
      <c r="AV330" s="1446" t="n"/>
    </row>
    <row r="331" collapsed="1" ht="14.4" customFormat="1" customHeight="1" s="1438">
      <c r="A331" s="1513" t="n"/>
      <c r="B331" s="1695" t="n"/>
      <c r="C331" s="1535" t="n"/>
      <c r="D331" s="1535" t="n"/>
      <c r="E331" s="1535" t="n"/>
      <c r="F331" s="1535" t="n"/>
      <c r="G331" s="1535" t="n"/>
      <c r="H331" s="1535" t="n"/>
      <c r="I331" s="1535" t="n"/>
      <c r="J331" s="1535" t="n"/>
      <c r="K331" s="1535" t="n"/>
      <c r="L331" s="1535" t="n"/>
      <c r="M331" s="1535" t="n"/>
      <c r="N331" s="1535" t="n"/>
      <c r="O331" s="1536" t="n"/>
      <c r="P331" s="1536" t="n"/>
      <c r="Q331" s="1536" t="n"/>
      <c r="R331" s="1536" t="n"/>
      <c r="S331" s="1535" t="n"/>
      <c r="T331" s="1536" t="n"/>
      <c r="U331" s="1536" t="n"/>
      <c r="V331" s="1536" t="n"/>
      <c r="W331" s="1536" t="n"/>
      <c r="X331" s="1535" t="n"/>
      <c r="Y331" s="1536" t="n"/>
      <c r="Z331" s="1536" t="n"/>
      <c r="AA331" s="1536" t="n"/>
      <c r="AB331" s="1536" t="n"/>
      <c r="AC331" s="1535" t="n"/>
      <c r="AD331" s="1536" t="n"/>
      <c r="AE331" s="1536" t="n"/>
      <c r="AF331" s="1536" t="n"/>
      <c r="AG331" s="1536" t="n"/>
      <c r="AH331" s="1535" t="n"/>
      <c r="AI331" s="1536" t="n"/>
      <c r="AJ331" s="1536" t="n"/>
      <c r="AK331" s="1674" t="n"/>
      <c r="AL331" s="1536" t="n"/>
      <c r="AM331" s="1535" t="n"/>
      <c r="AN331" s="1536" t="n"/>
      <c r="AO331" s="1536" t="n"/>
      <c r="AP331" s="1536" t="n"/>
      <c r="AQ331" s="1536" t="n"/>
      <c r="AR331" s="1535" t="n"/>
      <c r="AS331" s="1535" t="n"/>
      <c r="AT331" s="1535" t="n"/>
      <c r="AU331" s="1535" t="n"/>
      <c r="AV331" s="1446" t="n"/>
    </row>
    <row r="332" ht="14.4" customFormat="1" customHeight="1" s="1418">
      <c r="A332" s="1530" t="inlineStr">
        <is>
          <t>Revised Income Statement</t>
        </is>
      </c>
      <c r="B332" s="1531" t="n"/>
      <c r="C332" s="1531" t="n"/>
      <c r="D332" s="1531" t="n"/>
      <c r="E332" s="1531" t="n"/>
      <c r="F332" s="1531" t="n"/>
      <c r="G332" s="1531" t="n"/>
      <c r="H332" s="1531" t="n"/>
      <c r="I332" s="1531" t="n"/>
      <c r="J332" s="1531" t="n"/>
      <c r="K332" s="1531" t="n"/>
      <c r="L332" s="1531" t="n"/>
      <c r="M332" s="1531" t="n"/>
      <c r="N332" s="1531" t="n"/>
      <c r="O332" s="1531" t="n"/>
      <c r="P332" s="1531" t="n"/>
      <c r="Q332" s="1531" t="n"/>
      <c r="R332" s="1531" t="n"/>
      <c r="S332" s="1531" t="n"/>
      <c r="T332" s="1531" t="n"/>
      <c r="U332" s="1531" t="n"/>
      <c r="V332" s="1531" t="n"/>
      <c r="W332" s="1531" t="n"/>
      <c r="X332" s="1531" t="n"/>
      <c r="Y332" s="1531" t="n"/>
      <c r="Z332" s="1531" t="n"/>
      <c r="AA332" s="1532" t="inlineStr">
        <is>
          <t>9 months</t>
        </is>
      </c>
      <c r="AB332" s="1531" t="n"/>
      <c r="AC332" s="1531" t="n"/>
      <c r="AD332" s="1531" t="n"/>
      <c r="AE332" s="1531" t="n"/>
      <c r="AF332" s="1531" t="n"/>
      <c r="AG332" s="1531" t="n"/>
      <c r="AH332" s="1531" t="n"/>
      <c r="AI332" s="1531" t="n"/>
      <c r="AJ332" s="1531" t="n"/>
      <c r="AK332" s="1533" t="n"/>
      <c r="AL332" s="1531" t="n"/>
      <c r="AM332" s="1531" t="n"/>
      <c r="AN332" s="1531" t="n"/>
      <c r="AO332" s="1531" t="n"/>
      <c r="AP332" s="1531" t="n"/>
      <c r="AQ332" s="1531" t="n"/>
      <c r="AR332" s="1531" t="n"/>
      <c r="AS332" s="1531" t="n"/>
      <c r="AT332" s="1531" t="n"/>
      <c r="AU332" s="1531" t="n"/>
      <c r="AV332" s="1422" t="n"/>
    </row>
    <row r="333" ht="14.4" customFormat="1" customHeight="1" s="1438">
      <c r="A333" s="1439" t="inlineStr">
        <is>
          <t>Net Revenue</t>
        </is>
      </c>
      <c r="B333" s="1695" t="n"/>
      <c r="C333" s="1535" t="n"/>
      <c r="D333" s="1535" t="n"/>
      <c r="E333" s="1535" t="n"/>
      <c r="F333" s="1535" t="n"/>
      <c r="G333" s="1535" t="n"/>
      <c r="H333" s="1535" t="n"/>
      <c r="I333" s="1535" t="n"/>
      <c r="J333" s="1535" t="n"/>
      <c r="K333" s="1535" t="n"/>
      <c r="L333" s="1535" t="n"/>
      <c r="M333" s="1535" t="n"/>
      <c r="N333" s="1535" t="n"/>
      <c r="O333" s="1536" t="n"/>
      <c r="P333" s="1536" t="n"/>
      <c r="Q333" s="1536" t="n"/>
      <c r="R333" s="1536" t="n"/>
      <c r="S333" s="1535" t="n"/>
      <c r="T333" s="1536" t="n"/>
      <c r="U333" s="1536" t="n"/>
      <c r="V333" s="1536" t="n"/>
      <c r="W333" s="1536" t="n"/>
      <c r="X333" s="1537">
        <f>X280</f>
        <v/>
      </c>
      <c r="Y333" s="1536" t="n"/>
      <c r="Z333" s="1536" t="n"/>
      <c r="AA333" s="1446">
        <f>AA280</f>
        <v/>
      </c>
      <c r="AB333" s="1446">
        <f>AB280</f>
        <v/>
      </c>
      <c r="AC333" s="1537">
        <f>AC280</f>
        <v/>
      </c>
      <c r="AD333" s="1446">
        <f>AD280</f>
        <v/>
      </c>
      <c r="AE333" s="1446">
        <f>AE280</f>
        <v/>
      </c>
      <c r="AF333" s="1446">
        <f>AF280</f>
        <v/>
      </c>
      <c r="AG333" s="1446">
        <f>AG280</f>
        <v/>
      </c>
      <c r="AH333" s="1537">
        <f>AH280</f>
        <v/>
      </c>
      <c r="AI333" s="1446">
        <f>AI280</f>
        <v/>
      </c>
      <c r="AJ333" s="1446">
        <f>AJ280</f>
        <v/>
      </c>
      <c r="AK333" s="1538">
        <f>AK280</f>
        <v/>
      </c>
      <c r="AL333" s="1446">
        <f>AL40</f>
        <v/>
      </c>
      <c r="AM333" s="1535">
        <f>SUM(AI333,AJ333,AK333,AL333)</f>
        <v/>
      </c>
      <c r="AN333" s="1446">
        <f>AN40</f>
        <v/>
      </c>
      <c r="AO333" s="1446">
        <f>AO40</f>
        <v/>
      </c>
      <c r="AP333" s="1446">
        <f>AP40</f>
        <v/>
      </c>
      <c r="AQ333" s="1446">
        <f>AQ40</f>
        <v/>
      </c>
      <c r="AR333" s="1535">
        <f>SUM(AN333,AO333,AP333,AQ333)</f>
        <v/>
      </c>
      <c r="AS333" s="1537">
        <f>AS40</f>
        <v/>
      </c>
      <c r="AT333" s="1537">
        <f>AT40</f>
        <v/>
      </c>
      <c r="AU333" s="1537">
        <f>AU40</f>
        <v/>
      </c>
      <c r="AV333" s="1446" t="n"/>
    </row>
    <row r="334" ht="14.4" customFormat="1" customHeight="1" s="1715">
      <c r="A334" s="1716">
        <f>CONCATENATE("Consensus Estimates - ",IFERROR(LEFT(A333,FIND("(",A333)-1),A333))</f>
        <v/>
      </c>
      <c r="B334" s="1717" t="n"/>
      <c r="C334" s="1590" t="n"/>
      <c r="D334" s="1590" t="n"/>
      <c r="E334" s="1590" t="n"/>
      <c r="F334" s="1590" t="n"/>
      <c r="G334" s="1590" t="n"/>
      <c r="H334" s="1590" t="n"/>
      <c r="I334" s="1590" t="n"/>
      <c r="J334" s="1590" t="n"/>
      <c r="K334" s="1590" t="n"/>
      <c r="L334" s="1590" t="n"/>
      <c r="M334" s="1590" t="n"/>
      <c r="N334" s="1590" t="n"/>
      <c r="O334" s="1591" t="n"/>
      <c r="P334" s="1718" t="n"/>
      <c r="Q334" s="1591" t="n"/>
      <c r="R334" s="1591" t="n"/>
      <c r="S334" s="1590" t="n"/>
      <c r="T334" s="1591" t="n"/>
      <c r="U334" s="1718" t="n"/>
      <c r="V334" s="1591" t="n"/>
      <c r="W334" s="1591" t="n"/>
      <c r="X334" s="1590" t="n"/>
      <c r="Y334" s="1591" t="n"/>
      <c r="Z334" s="1718" t="n"/>
      <c r="AA334" s="1591" t="n"/>
      <c r="AB334" s="1591" t="n"/>
      <c r="AC334" s="1590" t="n"/>
      <c r="AD334" s="1591" t="n"/>
      <c r="AE334" s="1718" t="n"/>
      <c r="AF334" s="1591" t="n"/>
      <c r="AG334" s="1591" t="n"/>
      <c r="AH334" s="1590" t="n"/>
      <c r="AI334" s="1591" t="n"/>
      <c r="AJ334" s="1718" t="n"/>
      <c r="AK334" s="1592" t="n"/>
      <c r="AL334" s="1451">
        <f>IFERROR(VLOOKUP($A334,tb_ConsensusEstimate,MATCH(AL$5,OFFSET(tb_ConsensusEstimate,0,0,1,COLUMNS(tb_ConsensusEstimate)),0),FALSE),"-")</f>
        <v/>
      </c>
      <c r="AM334" s="1450">
        <f>IFERROR(VLOOKUP($A334,tb_ConsensusEstimate,MATCH(AM$5,OFFSET(tb_ConsensusEstimate,0,0,1,COLUMNS(tb_ConsensusEstimate)),0),FALSE),"-")</f>
        <v/>
      </c>
      <c r="AN334" s="1451">
        <f>IFERROR(VLOOKUP($A334,tb_ConsensusEstimate,MATCH(AN$5,OFFSET(tb_ConsensusEstimate,0,0,1,COLUMNS(tb_ConsensusEstimate)),0),FALSE),"-")</f>
        <v/>
      </c>
      <c r="AO334" s="1451">
        <f>IFERROR(VLOOKUP($A334,tb_ConsensusEstimate,MATCH(AO$5,OFFSET(tb_ConsensusEstimate,0,0,1,COLUMNS(tb_ConsensusEstimate)),0),FALSE),"-")</f>
        <v/>
      </c>
      <c r="AP334" s="1451">
        <f>IFERROR(VLOOKUP($A334,tb_ConsensusEstimate,MATCH(AP$5,OFFSET(tb_ConsensusEstimate,0,0,1,COLUMNS(tb_ConsensusEstimate)),0),FALSE),"-")</f>
        <v/>
      </c>
      <c r="AQ334" s="1451">
        <f>IFERROR(VLOOKUP($A334,tb_ConsensusEstimate,MATCH(AQ$5,OFFSET(tb_ConsensusEstimate,0,0,1,COLUMNS(tb_ConsensusEstimate)),0),FALSE),"-")</f>
        <v/>
      </c>
      <c r="AR334" s="1450">
        <f>IFERROR(VLOOKUP($A334,tb_ConsensusEstimate,MATCH(AR$5,OFFSET(tb_ConsensusEstimate,0,0,1,COLUMNS(tb_ConsensusEstimate)),0),FALSE),"-")</f>
        <v/>
      </c>
      <c r="AS334" s="1450">
        <f>IFERROR(VLOOKUP($A334,tb_ConsensusEstimate,MATCH(AS$5,OFFSET(tb_ConsensusEstimate,0,0,1,COLUMNS(tb_ConsensusEstimate)),0),FALSE),"-")</f>
        <v/>
      </c>
      <c r="AT334" s="1450">
        <f>IFERROR(VLOOKUP($A334,tb_ConsensusEstimate,MATCH(AT$5,OFFSET(tb_ConsensusEstimate,0,0,1,COLUMNS(tb_ConsensusEstimate)),0),FALSE),"-")</f>
        <v/>
      </c>
      <c r="AU334" s="1450">
        <f>IFERROR(VLOOKUP($A334,tb_ConsensusEstimate,MATCH(AU$5,OFFSET(tb_ConsensusEstimate,0,0,1,COLUMNS(tb_ConsensusEstimate)),0),FALSE),"-")</f>
        <v/>
      </c>
      <c r="AV334" s="1591" t="n"/>
    </row>
    <row r="335" ht="7.5" customFormat="1" customHeight="1" s="1715">
      <c r="A335" s="1716" t="n"/>
      <c r="B335" s="1717" t="n"/>
      <c r="C335" s="1590" t="n"/>
      <c r="D335" s="1590" t="n"/>
      <c r="E335" s="1590" t="n"/>
      <c r="F335" s="1590" t="n"/>
      <c r="G335" s="1590" t="n"/>
      <c r="H335" s="1590" t="n"/>
      <c r="I335" s="1590" t="n"/>
      <c r="J335" s="1590" t="n"/>
      <c r="K335" s="1590" t="n"/>
      <c r="L335" s="1590" t="n"/>
      <c r="M335" s="1590" t="n"/>
      <c r="N335" s="1590" t="n"/>
      <c r="O335" s="1591" t="n"/>
      <c r="P335" s="1718" t="n"/>
      <c r="Q335" s="1591" t="n"/>
      <c r="R335" s="1591" t="n"/>
      <c r="S335" s="1590" t="n"/>
      <c r="T335" s="1591" t="n"/>
      <c r="U335" s="1718" t="n"/>
      <c r="V335" s="1591" t="n"/>
      <c r="W335" s="1591" t="n"/>
      <c r="X335" s="1590" t="n"/>
      <c r="Y335" s="1591" t="n"/>
      <c r="Z335" s="1718" t="n"/>
      <c r="AA335" s="1591" t="n"/>
      <c r="AB335" s="1591" t="n"/>
      <c r="AC335" s="1590" t="n"/>
      <c r="AD335" s="1591" t="n"/>
      <c r="AE335" s="1718" t="n"/>
      <c r="AF335" s="1591" t="n"/>
      <c r="AG335" s="1591" t="n"/>
      <c r="AH335" s="1590" t="n"/>
      <c r="AI335" s="1591" t="n"/>
      <c r="AJ335" s="1718" t="n"/>
      <c r="AK335" s="1592" t="n"/>
      <c r="AL335" s="1451" t="n"/>
      <c r="AM335" s="1450" t="n"/>
      <c r="AN335" s="1451" t="n"/>
      <c r="AO335" s="1451" t="n"/>
      <c r="AP335" s="1451" t="n"/>
      <c r="AQ335" s="1451" t="n"/>
      <c r="AR335" s="1450" t="n"/>
      <c r="AS335" s="1450" t="n"/>
      <c r="AT335" s="1450" t="n"/>
      <c r="AU335" s="1450" t="n"/>
      <c r="AV335" s="1591" t="n"/>
    </row>
    <row r="336" hidden="1" outlineLevel="1" ht="14.4" customFormat="1" customHeight="1" s="1715">
      <c r="A336" s="1719" t="inlineStr">
        <is>
          <t>GAAP COGS</t>
        </is>
      </c>
      <c r="B336" s="1698" t="n"/>
      <c r="C336" s="1529" t="n"/>
      <c r="D336" s="1529" t="n"/>
      <c r="E336" s="1529" t="n"/>
      <c r="F336" s="1529" t="n"/>
      <c r="G336" s="1529" t="n"/>
      <c r="H336" s="1529" t="n"/>
      <c r="I336" s="1529" t="n"/>
      <c r="J336" s="1529" t="n"/>
      <c r="K336" s="1529" t="n"/>
      <c r="L336" s="1529" t="n"/>
      <c r="M336" s="1529" t="n"/>
      <c r="N336" s="1529" t="n"/>
      <c r="O336" s="1420" t="n"/>
      <c r="P336" s="1720" t="n"/>
      <c r="Q336" s="1420" t="n"/>
      <c r="R336" s="1420" t="n"/>
      <c r="S336" s="1529" t="n"/>
      <c r="T336" s="1420" t="n"/>
      <c r="U336" s="1720" t="n"/>
      <c r="V336" s="1420" t="n"/>
      <c r="W336" s="1420" t="n"/>
      <c r="X336" s="1529">
        <f>X281</f>
        <v/>
      </c>
      <c r="Y336" s="1420" t="n"/>
      <c r="Z336" s="1720" t="n"/>
      <c r="AA336" s="1420">
        <f>AA281</f>
        <v/>
      </c>
      <c r="AB336" s="1420">
        <f>AB281</f>
        <v/>
      </c>
      <c r="AC336" s="1529">
        <f>AC281</f>
        <v/>
      </c>
      <c r="AD336" s="1420">
        <f>AD281</f>
        <v/>
      </c>
      <c r="AE336" s="1720">
        <f>AE281</f>
        <v/>
      </c>
      <c r="AF336" s="1420">
        <f>AF281</f>
        <v/>
      </c>
      <c r="AG336" s="1420">
        <f>AG281</f>
        <v/>
      </c>
      <c r="AH336" s="1529">
        <f>AH281</f>
        <v/>
      </c>
      <c r="AI336" s="1420">
        <f>AI281</f>
        <v/>
      </c>
      <c r="AJ336" s="1720">
        <f>AJ281</f>
        <v/>
      </c>
      <c r="AK336" s="1421">
        <f>AK281</f>
        <v/>
      </c>
      <c r="AL336" s="1470">
        <f>AL41</f>
        <v/>
      </c>
      <c r="AM336" s="1469">
        <f>SUM(AI336,AJ336,AK336,AL336)</f>
        <v/>
      </c>
      <c r="AN336" s="1470">
        <f>AN41</f>
        <v/>
      </c>
      <c r="AO336" s="1470">
        <f>AO41</f>
        <v/>
      </c>
      <c r="AP336" s="1470">
        <f>AP41</f>
        <v/>
      </c>
      <c r="AQ336" s="1470">
        <f>AQ41</f>
        <v/>
      </c>
      <c r="AR336" s="1469">
        <f>SUM(AN336,AO336,AP336,AQ336)</f>
        <v/>
      </c>
      <c r="AS336" s="1469">
        <f>AS41</f>
        <v/>
      </c>
      <c r="AT336" s="1469">
        <f>AT41</f>
        <v/>
      </c>
      <c r="AU336" s="1469">
        <f>AU41</f>
        <v/>
      </c>
      <c r="AV336" s="1591" t="n"/>
    </row>
    <row r="337" hidden="1" outlineLevel="1" ht="14.4" customFormat="1" customHeight="1" s="1715">
      <c r="A337" s="1721" t="inlineStr">
        <is>
          <t>SBC COGS</t>
        </is>
      </c>
      <c r="B337" s="1698" t="n"/>
      <c r="C337" s="1529" t="n"/>
      <c r="D337" s="1529" t="n"/>
      <c r="E337" s="1529" t="n"/>
      <c r="F337" s="1529" t="n"/>
      <c r="G337" s="1529" t="n"/>
      <c r="H337" s="1529" t="n"/>
      <c r="I337" s="1529" t="n"/>
      <c r="J337" s="1529" t="n"/>
      <c r="K337" s="1529" t="n"/>
      <c r="L337" s="1529" t="n"/>
      <c r="M337" s="1529" t="n"/>
      <c r="N337" s="1529" t="n"/>
      <c r="O337" s="1420" t="n"/>
      <c r="P337" s="1720" t="n"/>
      <c r="Q337" s="1420" t="n"/>
      <c r="R337" s="1420" t="n"/>
      <c r="S337" s="1529" t="n"/>
      <c r="T337" s="1420" t="n"/>
      <c r="U337" s="1720" t="n"/>
      <c r="V337" s="1420" t="n"/>
      <c r="W337" s="1420" t="n"/>
      <c r="X337" s="1529">
        <f>-X121</f>
        <v/>
      </c>
      <c r="Y337" s="1420" t="n"/>
      <c r="Z337" s="1720" t="n"/>
      <c r="AA337" s="1420">
        <f>-AA121</f>
        <v/>
      </c>
      <c r="AB337" s="1420">
        <f>-AB121</f>
        <v/>
      </c>
      <c r="AC337" s="1529">
        <f>-AC121</f>
        <v/>
      </c>
      <c r="AD337" s="1420">
        <f>-AD121</f>
        <v/>
      </c>
      <c r="AE337" s="1720">
        <f>-AE121</f>
        <v/>
      </c>
      <c r="AF337" s="1420">
        <f>-AF121</f>
        <v/>
      </c>
      <c r="AG337" s="1420">
        <f>-AG121</f>
        <v/>
      </c>
      <c r="AH337" s="1529">
        <f>-AH121</f>
        <v/>
      </c>
      <c r="AI337" s="1420">
        <f>-AI121</f>
        <v/>
      </c>
      <c r="AJ337" s="1720">
        <f>-AJ121</f>
        <v/>
      </c>
      <c r="AK337" s="1421">
        <f>-AK121</f>
        <v/>
      </c>
      <c r="AL337" s="1470">
        <f>AL47</f>
        <v/>
      </c>
      <c r="AM337" s="1469">
        <f>SUM(AI337,AJ337,AK337,AL337)</f>
        <v/>
      </c>
      <c r="AN337" s="1470">
        <f>AN47</f>
        <v/>
      </c>
      <c r="AO337" s="1470">
        <f>AO47</f>
        <v/>
      </c>
      <c r="AP337" s="1470">
        <f>AP47</f>
        <v/>
      </c>
      <c r="AQ337" s="1470">
        <f>AQ47</f>
        <v/>
      </c>
      <c r="AR337" s="1469">
        <f>SUM(AN337,AO337,AP337,AQ337)</f>
        <v/>
      </c>
      <c r="AS337" s="1469">
        <f>AS47</f>
        <v/>
      </c>
      <c r="AT337" s="1469">
        <f>AT47</f>
        <v/>
      </c>
      <c r="AU337" s="1469">
        <f>AU47</f>
        <v/>
      </c>
      <c r="AV337" s="1591" t="n"/>
    </row>
    <row r="338" hidden="1" outlineLevel="1" ht="14.4" customFormat="1" customHeight="1" s="1715">
      <c r="A338" s="1721" t="inlineStr">
        <is>
          <t>Amortization of Intangibles COGS</t>
        </is>
      </c>
      <c r="B338" s="1698" t="n"/>
      <c r="C338" s="1529" t="n"/>
      <c r="D338" s="1529" t="n"/>
      <c r="E338" s="1529" t="n"/>
      <c r="F338" s="1529" t="n"/>
      <c r="G338" s="1529" t="n"/>
      <c r="H338" s="1529" t="n"/>
      <c r="I338" s="1529" t="n"/>
      <c r="J338" s="1529" t="n"/>
      <c r="K338" s="1529" t="n"/>
      <c r="L338" s="1529" t="n"/>
      <c r="M338" s="1529" t="n"/>
      <c r="N338" s="1529" t="n"/>
      <c r="O338" s="1420" t="n"/>
      <c r="P338" s="1720" t="n"/>
      <c r="Q338" s="1420" t="n"/>
      <c r="R338" s="1420" t="n"/>
      <c r="S338" s="1529" t="n"/>
      <c r="T338" s="1420" t="n"/>
      <c r="U338" s="1720" t="n"/>
      <c r="V338" s="1420" t="n"/>
      <c r="W338" s="1420" t="n"/>
      <c r="X338" s="1529" t="n"/>
      <c r="Y338" s="1420" t="n"/>
      <c r="Z338" s="1720" t="n"/>
      <c r="AA338" s="1420" t="n"/>
      <c r="AB338" s="1420" t="n"/>
      <c r="AC338" s="1529" t="n"/>
      <c r="AD338" s="1420" t="n"/>
      <c r="AE338" s="1720" t="n"/>
      <c r="AF338" s="1420" t="n"/>
      <c r="AG338" s="1420" t="n"/>
      <c r="AH338" s="1529" t="n"/>
      <c r="AI338" s="1420" t="n"/>
      <c r="AJ338" s="1720" t="n"/>
      <c r="AK338" s="1421" t="n"/>
      <c r="AL338" s="1470" t="n"/>
      <c r="AM338" s="1469">
        <f>SUM(AI338,AJ338,AK338,AL338)</f>
        <v/>
      </c>
      <c r="AN338" s="1470" t="n"/>
      <c r="AO338" s="1470" t="n"/>
      <c r="AP338" s="1470" t="n"/>
      <c r="AQ338" s="1470" t="n"/>
      <c r="AR338" s="1469">
        <f>SUM(AN338,AO338,AP338,AQ338)</f>
        <v/>
      </c>
      <c r="AS338" s="1469" t="n"/>
      <c r="AT338" s="1469" t="n"/>
      <c r="AU338" s="1469" t="n"/>
      <c r="AV338" s="1591" t="n"/>
    </row>
    <row r="339" hidden="1" outlineLevel="1" ht="14.4" customFormat="1" customHeight="1" s="1715">
      <c r="A339" s="1722" t="inlineStr">
        <is>
          <t>Other Adjustments COGS</t>
        </is>
      </c>
      <c r="B339" s="1702" t="n"/>
      <c r="C339" s="1582" t="n"/>
      <c r="D339" s="1582" t="n"/>
      <c r="E339" s="1582" t="n"/>
      <c r="F339" s="1582" t="n"/>
      <c r="G339" s="1582" t="n"/>
      <c r="H339" s="1582" t="n"/>
      <c r="I339" s="1582" t="n"/>
      <c r="J339" s="1582" t="n"/>
      <c r="K339" s="1582" t="n"/>
      <c r="L339" s="1582" t="n"/>
      <c r="M339" s="1582" t="n"/>
      <c r="N339" s="1582" t="n"/>
      <c r="O339" s="1583" t="n"/>
      <c r="P339" s="1723" t="n"/>
      <c r="Q339" s="1583" t="n"/>
      <c r="R339" s="1583" t="n"/>
      <c r="S339" s="1582" t="n"/>
      <c r="T339" s="1583" t="n"/>
      <c r="U339" s="1723" t="n"/>
      <c r="V339" s="1583" t="n"/>
      <c r="W339" s="1583" t="n"/>
      <c r="X339" s="1582" t="n"/>
      <c r="Y339" s="1583" t="n"/>
      <c r="Z339" s="1723" t="n"/>
      <c r="AA339" s="1583" t="n"/>
      <c r="AB339" s="1583" t="n"/>
      <c r="AC339" s="1582" t="n"/>
      <c r="AD339" s="1583" t="n"/>
      <c r="AE339" s="1723" t="n"/>
      <c r="AF339" s="1583" t="n"/>
      <c r="AG339" s="1583" t="n"/>
      <c r="AH339" s="1582" t="n"/>
      <c r="AI339" s="1583" t="n"/>
      <c r="AJ339" s="1723" t="n"/>
      <c r="AK339" s="1584" t="n"/>
      <c r="AL339" s="1724" t="n"/>
      <c r="AM339" s="1725">
        <f>SUM(AI339,AJ339,AK339,AL339)</f>
        <v/>
      </c>
      <c r="AN339" s="1724" t="n"/>
      <c r="AO339" s="1724" t="n"/>
      <c r="AP339" s="1724" t="n"/>
      <c r="AQ339" s="1724" t="n"/>
      <c r="AR339" s="1725">
        <f>SUM(AN339,AO339,AP339,AQ339)</f>
        <v/>
      </c>
      <c r="AS339" s="1725" t="n"/>
      <c r="AT339" s="1725" t="n"/>
      <c r="AU339" s="1725" t="n"/>
      <c r="AV339" s="1591" t="n"/>
    </row>
    <row r="340" collapsed="1" ht="14.4" customFormat="1" customHeight="1" s="1715">
      <c r="A340" s="1726" t="inlineStr">
        <is>
          <t>Non-GAAP Gross Profit</t>
        </is>
      </c>
      <c r="B340" s="1695" t="n"/>
      <c r="C340" s="1535" t="n"/>
      <c r="D340" s="1535" t="n"/>
      <c r="E340" s="1535" t="n"/>
      <c r="F340" s="1535" t="n"/>
      <c r="G340" s="1535" t="n"/>
      <c r="H340" s="1535" t="n"/>
      <c r="I340" s="1535" t="n"/>
      <c r="J340" s="1535" t="n"/>
      <c r="K340" s="1535" t="n"/>
      <c r="L340" s="1535" t="n"/>
      <c r="M340" s="1535" t="n"/>
      <c r="N340" s="1535" t="n"/>
      <c r="O340" s="1536" t="n"/>
      <c r="P340" s="1727" t="n"/>
      <c r="Q340" s="1536" t="n"/>
      <c r="R340" s="1536" t="n"/>
      <c r="S340" s="1535" t="n"/>
      <c r="T340" s="1536" t="n"/>
      <c r="U340" s="1727" t="n"/>
      <c r="V340" s="1536" t="n"/>
      <c r="W340" s="1536" t="n"/>
      <c r="X340" s="1535">
        <f>X333-SUM(X336:X339)</f>
        <v/>
      </c>
      <c r="Y340" s="1536" t="n"/>
      <c r="Z340" s="1727" t="n"/>
      <c r="AA340" s="1536">
        <f>AA333-SUM(AA336:AA339)</f>
        <v/>
      </c>
      <c r="AB340" s="1536">
        <f>AB333-SUM(AB336:AB339)</f>
        <v/>
      </c>
      <c r="AC340" s="1535">
        <f>AC333-SUM(AC336:AC339)</f>
        <v/>
      </c>
      <c r="AD340" s="1536">
        <f>AD333-SUM(AD336:AD339)</f>
        <v/>
      </c>
      <c r="AE340" s="1727">
        <f>AE333-SUM(AE336:AE339)</f>
        <v/>
      </c>
      <c r="AF340" s="1536">
        <f>AF333-SUM(AF336:AF339)</f>
        <v/>
      </c>
      <c r="AG340" s="1536">
        <f>AG333-SUM(AG336:AG339)</f>
        <v/>
      </c>
      <c r="AH340" s="1535">
        <f>AH333-SUM(AH336:AH339)</f>
        <v/>
      </c>
      <c r="AI340" s="1536">
        <f>AI333-SUM(AI336:AI339)</f>
        <v/>
      </c>
      <c r="AJ340" s="1727">
        <f>AJ333-SUM(AJ336:AJ339)</f>
        <v/>
      </c>
      <c r="AK340" s="1674">
        <f>AK333-SUM(AK336:AK339)</f>
        <v/>
      </c>
      <c r="AL340" s="1442">
        <f>AL333-SUM(AL336:AL339)</f>
        <v/>
      </c>
      <c r="AM340" s="1441">
        <f>AM333-SUM(AM336:AM339)</f>
        <v/>
      </c>
      <c r="AN340" s="1442">
        <f>AN333-SUM(AN336:AN339)</f>
        <v/>
      </c>
      <c r="AO340" s="1442">
        <f>AO333-SUM(AO336:AO339)</f>
        <v/>
      </c>
      <c r="AP340" s="1442">
        <f>AP333-SUM(AP336:AP339)</f>
        <v/>
      </c>
      <c r="AQ340" s="1442">
        <f>AQ333-SUM(AQ336:AQ339)</f>
        <v/>
      </c>
      <c r="AR340" s="1441">
        <f>AR333-SUM(AR336:AR339)</f>
        <v/>
      </c>
      <c r="AS340" s="1441">
        <f>AS333-SUM(AS336:AS339)</f>
        <v/>
      </c>
      <c r="AT340" s="1441">
        <f>AT333-SUM(AT336:AT339)</f>
        <v/>
      </c>
      <c r="AU340" s="1441">
        <f>AU333-SUM(AU336:AU339)</f>
        <v/>
      </c>
      <c r="AV340" s="1591" t="n"/>
    </row>
    <row r="341" ht="7.5" customFormat="1" customHeight="1" s="1715">
      <c r="A341" s="1726" t="n"/>
      <c r="B341" s="1695" t="n"/>
      <c r="C341" s="1535" t="n"/>
      <c r="D341" s="1535" t="n"/>
      <c r="E341" s="1535" t="n"/>
      <c r="F341" s="1535" t="n"/>
      <c r="G341" s="1535" t="n"/>
      <c r="H341" s="1535" t="n"/>
      <c r="I341" s="1535" t="n"/>
      <c r="J341" s="1535" t="n"/>
      <c r="K341" s="1535" t="n"/>
      <c r="L341" s="1535" t="n"/>
      <c r="M341" s="1535" t="n"/>
      <c r="N341" s="1535" t="n"/>
      <c r="O341" s="1536" t="n"/>
      <c r="P341" s="1727" t="n"/>
      <c r="Q341" s="1536" t="n"/>
      <c r="R341" s="1536" t="n"/>
      <c r="S341" s="1535" t="n"/>
      <c r="T341" s="1536" t="n"/>
      <c r="U341" s="1727" t="n"/>
      <c r="V341" s="1536" t="n"/>
      <c r="W341" s="1536" t="n"/>
      <c r="X341" s="1535" t="n"/>
      <c r="Y341" s="1536" t="n"/>
      <c r="Z341" s="1727" t="n"/>
      <c r="AA341" s="1536" t="n"/>
      <c r="AB341" s="1536" t="n"/>
      <c r="AC341" s="1535" t="n"/>
      <c r="AD341" s="1536" t="n"/>
      <c r="AE341" s="1727" t="n"/>
      <c r="AF341" s="1536" t="n"/>
      <c r="AG341" s="1536" t="n"/>
      <c r="AH341" s="1535" t="n"/>
      <c r="AI341" s="1536" t="n"/>
      <c r="AJ341" s="1727" t="n"/>
      <c r="AK341" s="1674" t="n"/>
      <c r="AL341" s="1442" t="n"/>
      <c r="AM341" s="1441" t="n"/>
      <c r="AN341" s="1442" t="n"/>
      <c r="AO341" s="1442" t="n"/>
      <c r="AP341" s="1442" t="n"/>
      <c r="AQ341" s="1442" t="n"/>
      <c r="AR341" s="1441" t="n"/>
      <c r="AS341" s="1441" t="n"/>
      <c r="AT341" s="1441" t="n"/>
      <c r="AU341" s="1441" t="n"/>
      <c r="AV341" s="1591" t="n"/>
    </row>
    <row r="342" hidden="1" outlineLevel="3" ht="14.4" customFormat="1" customHeight="1" s="1715">
      <c r="A342" s="1719" t="inlineStr">
        <is>
          <t>GAAP S&amp;M</t>
        </is>
      </c>
      <c r="B342" s="1698" t="n"/>
      <c r="C342" s="1529" t="n"/>
      <c r="D342" s="1529" t="n"/>
      <c r="E342" s="1529" t="n"/>
      <c r="F342" s="1529" t="n"/>
      <c r="G342" s="1529" t="n"/>
      <c r="H342" s="1529" t="n"/>
      <c r="I342" s="1529" t="n"/>
      <c r="J342" s="1529" t="n"/>
      <c r="K342" s="1529" t="n"/>
      <c r="L342" s="1529" t="n"/>
      <c r="M342" s="1529" t="n"/>
      <c r="N342" s="1529" t="n"/>
      <c r="O342" s="1420" t="n"/>
      <c r="P342" s="1720" t="n"/>
      <c r="Q342" s="1420" t="n"/>
      <c r="R342" s="1420" t="n"/>
      <c r="S342" s="1529" t="n"/>
      <c r="T342" s="1420" t="n"/>
      <c r="U342" s="1720" t="n"/>
      <c r="V342" s="1420" t="n"/>
      <c r="W342" s="1420" t="n"/>
      <c r="X342" s="1529">
        <f>X283</f>
        <v/>
      </c>
      <c r="Y342" s="1420" t="n"/>
      <c r="Z342" s="1720" t="n"/>
      <c r="AA342" s="1420">
        <f>AA283</f>
        <v/>
      </c>
      <c r="AB342" s="1420">
        <f>AB283</f>
        <v/>
      </c>
      <c r="AC342" s="1529">
        <f>AC283</f>
        <v/>
      </c>
      <c r="AD342" s="1420">
        <f>AD283</f>
        <v/>
      </c>
      <c r="AE342" s="1720">
        <f>AE283</f>
        <v/>
      </c>
      <c r="AF342" s="1420">
        <f>AF283</f>
        <v/>
      </c>
      <c r="AG342" s="1420">
        <f>AG283</f>
        <v/>
      </c>
      <c r="AH342" s="1529">
        <f>AH283</f>
        <v/>
      </c>
      <c r="AI342" s="1420">
        <f>AI283</f>
        <v/>
      </c>
      <c r="AJ342" s="1720">
        <f>AJ283</f>
        <v/>
      </c>
      <c r="AK342" s="1421">
        <f>AK283</f>
        <v/>
      </c>
      <c r="AL342" s="1470">
        <f>AL71</f>
        <v/>
      </c>
      <c r="AM342" s="1469">
        <f>SUM(AI342,AJ342,AK342,AL342)</f>
        <v/>
      </c>
      <c r="AN342" s="1470">
        <f>AN71</f>
        <v/>
      </c>
      <c r="AO342" s="1470">
        <f>AO71</f>
        <v/>
      </c>
      <c r="AP342" s="1470">
        <f>AP71</f>
        <v/>
      </c>
      <c r="AQ342" s="1470">
        <f>AQ71</f>
        <v/>
      </c>
      <c r="AR342" s="1469">
        <f>SUM(AN342,AO342,AP342,AQ342)</f>
        <v/>
      </c>
      <c r="AS342" s="1469">
        <f>AS71</f>
        <v/>
      </c>
      <c r="AT342" s="1469">
        <f>AT71</f>
        <v/>
      </c>
      <c r="AU342" s="1469">
        <f>AU71</f>
        <v/>
      </c>
      <c r="AV342" s="1591" t="n"/>
    </row>
    <row r="343" hidden="1" outlineLevel="3" ht="14.4" customFormat="1" customHeight="1" s="1715">
      <c r="A343" s="1721" t="inlineStr">
        <is>
          <t>SBC S&amp;M</t>
        </is>
      </c>
      <c r="B343" s="1698" t="n"/>
      <c r="C343" s="1529" t="n"/>
      <c r="D343" s="1529" t="n"/>
      <c r="E343" s="1529" t="n"/>
      <c r="F343" s="1529" t="n"/>
      <c r="G343" s="1529" t="n"/>
      <c r="H343" s="1529" t="n"/>
      <c r="I343" s="1529" t="n"/>
      <c r="J343" s="1529" t="n"/>
      <c r="K343" s="1529" t="n"/>
      <c r="L343" s="1529" t="n"/>
      <c r="M343" s="1529" t="n"/>
      <c r="N343" s="1529" t="n"/>
      <c r="O343" s="1420" t="n"/>
      <c r="P343" s="1720" t="n"/>
      <c r="Q343" s="1420" t="n"/>
      <c r="R343" s="1420" t="n"/>
      <c r="S343" s="1529" t="n"/>
      <c r="T343" s="1420" t="n"/>
      <c r="U343" s="1720" t="n"/>
      <c r="V343" s="1420" t="n"/>
      <c r="W343" s="1420" t="n"/>
      <c r="X343" s="1529">
        <f>X123</f>
        <v/>
      </c>
      <c r="Y343" s="1420" t="n"/>
      <c r="Z343" s="1720" t="n"/>
      <c r="AA343" s="1420">
        <f>AA123</f>
        <v/>
      </c>
      <c r="AB343" s="1420">
        <f>AB123</f>
        <v/>
      </c>
      <c r="AC343" s="1529">
        <f>AC123</f>
        <v/>
      </c>
      <c r="AD343" s="1420">
        <f>AD123</f>
        <v/>
      </c>
      <c r="AE343" s="1720">
        <f>AE123</f>
        <v/>
      </c>
      <c r="AF343" s="1420">
        <f>AF123</f>
        <v/>
      </c>
      <c r="AG343" s="1420">
        <f>AG123</f>
        <v/>
      </c>
      <c r="AH343" s="1529">
        <f>AH123</f>
        <v/>
      </c>
      <c r="AI343" s="1420">
        <f>AI123</f>
        <v/>
      </c>
      <c r="AJ343" s="1720">
        <f>AJ123</f>
        <v/>
      </c>
      <c r="AK343" s="1421">
        <f>AK123</f>
        <v/>
      </c>
      <c r="AL343" s="1470">
        <f>AL76</f>
        <v/>
      </c>
      <c r="AM343" s="1469">
        <f>SUM(AI343,AJ343,AK343,AL343)</f>
        <v/>
      </c>
      <c r="AN343" s="1470">
        <f>AN76</f>
        <v/>
      </c>
      <c r="AO343" s="1470">
        <f>AO76</f>
        <v/>
      </c>
      <c r="AP343" s="1470">
        <f>AP76</f>
        <v/>
      </c>
      <c r="AQ343" s="1470">
        <f>AQ76</f>
        <v/>
      </c>
      <c r="AR343" s="1469">
        <f>SUM(AN343,AO343,AP343,AQ343)</f>
        <v/>
      </c>
      <c r="AS343" s="1469">
        <f>AS76</f>
        <v/>
      </c>
      <c r="AT343" s="1469">
        <f>AT76</f>
        <v/>
      </c>
      <c r="AU343" s="1469">
        <f>AU76</f>
        <v/>
      </c>
      <c r="AV343" s="1591" t="n"/>
    </row>
    <row r="344" hidden="1" outlineLevel="3" ht="14.4" customFormat="1" customHeight="1" s="1715">
      <c r="A344" s="1721" t="inlineStr">
        <is>
          <t>Amortization of Intangibles S&amp;M</t>
        </is>
      </c>
      <c r="B344" s="1698" t="n"/>
      <c r="C344" s="1529" t="n"/>
      <c r="D344" s="1529" t="n"/>
      <c r="E344" s="1529" t="n"/>
      <c r="F344" s="1529" t="n"/>
      <c r="G344" s="1529" t="n"/>
      <c r="H344" s="1529" t="n"/>
      <c r="I344" s="1529" t="n"/>
      <c r="J344" s="1529" t="n"/>
      <c r="K344" s="1529" t="n"/>
      <c r="L344" s="1529" t="n"/>
      <c r="M344" s="1529" t="n"/>
      <c r="N344" s="1529" t="n"/>
      <c r="O344" s="1420" t="n"/>
      <c r="P344" s="1720" t="n"/>
      <c r="Q344" s="1420" t="n"/>
      <c r="R344" s="1420" t="n"/>
      <c r="S344" s="1529" t="n"/>
      <c r="T344" s="1420" t="n"/>
      <c r="U344" s="1720" t="n"/>
      <c r="V344" s="1420" t="n"/>
      <c r="W344" s="1420" t="n"/>
      <c r="X344" s="1529" t="n"/>
      <c r="Y344" s="1420" t="n"/>
      <c r="Z344" s="1720" t="n"/>
      <c r="AA344" s="1420" t="n"/>
      <c r="AB344" s="1420" t="n"/>
      <c r="AC344" s="1529" t="n"/>
      <c r="AD344" s="1420" t="n"/>
      <c r="AE344" s="1720" t="n"/>
      <c r="AF344" s="1420" t="n"/>
      <c r="AG344" s="1420" t="n"/>
      <c r="AH344" s="1529" t="n"/>
      <c r="AI344" s="1420" t="n"/>
      <c r="AJ344" s="1720" t="n"/>
      <c r="AK344" s="1421" t="n"/>
      <c r="AL344" s="1470" t="n"/>
      <c r="AM344" s="1469">
        <f>SUM(AI344,AJ344,AK344,AL344)</f>
        <v/>
      </c>
      <c r="AN344" s="1470" t="n"/>
      <c r="AO344" s="1470" t="n"/>
      <c r="AP344" s="1470" t="n"/>
      <c r="AQ344" s="1470" t="n"/>
      <c r="AR344" s="1469">
        <f>SUM(AN344,AO344,AP344,AQ344)</f>
        <v/>
      </c>
      <c r="AS344" s="1469" t="n"/>
      <c r="AT344" s="1469" t="n"/>
      <c r="AU344" s="1469" t="n"/>
      <c r="AV344" s="1591" t="n"/>
    </row>
    <row r="345" hidden="1" outlineLevel="3" ht="14.4" customFormat="1" customHeight="1" s="1715">
      <c r="A345" s="1722" t="inlineStr">
        <is>
          <t>Other Adjustments S&amp;M</t>
        </is>
      </c>
      <c r="B345" s="1702" t="n"/>
      <c r="C345" s="1582" t="n"/>
      <c r="D345" s="1582" t="n"/>
      <c r="E345" s="1582" t="n"/>
      <c r="F345" s="1582" t="n"/>
      <c r="G345" s="1582" t="n"/>
      <c r="H345" s="1582" t="n"/>
      <c r="I345" s="1582" t="n"/>
      <c r="J345" s="1582" t="n"/>
      <c r="K345" s="1582" t="n"/>
      <c r="L345" s="1582" t="n"/>
      <c r="M345" s="1582" t="n"/>
      <c r="N345" s="1582" t="n"/>
      <c r="O345" s="1583" t="n"/>
      <c r="P345" s="1723" t="n"/>
      <c r="Q345" s="1583" t="n"/>
      <c r="R345" s="1583" t="n"/>
      <c r="S345" s="1582" t="n"/>
      <c r="T345" s="1583" t="n"/>
      <c r="U345" s="1723" t="n"/>
      <c r="V345" s="1583" t="n"/>
      <c r="W345" s="1583" t="n"/>
      <c r="X345" s="1582" t="n"/>
      <c r="Y345" s="1583" t="n"/>
      <c r="Z345" s="1723" t="n"/>
      <c r="AA345" s="1583" t="n"/>
      <c r="AB345" s="1583" t="n"/>
      <c r="AC345" s="1582" t="n"/>
      <c r="AD345" s="1583" t="n"/>
      <c r="AE345" s="1723" t="n"/>
      <c r="AF345" s="1583" t="n"/>
      <c r="AG345" s="1583" t="n"/>
      <c r="AH345" s="1582" t="n"/>
      <c r="AI345" s="1583" t="n"/>
      <c r="AJ345" s="1723" t="n"/>
      <c r="AK345" s="1584" t="n"/>
      <c r="AL345" s="1724" t="n"/>
      <c r="AM345" s="1725">
        <f>SUM(AI345,AJ345,AK345,AL345)</f>
        <v/>
      </c>
      <c r="AN345" s="1724" t="n"/>
      <c r="AO345" s="1724" t="n"/>
      <c r="AP345" s="1724" t="n"/>
      <c r="AQ345" s="1724" t="n"/>
      <c r="AR345" s="1725">
        <f>SUM(AN345,AO345,AP345,AQ345)</f>
        <v/>
      </c>
      <c r="AS345" s="1725" t="n"/>
      <c r="AT345" s="1725" t="n"/>
      <c r="AU345" s="1725" t="n"/>
      <c r="AV345" s="1591" t="n"/>
    </row>
    <row r="346" collapsed="1" ht="14.4" customFormat="1" customHeight="1" s="1715">
      <c r="A346" s="1719" t="inlineStr">
        <is>
          <t>Non-GAAP S&amp;M</t>
        </is>
      </c>
      <c r="B346" s="1698" t="n"/>
      <c r="C346" s="1529" t="n"/>
      <c r="D346" s="1529" t="n"/>
      <c r="E346" s="1529" t="n"/>
      <c r="F346" s="1529" t="n"/>
      <c r="G346" s="1529" t="n"/>
      <c r="H346" s="1529" t="n"/>
      <c r="I346" s="1529" t="n"/>
      <c r="J346" s="1529" t="n"/>
      <c r="K346" s="1529" t="n"/>
      <c r="L346" s="1529" t="n"/>
      <c r="M346" s="1529" t="n"/>
      <c r="N346" s="1529" t="n"/>
      <c r="O346" s="1420" t="n"/>
      <c r="P346" s="1720" t="n"/>
      <c r="Q346" s="1420" t="n"/>
      <c r="R346" s="1420" t="n"/>
      <c r="S346" s="1529" t="n"/>
      <c r="T346" s="1420" t="n"/>
      <c r="U346" s="1720" t="n"/>
      <c r="V346" s="1420" t="n"/>
      <c r="W346" s="1420" t="n"/>
      <c r="X346" s="1529">
        <f>X342-SUM(X343:X345)</f>
        <v/>
      </c>
      <c r="Y346" s="1420" t="n"/>
      <c r="Z346" s="1720" t="n"/>
      <c r="AA346" s="1420">
        <f>AA342-SUM(AA343:AA345)</f>
        <v/>
      </c>
      <c r="AB346" s="1420">
        <f>AB342-SUM(AB343:AB345)</f>
        <v/>
      </c>
      <c r="AC346" s="1529">
        <f>AC342-SUM(AC343:AC345)</f>
        <v/>
      </c>
      <c r="AD346" s="1420">
        <f>AD342-SUM(AD343:AD345)</f>
        <v/>
      </c>
      <c r="AE346" s="1720">
        <f>AE342-SUM(AE343:AE345)</f>
        <v/>
      </c>
      <c r="AF346" s="1420">
        <f>AF342-SUM(AF343:AF345)</f>
        <v/>
      </c>
      <c r="AG346" s="1420">
        <f>AG342-SUM(AG343:AG345)</f>
        <v/>
      </c>
      <c r="AH346" s="1529">
        <f>AH342-SUM(AH343:AH345)</f>
        <v/>
      </c>
      <c r="AI346" s="1420">
        <f>AI342-SUM(AI343:AI345)</f>
        <v/>
      </c>
      <c r="AJ346" s="1720">
        <f>AJ342-SUM(AJ343:AJ345)</f>
        <v/>
      </c>
      <c r="AK346" s="1421">
        <f>AK342-SUM(AK343:AK345)</f>
        <v/>
      </c>
      <c r="AL346" s="1470">
        <f>AL342-SUM(AL343:AL345)</f>
        <v/>
      </c>
      <c r="AM346" s="1469">
        <f>AM342-SUM(AM343:AM345)</f>
        <v/>
      </c>
      <c r="AN346" s="1470">
        <f>AN342-SUM(AN343:AN345)</f>
        <v/>
      </c>
      <c r="AO346" s="1470">
        <f>AO342-SUM(AO343:AO345)</f>
        <v/>
      </c>
      <c r="AP346" s="1470">
        <f>AP342-SUM(AP343:AP345)</f>
        <v/>
      </c>
      <c r="AQ346" s="1470">
        <f>AQ342-SUM(AQ343:AQ345)</f>
        <v/>
      </c>
      <c r="AR346" s="1469">
        <f>AR342-SUM(AR343:AR345)</f>
        <v/>
      </c>
      <c r="AS346" s="1469">
        <f>AS342-SUM(AS343:AS345)</f>
        <v/>
      </c>
      <c r="AT346" s="1469">
        <f>AT342-SUM(AT343:AT345)</f>
        <v/>
      </c>
      <c r="AU346" s="1469">
        <f>AU342-SUM(AU343:AU345)</f>
        <v/>
      </c>
      <c r="AV346" s="1591" t="n"/>
    </row>
    <row r="347" hidden="1" outlineLevel="3" ht="14.4" customFormat="1" customHeight="1" s="1715">
      <c r="A347" s="1719" t="inlineStr">
        <is>
          <t>GAAP G&amp;A</t>
        </is>
      </c>
      <c r="B347" s="1698" t="n"/>
      <c r="C347" s="1529" t="n"/>
      <c r="D347" s="1529" t="n"/>
      <c r="E347" s="1529" t="n"/>
      <c r="F347" s="1529" t="n"/>
      <c r="G347" s="1529" t="n"/>
      <c r="H347" s="1529" t="n"/>
      <c r="I347" s="1529" t="n"/>
      <c r="J347" s="1529" t="n"/>
      <c r="K347" s="1529" t="n"/>
      <c r="L347" s="1529" t="n"/>
      <c r="M347" s="1529" t="n"/>
      <c r="N347" s="1529" t="n"/>
      <c r="O347" s="1420" t="n"/>
      <c r="P347" s="1720" t="n"/>
      <c r="Q347" s="1420" t="n"/>
      <c r="R347" s="1420" t="n"/>
      <c r="S347" s="1529" t="n"/>
      <c r="T347" s="1420" t="n"/>
      <c r="U347" s="1720" t="n"/>
      <c r="V347" s="1420" t="n"/>
      <c r="W347" s="1420" t="n"/>
      <c r="X347" s="1529">
        <f>X284</f>
        <v/>
      </c>
      <c r="Y347" s="1420" t="n"/>
      <c r="Z347" s="1720" t="n"/>
      <c r="AA347" s="1420">
        <f>AA284</f>
        <v/>
      </c>
      <c r="AB347" s="1420">
        <f>AB284</f>
        <v/>
      </c>
      <c r="AC347" s="1529">
        <f>AC284</f>
        <v/>
      </c>
      <c r="AD347" s="1420">
        <f>AD284</f>
        <v/>
      </c>
      <c r="AE347" s="1720">
        <f>AE284</f>
        <v/>
      </c>
      <c r="AF347" s="1420">
        <f>AF284</f>
        <v/>
      </c>
      <c r="AG347" s="1420">
        <f>AG284</f>
        <v/>
      </c>
      <c r="AH347" s="1529">
        <f>AH284</f>
        <v/>
      </c>
      <c r="AI347" s="1420">
        <f>AI284</f>
        <v/>
      </c>
      <c r="AJ347" s="1720">
        <f>AJ284</f>
        <v/>
      </c>
      <c r="AK347" s="1421">
        <f>AK284</f>
        <v/>
      </c>
      <c r="AL347" s="1470">
        <f>AL85</f>
        <v/>
      </c>
      <c r="AM347" s="1469">
        <f>SUM(AI347,AJ347,AK347,AL347)</f>
        <v/>
      </c>
      <c r="AN347" s="1470">
        <f>AN85</f>
        <v/>
      </c>
      <c r="AO347" s="1470">
        <f>AO85</f>
        <v/>
      </c>
      <c r="AP347" s="1470">
        <f>AP85</f>
        <v/>
      </c>
      <c r="AQ347" s="1470">
        <f>AQ85</f>
        <v/>
      </c>
      <c r="AR347" s="1469">
        <f>SUM(AN347,AO347,AP347,AQ347)</f>
        <v/>
      </c>
      <c r="AS347" s="1469">
        <f>AS85</f>
        <v/>
      </c>
      <c r="AT347" s="1469">
        <f>AT85</f>
        <v/>
      </c>
      <c r="AU347" s="1469">
        <f>AU85</f>
        <v/>
      </c>
      <c r="AV347" s="1591" t="n"/>
    </row>
    <row r="348" hidden="1" outlineLevel="3" ht="14.4" customFormat="1" customHeight="1" s="1715">
      <c r="A348" s="1721" t="inlineStr">
        <is>
          <t>SBC G&amp;A</t>
        </is>
      </c>
      <c r="B348" s="1698" t="n"/>
      <c r="C348" s="1529" t="n"/>
      <c r="D348" s="1529" t="n"/>
      <c r="E348" s="1529" t="n"/>
      <c r="F348" s="1529" t="n"/>
      <c r="G348" s="1529" t="n"/>
      <c r="H348" s="1529" t="n"/>
      <c r="I348" s="1529" t="n"/>
      <c r="J348" s="1529" t="n"/>
      <c r="K348" s="1529" t="n"/>
      <c r="L348" s="1529" t="n"/>
      <c r="M348" s="1529" t="n"/>
      <c r="N348" s="1529" t="n"/>
      <c r="O348" s="1420" t="n"/>
      <c r="P348" s="1720" t="n"/>
      <c r="Q348" s="1420" t="n"/>
      <c r="R348" s="1420" t="n"/>
      <c r="S348" s="1529" t="n"/>
      <c r="T348" s="1420" t="n"/>
      <c r="U348" s="1720" t="n"/>
      <c r="V348" s="1420" t="n"/>
      <c r="W348" s="1420" t="n"/>
      <c r="X348" s="1529">
        <f>X124</f>
        <v/>
      </c>
      <c r="Y348" s="1420" t="n"/>
      <c r="Z348" s="1720" t="n"/>
      <c r="AA348" s="1420">
        <f>AA124</f>
        <v/>
      </c>
      <c r="AB348" s="1420">
        <f>AB124</f>
        <v/>
      </c>
      <c r="AC348" s="1529">
        <f>AC124</f>
        <v/>
      </c>
      <c r="AD348" s="1420">
        <f>AD124</f>
        <v/>
      </c>
      <c r="AE348" s="1720">
        <f>AE124</f>
        <v/>
      </c>
      <c r="AF348" s="1420">
        <f>AF124</f>
        <v/>
      </c>
      <c r="AG348" s="1420">
        <f>AG124</f>
        <v/>
      </c>
      <c r="AH348" s="1529">
        <f>AH124</f>
        <v/>
      </c>
      <c r="AI348" s="1420">
        <f>AI124</f>
        <v/>
      </c>
      <c r="AJ348" s="1720">
        <f>AJ124</f>
        <v/>
      </c>
      <c r="AK348" s="1421">
        <f>AK124</f>
        <v/>
      </c>
      <c r="AL348" s="1470">
        <f>AL90</f>
        <v/>
      </c>
      <c r="AM348" s="1469">
        <f>SUM(AI348,AJ348,AK348,AL348)</f>
        <v/>
      </c>
      <c r="AN348" s="1470">
        <f>AN90</f>
        <v/>
      </c>
      <c r="AO348" s="1470">
        <f>AO90</f>
        <v/>
      </c>
      <c r="AP348" s="1470">
        <f>AP90</f>
        <v/>
      </c>
      <c r="AQ348" s="1470">
        <f>AQ90</f>
        <v/>
      </c>
      <c r="AR348" s="1469">
        <f>SUM(AN348,AO348,AP348,AQ348)</f>
        <v/>
      </c>
      <c r="AS348" s="1469">
        <f>AS90</f>
        <v/>
      </c>
      <c r="AT348" s="1469">
        <f>AT90</f>
        <v/>
      </c>
      <c r="AU348" s="1469">
        <f>AU90</f>
        <v/>
      </c>
      <c r="AV348" s="1591" t="n"/>
    </row>
    <row r="349" hidden="1" outlineLevel="3" ht="14.4" customFormat="1" customHeight="1" s="1715">
      <c r="A349" s="1721" t="inlineStr">
        <is>
          <t>Amortization of Intangibles G&amp;A</t>
        </is>
      </c>
      <c r="B349" s="1698" t="n"/>
      <c r="C349" s="1529" t="n"/>
      <c r="D349" s="1529" t="n"/>
      <c r="E349" s="1529" t="n"/>
      <c r="F349" s="1529" t="n"/>
      <c r="G349" s="1529" t="n"/>
      <c r="H349" s="1529" t="n"/>
      <c r="I349" s="1529" t="n"/>
      <c r="J349" s="1529" t="n"/>
      <c r="K349" s="1529" t="n"/>
      <c r="L349" s="1529" t="n"/>
      <c r="M349" s="1529" t="n"/>
      <c r="N349" s="1529" t="n"/>
      <c r="O349" s="1420" t="n"/>
      <c r="P349" s="1720" t="n"/>
      <c r="Q349" s="1420" t="n"/>
      <c r="R349" s="1420" t="n"/>
      <c r="S349" s="1529" t="n"/>
      <c r="T349" s="1420" t="n"/>
      <c r="U349" s="1720" t="n"/>
      <c r="V349" s="1420" t="n"/>
      <c r="W349" s="1420" t="n"/>
      <c r="X349" s="1529" t="n"/>
      <c r="Y349" s="1420" t="n"/>
      <c r="Z349" s="1720" t="n"/>
      <c r="AA349" s="1420" t="n"/>
      <c r="AB349" s="1420" t="n"/>
      <c r="AC349" s="1529" t="n"/>
      <c r="AD349" s="1420" t="n"/>
      <c r="AE349" s="1720" t="n"/>
      <c r="AF349" s="1420" t="n"/>
      <c r="AG349" s="1420" t="n"/>
      <c r="AH349" s="1529" t="n"/>
      <c r="AI349" s="1420" t="n"/>
      <c r="AJ349" s="1720">
        <f>AJ314</f>
        <v/>
      </c>
      <c r="AK349" s="1421">
        <f>AK314</f>
        <v/>
      </c>
      <c r="AL349" s="1470" t="n"/>
      <c r="AM349" s="1469">
        <f>SUM(AI349,AJ349,AK349,AL349)</f>
        <v/>
      </c>
      <c r="AN349" s="1470" t="n"/>
      <c r="AO349" s="1470" t="n"/>
      <c r="AP349" s="1470" t="n"/>
      <c r="AQ349" s="1470" t="n"/>
      <c r="AR349" s="1469">
        <f>SUM(AN349,AO349,AP349,AQ349)</f>
        <v/>
      </c>
      <c r="AS349" s="1469" t="n"/>
      <c r="AT349" s="1469" t="n"/>
      <c r="AU349" s="1469" t="n"/>
      <c r="AV349" s="1591" t="n"/>
    </row>
    <row r="350" hidden="1" outlineLevel="3" ht="14.4" customFormat="1" customHeight="1" s="1715">
      <c r="A350" s="1722" t="inlineStr">
        <is>
          <t>Other Adjustments G&amp;A</t>
        </is>
      </c>
      <c r="B350" s="1702" t="n"/>
      <c r="C350" s="1582" t="n"/>
      <c r="D350" s="1582" t="n"/>
      <c r="E350" s="1582" t="n"/>
      <c r="F350" s="1582" t="n"/>
      <c r="G350" s="1582" t="n"/>
      <c r="H350" s="1582" t="n"/>
      <c r="I350" s="1582" t="n"/>
      <c r="J350" s="1582" t="n"/>
      <c r="K350" s="1582" t="n"/>
      <c r="L350" s="1582" t="n"/>
      <c r="M350" s="1582" t="n"/>
      <c r="N350" s="1582" t="n"/>
      <c r="O350" s="1583" t="n"/>
      <c r="P350" s="1723" t="n"/>
      <c r="Q350" s="1583" t="n"/>
      <c r="R350" s="1583" t="n"/>
      <c r="S350" s="1582" t="n"/>
      <c r="T350" s="1583" t="n"/>
      <c r="U350" s="1723" t="n"/>
      <c r="V350" s="1583" t="n"/>
      <c r="W350" s="1583" t="n"/>
      <c r="X350" s="1582" t="n"/>
      <c r="Y350" s="1583" t="n"/>
      <c r="Z350" s="1723" t="n"/>
      <c r="AA350" s="1583" t="n"/>
      <c r="AB350" s="1583" t="n"/>
      <c r="AC350" s="1582" t="n"/>
      <c r="AD350" s="1583" t="n"/>
      <c r="AE350" s="1723" t="n"/>
      <c r="AF350" s="1583" t="n"/>
      <c r="AG350" s="1583" t="n"/>
      <c r="AH350" s="1582" t="n"/>
      <c r="AI350" s="1583">
        <f>AI315</f>
        <v/>
      </c>
      <c r="AJ350" s="1723">
        <f>AJ315</f>
        <v/>
      </c>
      <c r="AK350" s="1584">
        <f>AK315</f>
        <v/>
      </c>
      <c r="AL350" s="1724" t="n"/>
      <c r="AM350" s="1725">
        <f>SUM(AI350,AJ350,AK350,AL350)</f>
        <v/>
      </c>
      <c r="AN350" s="1724" t="n"/>
      <c r="AO350" s="1724" t="n"/>
      <c r="AP350" s="1724" t="n"/>
      <c r="AQ350" s="1724" t="n"/>
      <c r="AR350" s="1725">
        <f>SUM(AN350,AO350,AP350,AQ350)</f>
        <v/>
      </c>
      <c r="AS350" s="1725" t="n"/>
      <c r="AT350" s="1725" t="n"/>
      <c r="AU350" s="1725" t="n"/>
      <c r="AV350" s="1591" t="n"/>
    </row>
    <row r="351" collapsed="1" ht="14.4" customFormat="1" customHeight="1" s="1715">
      <c r="A351" s="1719" t="inlineStr">
        <is>
          <t>Non-GAAP G&amp;A</t>
        </is>
      </c>
      <c r="B351" s="1698" t="n"/>
      <c r="C351" s="1529" t="n"/>
      <c r="D351" s="1529" t="n"/>
      <c r="E351" s="1529" t="n"/>
      <c r="F351" s="1529" t="n"/>
      <c r="G351" s="1529" t="n"/>
      <c r="H351" s="1529" t="n"/>
      <c r="I351" s="1529" t="n"/>
      <c r="J351" s="1529" t="n"/>
      <c r="K351" s="1529" t="n"/>
      <c r="L351" s="1529" t="n"/>
      <c r="M351" s="1529" t="n"/>
      <c r="N351" s="1529" t="n"/>
      <c r="O351" s="1420" t="n"/>
      <c r="P351" s="1720" t="n"/>
      <c r="Q351" s="1420" t="n"/>
      <c r="R351" s="1420" t="n"/>
      <c r="S351" s="1529" t="n"/>
      <c r="T351" s="1420" t="n"/>
      <c r="U351" s="1720" t="n"/>
      <c r="V351" s="1420" t="n"/>
      <c r="W351" s="1420" t="n"/>
      <c r="X351" s="1529">
        <f>X347-SUM(X348:X350)</f>
        <v/>
      </c>
      <c r="Y351" s="1420" t="n"/>
      <c r="Z351" s="1720" t="n"/>
      <c r="AA351" s="1420">
        <f>AA347-SUM(AA348:AA350)</f>
        <v/>
      </c>
      <c r="AB351" s="1420">
        <f>AB347-SUM(AB348:AB350)</f>
        <v/>
      </c>
      <c r="AC351" s="1529">
        <f>AC347-SUM(AC348:AC350)</f>
        <v/>
      </c>
      <c r="AD351" s="1420">
        <f>AD347-SUM(AD348:AD350)</f>
        <v/>
      </c>
      <c r="AE351" s="1720">
        <f>AE347-SUM(AE348:AE350)</f>
        <v/>
      </c>
      <c r="AF351" s="1420">
        <f>AF347-SUM(AF348:AF350)</f>
        <v/>
      </c>
      <c r="AG351" s="1420">
        <f>AG347-SUM(AG348:AG350)</f>
        <v/>
      </c>
      <c r="AH351" s="1529">
        <f>AH347-SUM(AH348:AH350)</f>
        <v/>
      </c>
      <c r="AI351" s="1420">
        <f>AI347-SUM(AI348:AI350)</f>
        <v/>
      </c>
      <c r="AJ351" s="1720">
        <f>AJ347-SUM(AJ348:AJ350)</f>
        <v/>
      </c>
      <c r="AK351" s="1421">
        <f>AK347-SUM(AK348:AK350)</f>
        <v/>
      </c>
      <c r="AL351" s="1470">
        <f>AL347-SUM(AL348:AL350)</f>
        <v/>
      </c>
      <c r="AM351" s="1469">
        <f>AM347-SUM(AM348:AM350)</f>
        <v/>
      </c>
      <c r="AN351" s="1470">
        <f>AN347-SUM(AN348:AN350)</f>
        <v/>
      </c>
      <c r="AO351" s="1470">
        <f>AO347-SUM(AO348:AO350)</f>
        <v/>
      </c>
      <c r="AP351" s="1470">
        <f>AP347-SUM(AP348:AP350)</f>
        <v/>
      </c>
      <c r="AQ351" s="1470">
        <f>AQ347-SUM(AQ348:AQ350)</f>
        <v/>
      </c>
      <c r="AR351" s="1469">
        <f>AR347-SUM(AR348:AR350)</f>
        <v/>
      </c>
      <c r="AS351" s="1469">
        <f>AS347-SUM(AS348:AS350)</f>
        <v/>
      </c>
      <c r="AT351" s="1469">
        <f>AT347-SUM(AT348:AT350)</f>
        <v/>
      </c>
      <c r="AU351" s="1469">
        <f>AU347-SUM(AU348:AU350)</f>
        <v/>
      </c>
      <c r="AV351" s="1591" t="n"/>
    </row>
    <row r="352" hidden="1" outlineLevel="3" ht="14.4" customFormat="1" customHeight="1" s="1715">
      <c r="A352" s="1719" t="inlineStr">
        <is>
          <t>GAAP R&amp;D</t>
        </is>
      </c>
      <c r="B352" s="1698" t="n"/>
      <c r="C352" s="1529" t="n"/>
      <c r="D352" s="1529" t="n"/>
      <c r="E352" s="1529" t="n"/>
      <c r="F352" s="1529" t="n"/>
      <c r="G352" s="1529" t="n"/>
      <c r="H352" s="1529" t="n"/>
      <c r="I352" s="1529" t="n"/>
      <c r="J352" s="1529" t="n"/>
      <c r="K352" s="1529" t="n"/>
      <c r="L352" s="1529" t="n"/>
      <c r="M352" s="1529" t="n"/>
      <c r="N352" s="1529" t="n"/>
      <c r="O352" s="1420" t="n"/>
      <c r="P352" s="1720" t="n"/>
      <c r="Q352" s="1420" t="n"/>
      <c r="R352" s="1420" t="n"/>
      <c r="S352" s="1529" t="n"/>
      <c r="T352" s="1420" t="n"/>
      <c r="U352" s="1720" t="n"/>
      <c r="V352" s="1420" t="n"/>
      <c r="W352" s="1420" t="n"/>
      <c r="X352" s="1529">
        <f>X282</f>
        <v/>
      </c>
      <c r="Y352" s="1420" t="n"/>
      <c r="Z352" s="1720" t="n"/>
      <c r="AA352" s="1420">
        <f>AA282</f>
        <v/>
      </c>
      <c r="AB352" s="1420">
        <f>AB282</f>
        <v/>
      </c>
      <c r="AC352" s="1529">
        <f>AC282</f>
        <v/>
      </c>
      <c r="AD352" s="1420">
        <f>AD282</f>
        <v/>
      </c>
      <c r="AE352" s="1720">
        <f>AE282</f>
        <v/>
      </c>
      <c r="AF352" s="1420">
        <f>AF282</f>
        <v/>
      </c>
      <c r="AG352" s="1420">
        <f>AG282</f>
        <v/>
      </c>
      <c r="AH352" s="1529">
        <f>AH282</f>
        <v/>
      </c>
      <c r="AI352" s="1420">
        <f>AI282</f>
        <v/>
      </c>
      <c r="AJ352" s="1720">
        <f>AJ282</f>
        <v/>
      </c>
      <c r="AK352" s="1421">
        <f>AK282</f>
        <v/>
      </c>
      <c r="AL352" s="1470">
        <f>AL57</f>
        <v/>
      </c>
      <c r="AM352" s="1469">
        <f>SUM(AI352,AJ352,AK352,AL352)</f>
        <v/>
      </c>
      <c r="AN352" s="1470">
        <f>AN57</f>
        <v/>
      </c>
      <c r="AO352" s="1470">
        <f>AO57</f>
        <v/>
      </c>
      <c r="AP352" s="1470">
        <f>AP57</f>
        <v/>
      </c>
      <c r="AQ352" s="1470">
        <f>AQ57</f>
        <v/>
      </c>
      <c r="AR352" s="1469">
        <f>SUM(AN352,AO352,AP352,AQ352)</f>
        <v/>
      </c>
      <c r="AS352" s="1469">
        <f>AS57</f>
        <v/>
      </c>
      <c r="AT352" s="1469">
        <f>AT57</f>
        <v/>
      </c>
      <c r="AU352" s="1469">
        <f>AU57</f>
        <v/>
      </c>
      <c r="AV352" s="1591" t="n"/>
    </row>
    <row r="353" hidden="1" outlineLevel="3" ht="14.4" customFormat="1" customHeight="1" s="1715">
      <c r="A353" s="1721" t="inlineStr">
        <is>
          <t>SBC R&amp;D</t>
        </is>
      </c>
      <c r="B353" s="1698" t="n"/>
      <c r="C353" s="1529" t="n"/>
      <c r="D353" s="1529" t="n"/>
      <c r="E353" s="1529" t="n"/>
      <c r="F353" s="1529" t="n"/>
      <c r="G353" s="1529" t="n"/>
      <c r="H353" s="1529" t="n"/>
      <c r="I353" s="1529" t="n"/>
      <c r="J353" s="1529" t="n"/>
      <c r="K353" s="1529" t="n"/>
      <c r="L353" s="1529" t="n"/>
      <c r="M353" s="1529" t="n"/>
      <c r="N353" s="1529" t="n"/>
      <c r="O353" s="1420" t="n"/>
      <c r="P353" s="1720" t="n"/>
      <c r="Q353" s="1420" t="n"/>
      <c r="R353" s="1420" t="n"/>
      <c r="S353" s="1529" t="n"/>
      <c r="T353" s="1420" t="n"/>
      <c r="U353" s="1720" t="n"/>
      <c r="V353" s="1420" t="n"/>
      <c r="W353" s="1420" t="n"/>
      <c r="X353" s="1529">
        <f>X122</f>
        <v/>
      </c>
      <c r="Y353" s="1420" t="n"/>
      <c r="Z353" s="1720" t="n"/>
      <c r="AA353" s="1420">
        <f>AA122</f>
        <v/>
      </c>
      <c r="AB353" s="1420">
        <f>AB122</f>
        <v/>
      </c>
      <c r="AC353" s="1529">
        <f>AC122</f>
        <v/>
      </c>
      <c r="AD353" s="1420">
        <f>AD122</f>
        <v/>
      </c>
      <c r="AE353" s="1720">
        <f>AE122</f>
        <v/>
      </c>
      <c r="AF353" s="1420">
        <f>AF122</f>
        <v/>
      </c>
      <c r="AG353" s="1420">
        <f>AG122</f>
        <v/>
      </c>
      <c r="AH353" s="1529">
        <f>AH122</f>
        <v/>
      </c>
      <c r="AI353" s="1420">
        <f>AI122</f>
        <v/>
      </c>
      <c r="AJ353" s="1720">
        <f>AJ122</f>
        <v/>
      </c>
      <c r="AK353" s="1421">
        <f>AK122</f>
        <v/>
      </c>
      <c r="AL353" s="1470">
        <f>AL62</f>
        <v/>
      </c>
      <c r="AM353" s="1469">
        <f>SUM(AI353,AJ353,AK353,AL353)</f>
        <v/>
      </c>
      <c r="AN353" s="1470">
        <f>AN62</f>
        <v/>
      </c>
      <c r="AO353" s="1470">
        <f>AO62</f>
        <v/>
      </c>
      <c r="AP353" s="1470">
        <f>AP62</f>
        <v/>
      </c>
      <c r="AQ353" s="1470">
        <f>AQ62</f>
        <v/>
      </c>
      <c r="AR353" s="1469">
        <f>SUM(AN353,AO353,AP353,AQ353)</f>
        <v/>
      </c>
      <c r="AS353" s="1469">
        <f>AS62</f>
        <v/>
      </c>
      <c r="AT353" s="1469">
        <f>AT62</f>
        <v/>
      </c>
      <c r="AU353" s="1469">
        <f>AU62</f>
        <v/>
      </c>
      <c r="AV353" s="1591" t="n"/>
    </row>
    <row r="354" hidden="1" outlineLevel="3" ht="14.4" customFormat="1" customHeight="1" s="1715">
      <c r="A354" s="1721" t="inlineStr">
        <is>
          <t>Amortization of Intangibles R&amp;D</t>
        </is>
      </c>
      <c r="B354" s="1698" t="n"/>
      <c r="C354" s="1529" t="n"/>
      <c r="D354" s="1529" t="n"/>
      <c r="E354" s="1529" t="n"/>
      <c r="F354" s="1529" t="n"/>
      <c r="G354" s="1529" t="n"/>
      <c r="H354" s="1529" t="n"/>
      <c r="I354" s="1529" t="n"/>
      <c r="J354" s="1529" t="n"/>
      <c r="K354" s="1529" t="n"/>
      <c r="L354" s="1529" t="n"/>
      <c r="M354" s="1529" t="n"/>
      <c r="N354" s="1529" t="n"/>
      <c r="O354" s="1420" t="n"/>
      <c r="P354" s="1720" t="n"/>
      <c r="Q354" s="1420" t="n"/>
      <c r="R354" s="1420" t="n"/>
      <c r="S354" s="1529" t="n"/>
      <c r="T354" s="1420" t="n"/>
      <c r="U354" s="1720" t="n"/>
      <c r="V354" s="1420" t="n"/>
      <c r="W354" s="1420" t="n"/>
      <c r="X354" s="1529" t="n"/>
      <c r="Y354" s="1420" t="n"/>
      <c r="Z354" s="1720" t="n"/>
      <c r="AA354" s="1420" t="n"/>
      <c r="AB354" s="1420" t="n"/>
      <c r="AC354" s="1529" t="n"/>
      <c r="AD354" s="1420" t="n"/>
      <c r="AE354" s="1720" t="n"/>
      <c r="AF354" s="1420" t="n"/>
      <c r="AG354" s="1420" t="n"/>
      <c r="AH354" s="1529" t="n"/>
      <c r="AI354" s="1420" t="n"/>
      <c r="AJ354" s="1720" t="n"/>
      <c r="AK354" s="1421" t="n"/>
      <c r="AL354" s="1470" t="n"/>
      <c r="AM354" s="1469">
        <f>SUM(AI354,AJ354,AK354,AL354)</f>
        <v/>
      </c>
      <c r="AN354" s="1470" t="n"/>
      <c r="AO354" s="1470" t="n"/>
      <c r="AP354" s="1470" t="n"/>
      <c r="AQ354" s="1470" t="n"/>
      <c r="AR354" s="1469">
        <f>SUM(AN354,AO354,AP354,AQ354)</f>
        <v/>
      </c>
      <c r="AS354" s="1469" t="n"/>
      <c r="AT354" s="1469" t="n"/>
      <c r="AU354" s="1469" t="n"/>
      <c r="AV354" s="1591" t="n"/>
    </row>
    <row r="355" hidden="1" outlineLevel="3" ht="14.4" customFormat="1" customHeight="1" s="1715">
      <c r="A355" s="1722" t="inlineStr">
        <is>
          <t>Other Adjustments R&amp;D</t>
        </is>
      </c>
      <c r="B355" s="1702" t="n"/>
      <c r="C355" s="1582" t="n"/>
      <c r="D355" s="1582" t="n"/>
      <c r="E355" s="1582" t="n"/>
      <c r="F355" s="1582" t="n"/>
      <c r="G355" s="1582" t="n"/>
      <c r="H355" s="1582" t="n"/>
      <c r="I355" s="1582" t="n"/>
      <c r="J355" s="1582" t="n"/>
      <c r="K355" s="1582" t="n"/>
      <c r="L355" s="1582" t="n"/>
      <c r="M355" s="1582" t="n"/>
      <c r="N355" s="1582" t="n"/>
      <c r="O355" s="1583" t="n"/>
      <c r="P355" s="1723" t="n"/>
      <c r="Q355" s="1583" t="n"/>
      <c r="R355" s="1583" t="n"/>
      <c r="S355" s="1582" t="n"/>
      <c r="T355" s="1583" t="n"/>
      <c r="U355" s="1723" t="n"/>
      <c r="V355" s="1583" t="n"/>
      <c r="W355" s="1583" t="n"/>
      <c r="X355" s="1582" t="n"/>
      <c r="Y355" s="1583" t="n"/>
      <c r="Z355" s="1723" t="n"/>
      <c r="AA355" s="1583" t="n"/>
      <c r="AB355" s="1583" t="n"/>
      <c r="AC355" s="1582" t="n"/>
      <c r="AD355" s="1583" t="n"/>
      <c r="AE355" s="1723" t="n"/>
      <c r="AF355" s="1583" t="n"/>
      <c r="AG355" s="1583" t="n"/>
      <c r="AH355" s="1582" t="n"/>
      <c r="AI355" s="1583" t="n"/>
      <c r="AJ355" s="1723" t="n"/>
      <c r="AK355" s="1584" t="n"/>
      <c r="AL355" s="1724" t="n"/>
      <c r="AM355" s="1725">
        <f>SUM(AI355,AJ355,AK355,AL355)</f>
        <v/>
      </c>
      <c r="AN355" s="1724" t="n"/>
      <c r="AO355" s="1724" t="n"/>
      <c r="AP355" s="1724" t="n"/>
      <c r="AQ355" s="1724" t="n"/>
      <c r="AR355" s="1725">
        <f>SUM(AN355,AO355,AP355,AQ355)</f>
        <v/>
      </c>
      <c r="AS355" s="1725" t="n"/>
      <c r="AT355" s="1725" t="n"/>
      <c r="AU355" s="1725" t="n"/>
      <c r="AV355" s="1591" t="n"/>
    </row>
    <row r="356" collapsed="1" ht="14.4" customFormat="1" customHeight="1" s="1715">
      <c r="A356" s="1728" t="inlineStr">
        <is>
          <t>Non-GAAP R&amp;D</t>
        </is>
      </c>
      <c r="B356" s="1702" t="n"/>
      <c r="C356" s="1582" t="n"/>
      <c r="D356" s="1582" t="n"/>
      <c r="E356" s="1582" t="n"/>
      <c r="F356" s="1582" t="n"/>
      <c r="G356" s="1582" t="n"/>
      <c r="H356" s="1582" t="n"/>
      <c r="I356" s="1582" t="n"/>
      <c r="J356" s="1582" t="n"/>
      <c r="K356" s="1582" t="n"/>
      <c r="L356" s="1582" t="n"/>
      <c r="M356" s="1582" t="n"/>
      <c r="N356" s="1582" t="n"/>
      <c r="O356" s="1583" t="n"/>
      <c r="P356" s="1723" t="n"/>
      <c r="Q356" s="1583" t="n"/>
      <c r="R356" s="1583" t="n"/>
      <c r="S356" s="1582" t="n"/>
      <c r="T356" s="1583" t="n"/>
      <c r="U356" s="1723" t="n"/>
      <c r="V356" s="1583" t="n"/>
      <c r="W356" s="1583" t="n"/>
      <c r="X356" s="1582">
        <f>X352-SUM(X353:X355)</f>
        <v/>
      </c>
      <c r="Y356" s="1583" t="n"/>
      <c r="Z356" s="1723" t="n"/>
      <c r="AA356" s="1583">
        <f>AA352-SUM(AA353:AA355)</f>
        <v/>
      </c>
      <c r="AB356" s="1583">
        <f>AB352-SUM(AB353:AB355)</f>
        <v/>
      </c>
      <c r="AC356" s="1582">
        <f>AC352-SUM(AC353:AC355)</f>
        <v/>
      </c>
      <c r="AD356" s="1583">
        <f>AD352-SUM(AD353:AD355)</f>
        <v/>
      </c>
      <c r="AE356" s="1723">
        <f>AE352-SUM(AE353:AE355)</f>
        <v/>
      </c>
      <c r="AF356" s="1583">
        <f>AF352-SUM(AF353:AF355)</f>
        <v/>
      </c>
      <c r="AG356" s="1583">
        <f>AG352-SUM(AG353:AG355)</f>
        <v/>
      </c>
      <c r="AH356" s="1582">
        <f>AH352-SUM(AH353:AH355)</f>
        <v/>
      </c>
      <c r="AI356" s="1583">
        <f>AI352-SUM(AI353:AI355)</f>
        <v/>
      </c>
      <c r="AJ356" s="1723">
        <f>AJ352-SUM(AJ353:AJ355)</f>
        <v/>
      </c>
      <c r="AK356" s="1584">
        <f>AK352-SUM(AK353:AK355)</f>
        <v/>
      </c>
      <c r="AL356" s="1724">
        <f>AL352-SUM(AL353:AL355)</f>
        <v/>
      </c>
      <c r="AM356" s="1725">
        <f>AM352-SUM(AM353:AM355)</f>
        <v/>
      </c>
      <c r="AN356" s="1724">
        <f>AN352-SUM(AN353:AN355)</f>
        <v/>
      </c>
      <c r="AO356" s="1724">
        <f>AO352-SUM(AO353:AO355)</f>
        <v/>
      </c>
      <c r="AP356" s="1724">
        <f>AP352-SUM(AP353:AP355)</f>
        <v/>
      </c>
      <c r="AQ356" s="1724">
        <f>AQ352-SUM(AQ353:AQ355)</f>
        <v/>
      </c>
      <c r="AR356" s="1725">
        <f>AR352-SUM(AR353:AR355)</f>
        <v/>
      </c>
      <c r="AS356" s="1725">
        <f>AS352-SUM(AS353:AS355)</f>
        <v/>
      </c>
      <c r="AT356" s="1725">
        <f>AT352-SUM(AT353:AT355)</f>
        <v/>
      </c>
      <c r="AU356" s="1725">
        <f>AU352-SUM(AU353:AU355)</f>
        <v/>
      </c>
      <c r="AV356" s="1591" t="n"/>
    </row>
    <row r="357" ht="14.4" customFormat="1" customHeight="1" s="1715">
      <c r="A357" s="1726" t="inlineStr">
        <is>
          <t>Non-GAAP Operating Income Before Other</t>
        </is>
      </c>
      <c r="B357" s="1695" t="n"/>
      <c r="C357" s="1535" t="n"/>
      <c r="D357" s="1535" t="n"/>
      <c r="E357" s="1535" t="n"/>
      <c r="F357" s="1535" t="n"/>
      <c r="G357" s="1535" t="n"/>
      <c r="H357" s="1535" t="n"/>
      <c r="I357" s="1535" t="n"/>
      <c r="J357" s="1535" t="n"/>
      <c r="K357" s="1535" t="n"/>
      <c r="L357" s="1535" t="n"/>
      <c r="M357" s="1535" t="n"/>
      <c r="N357" s="1535" t="n"/>
      <c r="O357" s="1536" t="n"/>
      <c r="P357" s="1727" t="n"/>
      <c r="Q357" s="1536" t="n"/>
      <c r="R357" s="1536" t="n"/>
      <c r="S357" s="1535" t="n"/>
      <c r="T357" s="1536" t="n"/>
      <c r="U357" s="1727" t="n"/>
      <c r="V357" s="1536" t="n"/>
      <c r="W357" s="1536" t="n"/>
      <c r="X357" s="1535">
        <f>X340-X346-X351-X356</f>
        <v/>
      </c>
      <c r="Y357" s="1536" t="n"/>
      <c r="Z357" s="1727" t="n"/>
      <c r="AA357" s="1536">
        <f>AA340-AA346-AA351-AA356</f>
        <v/>
      </c>
      <c r="AB357" s="1536">
        <f>AB340-AB346-AB351-AB356</f>
        <v/>
      </c>
      <c r="AC357" s="1535">
        <f>AC340-AC346-AC351-AC356</f>
        <v/>
      </c>
      <c r="AD357" s="1536">
        <f>AD340-AD346-AD351-AD356</f>
        <v/>
      </c>
      <c r="AE357" s="1727">
        <f>AE340-AE346-AE351-AE356</f>
        <v/>
      </c>
      <c r="AF357" s="1536">
        <f>AF340-AF346-AF351-AF356</f>
        <v/>
      </c>
      <c r="AG357" s="1536">
        <f>AG340-AG346-AG351-AG356</f>
        <v/>
      </c>
      <c r="AH357" s="1535">
        <f>AH340-AH346-AH351-AH356</f>
        <v/>
      </c>
      <c r="AI357" s="1536">
        <f>AI340-AI346-AI351-AI356</f>
        <v/>
      </c>
      <c r="AJ357" s="1727">
        <f>AJ340-AJ346-AJ351-AJ356</f>
        <v/>
      </c>
      <c r="AK357" s="1674">
        <f>AK340-AK346-AK351-AK356</f>
        <v/>
      </c>
      <c r="AL357" s="1442">
        <f>AL340-AL346-AL351-AL356</f>
        <v/>
      </c>
      <c r="AM357" s="1441">
        <f>AM340-AM346-AM351-AM356</f>
        <v/>
      </c>
      <c r="AN357" s="1442">
        <f>AN340-AN346-AN351-AN356</f>
        <v/>
      </c>
      <c r="AO357" s="1442">
        <f>AO340-AO346-AO351-AO356</f>
        <v/>
      </c>
      <c r="AP357" s="1442">
        <f>AP340-AP346-AP351-AP356</f>
        <v/>
      </c>
      <c r="AQ357" s="1442">
        <f>AQ340-AQ346-AQ351-AQ356</f>
        <v/>
      </c>
      <c r="AR357" s="1441">
        <f>AR340-AR346-AR351-AR356</f>
        <v/>
      </c>
      <c r="AS357" s="1441">
        <f>AS340-AS346-AS351-AS356</f>
        <v/>
      </c>
      <c r="AT357" s="1441">
        <f>AT340-AT346-AT351-AT356</f>
        <v/>
      </c>
      <c r="AU357" s="1441">
        <f>AU340-AU346-AU351-AU356</f>
        <v/>
      </c>
      <c r="AV357" s="1591" t="n"/>
    </row>
    <row r="358" ht="14.4" customFormat="1" customHeight="1" s="1715">
      <c r="A358" s="1728" t="inlineStr">
        <is>
          <t>Other Non-GAAP Operating Items</t>
        </is>
      </c>
      <c r="B358" s="1702" t="n"/>
      <c r="C358" s="1582" t="n"/>
      <c r="D358" s="1582" t="n"/>
      <c r="E358" s="1582" t="n"/>
      <c r="F358" s="1582" t="n"/>
      <c r="G358" s="1582" t="n"/>
      <c r="H358" s="1582" t="n"/>
      <c r="I358" s="1582" t="n"/>
      <c r="J358" s="1582" t="n"/>
      <c r="K358" s="1582" t="n"/>
      <c r="L358" s="1582" t="n"/>
      <c r="M358" s="1582" t="n"/>
      <c r="N358" s="1582" t="n"/>
      <c r="O358" s="1583" t="n"/>
      <c r="P358" s="1723" t="n"/>
      <c r="Q358" s="1583" t="n"/>
      <c r="R358" s="1583" t="n"/>
      <c r="S358" s="1582" t="n"/>
      <c r="T358" s="1583" t="n"/>
      <c r="U358" s="1723" t="n"/>
      <c r="V358" s="1583" t="n"/>
      <c r="W358" s="1583" t="n"/>
      <c r="X358" s="1582">
        <f>ROUND(X357-X359,6)</f>
        <v/>
      </c>
      <c r="Y358" s="1583" t="n"/>
      <c r="Z358" s="1723" t="n"/>
      <c r="AA358" s="1583">
        <f>ROUND(AA357-AA359,6)</f>
        <v/>
      </c>
      <c r="AB358" s="1583">
        <f>ROUND(AB357-AB359,6)</f>
        <v/>
      </c>
      <c r="AC358" s="1582">
        <f>ROUND(AC357-AC359,6)</f>
        <v/>
      </c>
      <c r="AD358" s="1583">
        <f>ROUND(AD357-AD359,6)</f>
        <v/>
      </c>
      <c r="AE358" s="1723">
        <f>ROUND(AE357-AE359,6)</f>
        <v/>
      </c>
      <c r="AF358" s="1583">
        <f>ROUND(AF357-AF359,6)</f>
        <v/>
      </c>
      <c r="AG358" s="1583">
        <f>ROUND(AG357-AG359,6)</f>
        <v/>
      </c>
      <c r="AH358" s="1582">
        <f>ROUND(AH357-AH359,6)</f>
        <v/>
      </c>
      <c r="AI358" s="1583">
        <f>ROUND(AI357-AI359,6)</f>
        <v/>
      </c>
      <c r="AJ358" s="1723">
        <f>ROUND(AJ357-AJ359,6)</f>
        <v/>
      </c>
      <c r="AK358" s="1584">
        <f>ROUND(AK357-AK359,6)</f>
        <v/>
      </c>
      <c r="AL358" s="1729" t="n">
        <v>0</v>
      </c>
      <c r="AM358" s="1725">
        <f>SUM(AI358,AJ358,AK358,AL358)</f>
        <v/>
      </c>
      <c r="AN358" s="1729" t="n">
        <v>0</v>
      </c>
      <c r="AO358" s="1729" t="n">
        <v>0</v>
      </c>
      <c r="AP358" s="1729" t="n">
        <v>0</v>
      </c>
      <c r="AQ358" s="1729" t="n">
        <v>0</v>
      </c>
      <c r="AR358" s="1725">
        <f>SUM(AN358,AO358,AP358,AQ358)</f>
        <v/>
      </c>
      <c r="AS358" s="1730" t="n">
        <v>0</v>
      </c>
      <c r="AT358" s="1730" t="n">
        <v>0</v>
      </c>
      <c r="AU358" s="1730" t="n">
        <v>0</v>
      </c>
      <c r="AV358" s="1591" t="n"/>
    </row>
    <row r="359" ht="14.4" customFormat="1" customHeight="1" s="1715">
      <c r="A359" s="1726" t="inlineStr">
        <is>
          <t>Company Reported Non-GAAP Operating Income</t>
        </is>
      </c>
      <c r="B359" s="1695" t="n"/>
      <c r="C359" s="1535" t="n"/>
      <c r="D359" s="1535" t="n"/>
      <c r="E359" s="1535" t="n"/>
      <c r="F359" s="1535" t="n"/>
      <c r="G359" s="1535" t="n"/>
      <c r="H359" s="1535" t="n"/>
      <c r="I359" s="1535" t="n"/>
      <c r="J359" s="1535" t="n"/>
      <c r="K359" s="1535" t="n"/>
      <c r="L359" s="1535" t="n"/>
      <c r="M359" s="1535" t="n"/>
      <c r="N359" s="1535" t="n"/>
      <c r="O359" s="1536" t="n"/>
      <c r="P359" s="1727" t="n"/>
      <c r="Q359" s="1536" t="n"/>
      <c r="R359" s="1536" t="n"/>
      <c r="S359" s="1535" t="n"/>
      <c r="T359" s="1536" t="n"/>
      <c r="U359" s="1727" t="n"/>
      <c r="V359" s="1536" t="n"/>
      <c r="W359" s="1536" t="n"/>
      <c r="X359" s="1535">
        <f>X316</f>
        <v/>
      </c>
      <c r="Y359" s="1536" t="n"/>
      <c r="Z359" s="1727" t="n"/>
      <c r="AA359" s="1536">
        <f>AA316</f>
        <v/>
      </c>
      <c r="AB359" s="1536">
        <f>AB316</f>
        <v/>
      </c>
      <c r="AC359" s="1535">
        <f>AC316</f>
        <v/>
      </c>
      <c r="AD359" s="1536">
        <f>AD316</f>
        <v/>
      </c>
      <c r="AE359" s="1727">
        <f>AE316</f>
        <v/>
      </c>
      <c r="AF359" s="1536">
        <f>AF316</f>
        <v/>
      </c>
      <c r="AG359" s="1536">
        <f>AG316</f>
        <v/>
      </c>
      <c r="AH359" s="1535">
        <f>AH316</f>
        <v/>
      </c>
      <c r="AI359" s="1536">
        <f>AI316</f>
        <v/>
      </c>
      <c r="AJ359" s="1727">
        <f>AJ316</f>
        <v/>
      </c>
      <c r="AK359" s="1674">
        <f>AK316</f>
        <v/>
      </c>
      <c r="AL359" s="1442">
        <f>AL357-AL358</f>
        <v/>
      </c>
      <c r="AM359" s="1441">
        <f>AM357-AM358</f>
        <v/>
      </c>
      <c r="AN359" s="1442">
        <f>AN357-AN358</f>
        <v/>
      </c>
      <c r="AO359" s="1442">
        <f>AO357-AO358</f>
        <v/>
      </c>
      <c r="AP359" s="1442">
        <f>AP357-AP358</f>
        <v/>
      </c>
      <c r="AQ359" s="1442">
        <f>AQ357-AQ358</f>
        <v/>
      </c>
      <c r="AR359" s="1441">
        <f>AR357-AR358</f>
        <v/>
      </c>
      <c r="AS359" s="1441">
        <f>AS357-AS358</f>
        <v/>
      </c>
      <c r="AT359" s="1441">
        <f>AT357-AT358</f>
        <v/>
      </c>
      <c r="AU359" s="1441">
        <f>AU357-AU358</f>
        <v/>
      </c>
      <c r="AV359" s="1591" t="n"/>
    </row>
    <row r="360" ht="14.4" customFormat="1" customHeight="1" s="1715">
      <c r="A360" s="1716" t="inlineStr">
        <is>
          <t>Consensus Estimates - Company Reported Non-GAAP Operating Income</t>
        </is>
      </c>
      <c r="B360" s="1717" t="n"/>
      <c r="C360" s="1590" t="n"/>
      <c r="D360" s="1590" t="n"/>
      <c r="E360" s="1590" t="n"/>
      <c r="F360" s="1590" t="n"/>
      <c r="G360" s="1590" t="n"/>
      <c r="H360" s="1590" t="n"/>
      <c r="I360" s="1590" t="n"/>
      <c r="J360" s="1590" t="n"/>
      <c r="K360" s="1590" t="n"/>
      <c r="L360" s="1590" t="n"/>
      <c r="M360" s="1590" t="n"/>
      <c r="N360" s="1590" t="n"/>
      <c r="O360" s="1591" t="n"/>
      <c r="P360" s="1718" t="n"/>
      <c r="Q360" s="1591" t="n"/>
      <c r="R360" s="1591" t="n"/>
      <c r="S360" s="1590" t="n"/>
      <c r="T360" s="1591" t="n"/>
      <c r="U360" s="1718" t="n"/>
      <c r="V360" s="1591" t="n"/>
      <c r="W360" s="1591" t="n"/>
      <c r="X360" s="1590" t="n"/>
      <c r="Y360" s="1591" t="n"/>
      <c r="Z360" s="1718" t="n"/>
      <c r="AA360" s="1591" t="n"/>
      <c r="AB360" s="1591" t="n"/>
      <c r="AC360" s="1590" t="n"/>
      <c r="AD360" s="1591" t="n"/>
      <c r="AE360" s="1718" t="n"/>
      <c r="AF360" s="1591" t="n"/>
      <c r="AG360" s="1591" t="n"/>
      <c r="AH360" s="1590" t="n"/>
      <c r="AI360" s="1591" t="n"/>
      <c r="AJ360" s="1718" t="n"/>
      <c r="AK360" s="1592" t="n"/>
      <c r="AL360" s="1451">
        <f>IFERROR(VLOOKUP($A360,tb_ConsensusEstimate,MATCH(AL$5,OFFSET(tb_ConsensusEstimate,0,0,1,COLUMNS(tb_ConsensusEstimate)),0),FALSE),"-")</f>
        <v/>
      </c>
      <c r="AM360" s="1450">
        <f>IFERROR(VLOOKUP($A360,tb_ConsensusEstimate,MATCH(AM$5,OFFSET(tb_ConsensusEstimate,0,0,1,COLUMNS(tb_ConsensusEstimate)),0),FALSE),"-")</f>
        <v/>
      </c>
      <c r="AN360" s="1451">
        <f>IFERROR(VLOOKUP($A360,tb_ConsensusEstimate,MATCH(AN$5,OFFSET(tb_ConsensusEstimate,0,0,1,COLUMNS(tb_ConsensusEstimate)),0),FALSE),"-")</f>
        <v/>
      </c>
      <c r="AO360" s="1451">
        <f>IFERROR(VLOOKUP($A360,tb_ConsensusEstimate,MATCH(AO$5,OFFSET(tb_ConsensusEstimate,0,0,1,COLUMNS(tb_ConsensusEstimate)),0),FALSE),"-")</f>
        <v/>
      </c>
      <c r="AP360" s="1451">
        <f>IFERROR(VLOOKUP($A360,tb_ConsensusEstimate,MATCH(AP$5,OFFSET(tb_ConsensusEstimate,0,0,1,COLUMNS(tb_ConsensusEstimate)),0),FALSE),"-")</f>
        <v/>
      </c>
      <c r="AQ360" s="1451">
        <f>IFERROR(VLOOKUP($A360,tb_ConsensusEstimate,MATCH(AQ$5,OFFSET(tb_ConsensusEstimate,0,0,1,COLUMNS(tb_ConsensusEstimate)),0),FALSE),"-")</f>
        <v/>
      </c>
      <c r="AR360" s="1450">
        <f>IFERROR(VLOOKUP($A360,tb_ConsensusEstimate,MATCH(AR$5,OFFSET(tb_ConsensusEstimate,0,0,1,COLUMNS(tb_ConsensusEstimate)),0),FALSE),"-")</f>
        <v/>
      </c>
      <c r="AS360" s="1450">
        <f>IFERROR(VLOOKUP($A360,tb_ConsensusEstimate,MATCH(AS$5,OFFSET(tb_ConsensusEstimate,0,0,1,COLUMNS(tb_ConsensusEstimate)),0),FALSE),"-")</f>
        <v/>
      </c>
      <c r="AT360" s="1450">
        <f>IFERROR(VLOOKUP($A360,tb_ConsensusEstimate,MATCH(AT$5,OFFSET(tb_ConsensusEstimate,0,0,1,COLUMNS(tb_ConsensusEstimate)),0),FALSE),"-")</f>
        <v/>
      </c>
      <c r="AU360" s="1450">
        <f>IFERROR(VLOOKUP($A360,tb_ConsensusEstimate,MATCH(AU$5,OFFSET(tb_ConsensusEstimate,0,0,1,COLUMNS(tb_ConsensusEstimate)),0),FALSE),"-")</f>
        <v/>
      </c>
      <c r="AV360" s="1591" t="n"/>
    </row>
    <row r="361" ht="7.5" customFormat="1" customHeight="1" s="1715">
      <c r="A361" s="1726" t="n"/>
      <c r="B361" s="1695" t="n"/>
      <c r="C361" s="1535" t="n"/>
      <c r="D361" s="1535" t="n"/>
      <c r="E361" s="1535" t="n"/>
      <c r="F361" s="1535" t="n"/>
      <c r="G361" s="1535" t="n"/>
      <c r="H361" s="1535" t="n"/>
      <c r="I361" s="1535" t="n"/>
      <c r="J361" s="1535" t="n"/>
      <c r="K361" s="1535" t="n"/>
      <c r="L361" s="1535" t="n"/>
      <c r="M361" s="1535" t="n"/>
      <c r="N361" s="1535" t="n"/>
      <c r="O361" s="1536" t="n"/>
      <c r="P361" s="1727" t="n"/>
      <c r="Q361" s="1536" t="n"/>
      <c r="R361" s="1536" t="n"/>
      <c r="S361" s="1535" t="n"/>
      <c r="T361" s="1536" t="n"/>
      <c r="U361" s="1727" t="n"/>
      <c r="V361" s="1536" t="n"/>
      <c r="W361" s="1536" t="n"/>
      <c r="X361" s="1535" t="n"/>
      <c r="Y361" s="1536" t="n"/>
      <c r="Z361" s="1727" t="n"/>
      <c r="AA361" s="1536" t="n"/>
      <c r="AB361" s="1536" t="n"/>
      <c r="AC361" s="1535" t="n"/>
      <c r="AD361" s="1536" t="n"/>
      <c r="AE361" s="1727" t="n"/>
      <c r="AF361" s="1536" t="n"/>
      <c r="AG361" s="1536" t="n"/>
      <c r="AH361" s="1535" t="n"/>
      <c r="AI361" s="1536" t="n"/>
      <c r="AJ361" s="1727" t="n"/>
      <c r="AK361" s="1674" t="n"/>
      <c r="AL361" s="1442" t="n"/>
      <c r="AM361" s="1441" t="n"/>
      <c r="AN361" s="1442" t="n"/>
      <c r="AO361" s="1442" t="n"/>
      <c r="AP361" s="1442" t="n"/>
      <c r="AQ361" s="1442" t="n"/>
      <c r="AR361" s="1441" t="n"/>
      <c r="AS361" s="1441" t="n"/>
      <c r="AT361" s="1441" t="n"/>
      <c r="AU361" s="1441" t="n"/>
      <c r="AV361" s="1591" t="n"/>
    </row>
    <row r="362" hidden="1" outlineLevel="1" ht="14.4" customFormat="1" customHeight="1" s="1715">
      <c r="A362" s="1719" t="inlineStr">
        <is>
          <t>Reported Depreciation</t>
        </is>
      </c>
      <c r="B362" s="1698" t="n"/>
      <c r="C362" s="1529" t="n"/>
      <c r="D362" s="1529" t="n"/>
      <c r="E362" s="1529" t="n"/>
      <c r="F362" s="1529" t="n"/>
      <c r="G362" s="1529" t="n"/>
      <c r="H362" s="1529" t="n"/>
      <c r="I362" s="1529" t="n"/>
      <c r="J362" s="1529" t="n"/>
      <c r="K362" s="1529" t="n"/>
      <c r="L362" s="1529" t="n"/>
      <c r="M362" s="1529" t="n"/>
      <c r="N362" s="1529" t="n"/>
      <c r="O362" s="1420" t="n"/>
      <c r="P362" s="1720" t="n"/>
      <c r="Q362" s="1420" t="n"/>
      <c r="R362" s="1420" t="n"/>
      <c r="S362" s="1529" t="n"/>
      <c r="T362" s="1420" t="n"/>
      <c r="U362" s="1720" t="n"/>
      <c r="V362" s="1420" t="n"/>
      <c r="W362" s="1420" t="n"/>
      <c r="X362" s="1529">
        <f>X304</f>
        <v/>
      </c>
      <c r="Y362" s="1420" t="n"/>
      <c r="Z362" s="1720" t="n"/>
      <c r="AA362" s="1420">
        <f>AA304-AA385</f>
        <v/>
      </c>
      <c r="AB362" s="1420">
        <f>AB304-AB385</f>
        <v/>
      </c>
      <c r="AC362" s="1529">
        <f>AC304-AC385</f>
        <v/>
      </c>
      <c r="AD362" s="1420">
        <f>AD304-AD385</f>
        <v/>
      </c>
      <c r="AE362" s="1720">
        <f>AE304-AE385</f>
        <v/>
      </c>
      <c r="AF362" s="1420">
        <f>AF304-AF385</f>
        <v/>
      </c>
      <c r="AG362" s="1420">
        <f>AG304-AG385</f>
        <v/>
      </c>
      <c r="AH362" s="1529">
        <f>AH304-AH385</f>
        <v/>
      </c>
      <c r="AI362" s="1420">
        <f>AI304-AI385</f>
        <v/>
      </c>
      <c r="AJ362" s="1720">
        <f>AJ304-AJ385</f>
        <v/>
      </c>
      <c r="AK362" s="1421">
        <f>AK304-AK385</f>
        <v/>
      </c>
      <c r="AL362" s="1470">
        <f>AL127</f>
        <v/>
      </c>
      <c r="AM362" s="1469">
        <f>SUM(AI362,AJ362,AK362,AL362)</f>
        <v/>
      </c>
      <c r="AN362" s="1470">
        <f>AN127</f>
        <v/>
      </c>
      <c r="AO362" s="1470">
        <f>AO127</f>
        <v/>
      </c>
      <c r="AP362" s="1470">
        <f>AP127</f>
        <v/>
      </c>
      <c r="AQ362" s="1470">
        <f>AQ127</f>
        <v/>
      </c>
      <c r="AR362" s="1469">
        <f>SUM(AN362,AO362,AP362,AQ362)</f>
        <v/>
      </c>
      <c r="AS362" s="1469">
        <f>AS127</f>
        <v/>
      </c>
      <c r="AT362" s="1469">
        <f>AT127</f>
        <v/>
      </c>
      <c r="AU362" s="1469">
        <f>AU127</f>
        <v/>
      </c>
      <c r="AV362" s="1591" t="n"/>
    </row>
    <row r="363" hidden="1" outlineLevel="1" ht="14.4" customFormat="1" customHeight="1" s="1715">
      <c r="A363" s="1728" t="inlineStr">
        <is>
          <t>Other</t>
        </is>
      </c>
      <c r="B363" s="1702" t="n"/>
      <c r="C363" s="1582" t="n"/>
      <c r="D363" s="1582" t="n"/>
      <c r="E363" s="1582" t="n"/>
      <c r="F363" s="1582" t="n"/>
      <c r="G363" s="1582" t="n"/>
      <c r="H363" s="1582" t="n"/>
      <c r="I363" s="1582" t="n"/>
      <c r="J363" s="1582" t="n"/>
      <c r="K363" s="1582" t="n"/>
      <c r="L363" s="1582" t="n"/>
      <c r="M363" s="1582" t="n"/>
      <c r="N363" s="1582" t="n"/>
      <c r="O363" s="1583" t="n"/>
      <c r="P363" s="1723" t="n"/>
      <c r="Q363" s="1583" t="n"/>
      <c r="R363" s="1583" t="n"/>
      <c r="S363" s="1582" t="n"/>
      <c r="T363" s="1583" t="n"/>
      <c r="U363" s="1723" t="n"/>
      <c r="V363" s="1583" t="n"/>
      <c r="W363" s="1583" t="n"/>
      <c r="X363" s="1582">
        <f>X294</f>
        <v/>
      </c>
      <c r="Y363" s="1583" t="n"/>
      <c r="Z363" s="1723" t="n"/>
      <c r="AA363" s="1583">
        <f>AA294</f>
        <v/>
      </c>
      <c r="AB363" s="1583">
        <f>AB294</f>
        <v/>
      </c>
      <c r="AC363" s="1582">
        <f>AC294</f>
        <v/>
      </c>
      <c r="AD363" s="1583">
        <f>AD294</f>
        <v/>
      </c>
      <c r="AE363" s="1723">
        <f>AE294</f>
        <v/>
      </c>
      <c r="AF363" s="1583">
        <f>AF294</f>
        <v/>
      </c>
      <c r="AG363" s="1583">
        <f>AG294</f>
        <v/>
      </c>
      <c r="AH363" s="1582">
        <f>AH294</f>
        <v/>
      </c>
      <c r="AI363" s="1583">
        <f>AI294</f>
        <v/>
      </c>
      <c r="AJ363" s="1723">
        <f>AJ294</f>
        <v/>
      </c>
      <c r="AK363" s="1584">
        <f>AK294</f>
        <v/>
      </c>
      <c r="AL363" s="1729" t="n">
        <v>0</v>
      </c>
      <c r="AM363" s="1725">
        <f>SUM(AI363,AJ363,AK363,AL363)</f>
        <v/>
      </c>
      <c r="AN363" s="1729" t="n">
        <v>0</v>
      </c>
      <c r="AO363" s="1729" t="n">
        <v>0</v>
      </c>
      <c r="AP363" s="1729" t="n">
        <v>0</v>
      </c>
      <c r="AQ363" s="1729" t="n">
        <v>0</v>
      </c>
      <c r="AR363" s="1725">
        <f>SUM(AN363,AO363,AP363,AQ363)</f>
        <v/>
      </c>
      <c r="AS363" s="1730" t="n">
        <v>0</v>
      </c>
      <c r="AT363" s="1730" t="n">
        <v>0</v>
      </c>
      <c r="AU363" s="1730" t="n">
        <v>0</v>
      </c>
      <c r="AV363" s="1591" t="n"/>
    </row>
    <row r="364" hidden="1" outlineLevel="1" ht="14.4" customFormat="1" customHeight="1" s="1715">
      <c r="A364" s="1726" t="inlineStr">
        <is>
          <t>Non-GAAP EBITDA</t>
        </is>
      </c>
      <c r="B364" s="1695" t="n"/>
      <c r="C364" s="1535" t="n"/>
      <c r="D364" s="1535" t="n"/>
      <c r="E364" s="1535" t="n"/>
      <c r="F364" s="1535" t="n"/>
      <c r="G364" s="1535" t="n"/>
      <c r="H364" s="1535" t="n"/>
      <c r="I364" s="1535" t="n"/>
      <c r="J364" s="1535" t="n"/>
      <c r="K364" s="1535" t="n"/>
      <c r="L364" s="1535" t="n"/>
      <c r="M364" s="1535" t="n"/>
      <c r="N364" s="1535" t="n"/>
      <c r="O364" s="1536" t="n"/>
      <c r="P364" s="1727" t="n"/>
      <c r="Q364" s="1536" t="n"/>
      <c r="R364" s="1536" t="n"/>
      <c r="S364" s="1535" t="n"/>
      <c r="T364" s="1536" t="n"/>
      <c r="U364" s="1727" t="n"/>
      <c r="V364" s="1536" t="n"/>
      <c r="W364" s="1536" t="n"/>
      <c r="X364" s="1535">
        <f>X359+X362+X363</f>
        <v/>
      </c>
      <c r="Y364" s="1536" t="n"/>
      <c r="Z364" s="1727" t="n"/>
      <c r="AA364" s="1536">
        <f>AA359+AA362+AA363</f>
        <v/>
      </c>
      <c r="AB364" s="1536">
        <f>AB359+AB362+AB363</f>
        <v/>
      </c>
      <c r="AC364" s="1535">
        <f>AC359+AC362+AC363</f>
        <v/>
      </c>
      <c r="AD364" s="1536">
        <f>AD359+AD362+AD363</f>
        <v/>
      </c>
      <c r="AE364" s="1727">
        <f>AE359+AE362+AE363</f>
        <v/>
      </c>
      <c r="AF364" s="1536">
        <f>AF359+AF362+AF363</f>
        <v/>
      </c>
      <c r="AG364" s="1536">
        <f>AG359+AG362+AG363</f>
        <v/>
      </c>
      <c r="AH364" s="1535">
        <f>AH359+AH362+AH363</f>
        <v/>
      </c>
      <c r="AI364" s="1536">
        <f>AI359+AI362+AI363</f>
        <v/>
      </c>
      <c r="AJ364" s="1727">
        <f>AJ359+AJ362+AJ363</f>
        <v/>
      </c>
      <c r="AK364" s="1674">
        <f>AK359+AK362+AK363</f>
        <v/>
      </c>
      <c r="AL364" s="1442">
        <f>AL359+AL362+AL363</f>
        <v/>
      </c>
      <c r="AM364" s="1441">
        <f>AM359+AM362+AM363</f>
        <v/>
      </c>
      <c r="AN364" s="1442">
        <f>AN359+AN362+AN363</f>
        <v/>
      </c>
      <c r="AO364" s="1442">
        <f>AO359+AO362+AO363</f>
        <v/>
      </c>
      <c r="AP364" s="1442">
        <f>AP359+AP362+AP363</f>
        <v/>
      </c>
      <c r="AQ364" s="1442">
        <f>AQ359+AQ362+AQ363</f>
        <v/>
      </c>
      <c r="AR364" s="1441">
        <f>AR359+AR362+AR363</f>
        <v/>
      </c>
      <c r="AS364" s="1441">
        <f>AS359+AS362+AS363</f>
        <v/>
      </c>
      <c r="AT364" s="1441">
        <f>AT359+AT362+AT363</f>
        <v/>
      </c>
      <c r="AU364" s="1441">
        <f>AU359+AU362+AU363</f>
        <v/>
      </c>
      <c r="AV364" s="1591" t="n"/>
    </row>
    <row r="365" hidden="1" outlineLevel="1" ht="14.4" customFormat="1" customHeight="1" s="1715">
      <c r="A365" s="1716" t="inlineStr">
        <is>
          <t>Consensus Estimates - Non-GAAP EBITDA</t>
        </is>
      </c>
      <c r="B365" s="1717" t="n"/>
      <c r="C365" s="1590" t="n"/>
      <c r="D365" s="1590" t="n"/>
      <c r="E365" s="1590" t="n"/>
      <c r="F365" s="1590" t="n"/>
      <c r="G365" s="1590" t="n"/>
      <c r="H365" s="1590" t="n"/>
      <c r="I365" s="1590" t="n"/>
      <c r="J365" s="1590" t="n"/>
      <c r="K365" s="1590" t="n"/>
      <c r="L365" s="1590" t="n"/>
      <c r="M365" s="1590" t="n"/>
      <c r="N365" s="1590" t="n"/>
      <c r="O365" s="1591" t="n"/>
      <c r="P365" s="1718" t="n"/>
      <c r="Q365" s="1591" t="n"/>
      <c r="R365" s="1591" t="n"/>
      <c r="S365" s="1590" t="n"/>
      <c r="T365" s="1591" t="n"/>
      <c r="U365" s="1718" t="n"/>
      <c r="V365" s="1591" t="n"/>
      <c r="W365" s="1591" t="n"/>
      <c r="X365" s="1590" t="n"/>
      <c r="Y365" s="1591" t="n"/>
      <c r="Z365" s="1718" t="n"/>
      <c r="AA365" s="1591" t="n"/>
      <c r="AB365" s="1591" t="n"/>
      <c r="AC365" s="1590" t="n"/>
      <c r="AD365" s="1591" t="n"/>
      <c r="AE365" s="1718" t="n"/>
      <c r="AF365" s="1591" t="n"/>
      <c r="AG365" s="1591" t="n"/>
      <c r="AH365" s="1590" t="n"/>
      <c r="AI365" s="1591" t="n"/>
      <c r="AJ365" s="1718" t="n"/>
      <c r="AK365" s="1592" t="n"/>
      <c r="AL365" s="1451">
        <f>IFERROR(VLOOKUP($A365,tb_ConsensusEstimate,MATCH(AL$5,OFFSET(tb_ConsensusEstimate,0,0,1,COLUMNS(tb_ConsensusEstimate)),0),FALSE),"-")</f>
        <v/>
      </c>
      <c r="AM365" s="1450">
        <f>IFERROR(VLOOKUP($A365,tb_ConsensusEstimate,MATCH(AM$5,OFFSET(tb_ConsensusEstimate,0,0,1,COLUMNS(tb_ConsensusEstimate)),0),FALSE),"-")</f>
        <v/>
      </c>
      <c r="AN365" s="1451">
        <f>IFERROR(VLOOKUP($A365,tb_ConsensusEstimate,MATCH(AN$5,OFFSET(tb_ConsensusEstimate,0,0,1,COLUMNS(tb_ConsensusEstimate)),0),FALSE),"-")</f>
        <v/>
      </c>
      <c r="AO365" s="1451">
        <f>IFERROR(VLOOKUP($A365,tb_ConsensusEstimate,MATCH(AO$5,OFFSET(tb_ConsensusEstimate,0,0,1,COLUMNS(tb_ConsensusEstimate)),0),FALSE),"-")</f>
        <v/>
      </c>
      <c r="AP365" s="1451">
        <f>IFERROR(VLOOKUP($A365,tb_ConsensusEstimate,MATCH(AP$5,OFFSET(tb_ConsensusEstimate,0,0,1,COLUMNS(tb_ConsensusEstimate)),0),FALSE),"-")</f>
        <v/>
      </c>
      <c r="AQ365" s="1451">
        <f>IFERROR(VLOOKUP($A365,tb_ConsensusEstimate,MATCH(AQ$5,OFFSET(tb_ConsensusEstimate,0,0,1,COLUMNS(tb_ConsensusEstimate)),0),FALSE),"-")</f>
        <v/>
      </c>
      <c r="AR365" s="1450">
        <f>IFERROR(VLOOKUP($A365,tb_ConsensusEstimate,MATCH(AR$5,OFFSET(tb_ConsensusEstimate,0,0,1,COLUMNS(tb_ConsensusEstimate)),0),FALSE),"-")</f>
        <v/>
      </c>
      <c r="AS365" s="1450">
        <f>IFERROR(VLOOKUP($A365,tb_ConsensusEstimate,MATCH(AS$5,OFFSET(tb_ConsensusEstimate,0,0,1,COLUMNS(tb_ConsensusEstimate)),0),FALSE),"-")</f>
        <v/>
      </c>
      <c r="AT365" s="1450">
        <f>IFERROR(VLOOKUP($A365,tb_ConsensusEstimate,MATCH(AT$5,OFFSET(tb_ConsensusEstimate,0,0,1,COLUMNS(tb_ConsensusEstimate)),0),FALSE),"-")</f>
        <v/>
      </c>
      <c r="AU365" s="1450">
        <f>IFERROR(VLOOKUP($A365,tb_ConsensusEstimate,MATCH(AU$5,OFFSET(tb_ConsensusEstimate,0,0,1,COLUMNS(tb_ConsensusEstimate)),0),FALSE),"-")</f>
        <v/>
      </c>
      <c r="AV365" s="1591" t="n"/>
    </row>
    <row r="366" hidden="1" outlineLevel="1" ht="14.4" customFormat="1" customHeight="1" s="1715">
      <c r="A366" s="1726" t="n"/>
      <c r="B366" s="1695" t="n"/>
      <c r="C366" s="1535" t="n"/>
      <c r="D366" s="1535" t="n"/>
      <c r="E366" s="1535" t="n"/>
      <c r="F366" s="1535" t="n"/>
      <c r="G366" s="1535" t="n"/>
      <c r="H366" s="1535" t="n"/>
      <c r="I366" s="1535" t="n"/>
      <c r="J366" s="1535" t="n"/>
      <c r="K366" s="1535" t="n"/>
      <c r="L366" s="1535" t="n"/>
      <c r="M366" s="1535" t="n"/>
      <c r="N366" s="1535" t="n"/>
      <c r="O366" s="1536" t="n"/>
      <c r="P366" s="1727" t="n"/>
      <c r="Q366" s="1536" t="n"/>
      <c r="R366" s="1536" t="n"/>
      <c r="S366" s="1535" t="n"/>
      <c r="T366" s="1536" t="n"/>
      <c r="U366" s="1727" t="n"/>
      <c r="V366" s="1536" t="n"/>
      <c r="W366" s="1536" t="n"/>
      <c r="X366" s="1535" t="n"/>
      <c r="Y366" s="1536" t="n"/>
      <c r="Z366" s="1727" t="n"/>
      <c r="AA366" s="1536" t="n"/>
      <c r="AB366" s="1536" t="n"/>
      <c r="AC366" s="1535" t="n"/>
      <c r="AD366" s="1536" t="n"/>
      <c r="AE366" s="1727" t="n"/>
      <c r="AF366" s="1536" t="n"/>
      <c r="AG366" s="1536" t="n"/>
      <c r="AH366" s="1535" t="n"/>
      <c r="AI366" s="1536" t="n"/>
      <c r="AJ366" s="1727" t="n"/>
      <c r="AK366" s="1674" t="n"/>
      <c r="AL366" s="1442" t="n"/>
      <c r="AM366" s="1441" t="n"/>
      <c r="AN366" s="1442" t="n"/>
      <c r="AO366" s="1442" t="n"/>
      <c r="AP366" s="1442" t="n"/>
      <c r="AQ366" s="1442" t="n"/>
      <c r="AR366" s="1441" t="n"/>
      <c r="AS366" s="1441" t="n"/>
      <c r="AT366" s="1441" t="n"/>
      <c r="AU366" s="1441" t="n"/>
      <c r="AV366" s="1591" t="n"/>
    </row>
    <row r="367" hidden="1" outlineLevel="1" ht="14.4" customFormat="1" customHeight="1" s="1715">
      <c r="A367" s="1721" t="inlineStr">
        <is>
          <t>GAAP Interest Expense</t>
        </is>
      </c>
      <c r="B367" s="1698" t="n"/>
      <c r="C367" s="1529" t="n"/>
      <c r="D367" s="1529" t="n"/>
      <c r="E367" s="1529" t="n"/>
      <c r="F367" s="1529" t="n"/>
      <c r="G367" s="1529" t="n"/>
      <c r="H367" s="1529" t="n"/>
      <c r="I367" s="1529" t="n"/>
      <c r="J367" s="1529" t="n"/>
      <c r="K367" s="1529" t="n"/>
      <c r="L367" s="1529" t="n"/>
      <c r="M367" s="1529" t="n"/>
      <c r="N367" s="1529" t="n"/>
      <c r="O367" s="1420" t="n"/>
      <c r="P367" s="1720" t="n"/>
      <c r="Q367" s="1420" t="n"/>
      <c r="R367" s="1420" t="n"/>
      <c r="S367" s="1529" t="n"/>
      <c r="T367" s="1420" t="n"/>
      <c r="U367" s="1720" t="n"/>
      <c r="V367" s="1420" t="n"/>
      <c r="W367" s="1420" t="n"/>
      <c r="X367" s="1529" t="n"/>
      <c r="Y367" s="1420" t="n"/>
      <c r="Z367" s="1720" t="n"/>
      <c r="AA367" s="1420" t="n"/>
      <c r="AB367" s="1420" t="n"/>
      <c r="AC367" s="1529" t="n"/>
      <c r="AD367" s="1420" t="n"/>
      <c r="AE367" s="1720" t="n"/>
      <c r="AF367" s="1420" t="n"/>
      <c r="AG367" s="1420" t="n"/>
      <c r="AH367" s="1529" t="n"/>
      <c r="AI367" s="1420" t="n"/>
      <c r="AJ367" s="1720" t="n"/>
      <c r="AK367" s="1421" t="n"/>
      <c r="AL367" s="1470">
        <f>AL467</f>
        <v/>
      </c>
      <c r="AM367" s="1469">
        <f>SUM(AI367,AJ367,AK367,AL367)</f>
        <v/>
      </c>
      <c r="AN367" s="1470">
        <f>AN467</f>
        <v/>
      </c>
      <c r="AO367" s="1470">
        <f>AO467</f>
        <v/>
      </c>
      <c r="AP367" s="1470">
        <f>AP467</f>
        <v/>
      </c>
      <c r="AQ367" s="1470">
        <f>AQ467</f>
        <v/>
      </c>
      <c r="AR367" s="1469">
        <f>SUM(AN367,AO367,AP367,AQ367)</f>
        <v/>
      </c>
      <c r="AS367" s="1469">
        <f>AS467</f>
        <v/>
      </c>
      <c r="AT367" s="1469">
        <f>AT467</f>
        <v/>
      </c>
      <c r="AU367" s="1469">
        <f>AU467</f>
        <v/>
      </c>
      <c r="AV367" s="1591" t="n"/>
    </row>
    <row r="368" hidden="1" outlineLevel="1" ht="14.4" customFormat="1" customHeight="1" s="1715">
      <c r="A368" s="1722" t="inlineStr">
        <is>
          <t>GAAP Interest Income</t>
        </is>
      </c>
      <c r="B368" s="1702" t="n"/>
      <c r="C368" s="1582" t="n"/>
      <c r="D368" s="1582" t="n"/>
      <c r="E368" s="1582" t="n"/>
      <c r="F368" s="1582" t="n"/>
      <c r="G368" s="1582" t="n"/>
      <c r="H368" s="1582" t="n"/>
      <c r="I368" s="1582" t="n"/>
      <c r="J368" s="1582" t="n"/>
      <c r="K368" s="1582" t="n"/>
      <c r="L368" s="1582" t="n"/>
      <c r="M368" s="1582" t="n"/>
      <c r="N368" s="1582" t="n"/>
      <c r="O368" s="1583" t="n"/>
      <c r="P368" s="1723" t="n"/>
      <c r="Q368" s="1583" t="n"/>
      <c r="R368" s="1583" t="n"/>
      <c r="S368" s="1582" t="n"/>
      <c r="T368" s="1583" t="n"/>
      <c r="U368" s="1723" t="n"/>
      <c r="V368" s="1583" t="n"/>
      <c r="W368" s="1583" t="n"/>
      <c r="X368" s="1582" t="n"/>
      <c r="Y368" s="1583" t="n"/>
      <c r="Z368" s="1723" t="n"/>
      <c r="AA368" s="1583" t="n"/>
      <c r="AB368" s="1583" t="n"/>
      <c r="AC368" s="1582" t="n"/>
      <c r="AD368" s="1583" t="n"/>
      <c r="AE368" s="1723" t="n"/>
      <c r="AF368" s="1583" t="n"/>
      <c r="AG368" s="1583" t="n"/>
      <c r="AH368" s="1582" t="n"/>
      <c r="AI368" s="1583" t="n"/>
      <c r="AJ368" s="1723" t="n"/>
      <c r="AK368" s="1584" t="n"/>
      <c r="AL368" s="1724">
        <f>-AL469</f>
        <v/>
      </c>
      <c r="AM368" s="1725">
        <f>SUM(AI368,AJ368,AK368,AL368)</f>
        <v/>
      </c>
      <c r="AN368" s="1724">
        <f>-AN469</f>
        <v/>
      </c>
      <c r="AO368" s="1724">
        <f>-AO469</f>
        <v/>
      </c>
      <c r="AP368" s="1724">
        <f>-AP469</f>
        <v/>
      </c>
      <c r="AQ368" s="1724">
        <f>-AQ469</f>
        <v/>
      </c>
      <c r="AR368" s="1725">
        <f>SUM(AN368,AO368,AP368,AQ368)</f>
        <v/>
      </c>
      <c r="AS368" s="1725">
        <f>-AS469</f>
        <v/>
      </c>
      <c r="AT368" s="1725">
        <f>-AT469</f>
        <v/>
      </c>
      <c r="AU368" s="1725">
        <f>-AU469</f>
        <v/>
      </c>
      <c r="AV368" s="1591" t="n"/>
    </row>
    <row r="369" hidden="1" outlineLevel="1" ht="14.4" customFormat="1" customHeight="1" s="1715">
      <c r="A369" s="1719" t="inlineStr">
        <is>
          <t>GAAP Net Interest Expense</t>
        </is>
      </c>
      <c r="B369" s="1698" t="n"/>
      <c r="C369" s="1529" t="n"/>
      <c r="D369" s="1529" t="n"/>
      <c r="E369" s="1529" t="n"/>
      <c r="F369" s="1529" t="n"/>
      <c r="G369" s="1529" t="n"/>
      <c r="H369" s="1529" t="n"/>
      <c r="I369" s="1529" t="n"/>
      <c r="J369" s="1529" t="n"/>
      <c r="K369" s="1529" t="n"/>
      <c r="L369" s="1529" t="n"/>
      <c r="M369" s="1529" t="n"/>
      <c r="N369" s="1529" t="n"/>
      <c r="O369" s="1420" t="n"/>
      <c r="P369" s="1720" t="n"/>
      <c r="Q369" s="1420" t="n"/>
      <c r="R369" s="1420" t="n"/>
      <c r="S369" s="1529" t="n"/>
      <c r="T369" s="1420" t="n"/>
      <c r="U369" s="1720" t="n"/>
      <c r="V369" s="1420" t="n"/>
      <c r="W369" s="1420" t="n"/>
      <c r="X369" s="1529">
        <f>-X287</f>
        <v/>
      </c>
      <c r="Y369" s="1420" t="n"/>
      <c r="Z369" s="1720" t="n"/>
      <c r="AA369" s="1420">
        <f>-AA287</f>
        <v/>
      </c>
      <c r="AB369" s="1420">
        <f>-AB287</f>
        <v/>
      </c>
      <c r="AC369" s="1529">
        <f>-AC287</f>
        <v/>
      </c>
      <c r="AD369" s="1420">
        <f>-AD287</f>
        <v/>
      </c>
      <c r="AE369" s="1720">
        <f>-AE287</f>
        <v/>
      </c>
      <c r="AF369" s="1420">
        <f>-AF287</f>
        <v/>
      </c>
      <c r="AG369" s="1420">
        <f>-AG287</f>
        <v/>
      </c>
      <c r="AH369" s="1529">
        <f>-AH287</f>
        <v/>
      </c>
      <c r="AI369" s="1420">
        <f>-AI287</f>
        <v/>
      </c>
      <c r="AJ369" s="1720">
        <f>-AJ287</f>
        <v/>
      </c>
      <c r="AK369" s="1421">
        <f>-AK287</f>
        <v/>
      </c>
      <c r="AL369" s="1470">
        <f>AL367+AL368</f>
        <v/>
      </c>
      <c r="AM369" s="1469">
        <f>SUM(AI369,AJ369,AK369,AL369)</f>
        <v/>
      </c>
      <c r="AN369" s="1470">
        <f>AN367+AN368</f>
        <v/>
      </c>
      <c r="AO369" s="1470">
        <f>AO367+AO368</f>
        <v/>
      </c>
      <c r="AP369" s="1470">
        <f>AP367+AP368</f>
        <v/>
      </c>
      <c r="AQ369" s="1470">
        <f>AQ367+AQ368</f>
        <v/>
      </c>
      <c r="AR369" s="1469">
        <f>SUM(AN369,AO369,AP369,AQ369)</f>
        <v/>
      </c>
      <c r="AS369" s="1469">
        <f>AS367+AS368</f>
        <v/>
      </c>
      <c r="AT369" s="1469">
        <f>AT367+AT368</f>
        <v/>
      </c>
      <c r="AU369" s="1469">
        <f>AU367+AU368</f>
        <v/>
      </c>
      <c r="AV369" s="1591" t="n"/>
    </row>
    <row r="370" hidden="1" outlineLevel="1" ht="14.4" customFormat="1" customHeight="1" s="1715">
      <c r="A370" s="1722" t="inlineStr">
        <is>
          <t>Non-GAAP Adjustment to Net Interest Expense</t>
        </is>
      </c>
      <c r="B370" s="1702" t="n"/>
      <c r="C370" s="1582" t="n"/>
      <c r="D370" s="1582" t="n"/>
      <c r="E370" s="1582" t="n"/>
      <c r="F370" s="1582" t="n"/>
      <c r="G370" s="1582" t="n"/>
      <c r="H370" s="1582" t="n"/>
      <c r="I370" s="1582" t="n"/>
      <c r="J370" s="1582" t="n"/>
      <c r="K370" s="1582" t="n"/>
      <c r="L370" s="1582" t="n"/>
      <c r="M370" s="1582" t="n"/>
      <c r="N370" s="1582" t="n"/>
      <c r="O370" s="1583" t="n"/>
      <c r="P370" s="1723" t="n"/>
      <c r="Q370" s="1583" t="n"/>
      <c r="R370" s="1583" t="n"/>
      <c r="S370" s="1582" t="n"/>
      <c r="T370" s="1583" t="n"/>
      <c r="U370" s="1723" t="n"/>
      <c r="V370" s="1583" t="n"/>
      <c r="W370" s="1583" t="n"/>
      <c r="X370" s="1582" t="n"/>
      <c r="Y370" s="1583" t="n"/>
      <c r="Z370" s="1723" t="n"/>
      <c r="AA370" s="1583" t="n"/>
      <c r="AB370" s="1583" t="n"/>
      <c r="AC370" s="1582" t="n"/>
      <c r="AD370" s="1583" t="n"/>
      <c r="AE370" s="1723" t="n"/>
      <c r="AF370" s="1583" t="n"/>
      <c r="AG370" s="1583" t="n"/>
      <c r="AH370" s="1582" t="n"/>
      <c r="AI370" s="1583" t="n"/>
      <c r="AJ370" s="1723" t="n"/>
      <c r="AK370" s="1584" t="n"/>
      <c r="AL370" s="1729" t="n">
        <v>0</v>
      </c>
      <c r="AM370" s="1725">
        <f>SUM(AI370,AJ370,AK370,AL370)</f>
        <v/>
      </c>
      <c r="AN370" s="1729" t="n">
        <v>0</v>
      </c>
      <c r="AO370" s="1729" t="n">
        <v>0</v>
      </c>
      <c r="AP370" s="1729" t="n">
        <v>0</v>
      </c>
      <c r="AQ370" s="1729" t="n">
        <v>0</v>
      </c>
      <c r="AR370" s="1725">
        <f>SUM(AN370,AO370,AP370,AQ370)</f>
        <v/>
      </c>
      <c r="AS370" s="1730" t="n">
        <v>0</v>
      </c>
      <c r="AT370" s="1730" t="n">
        <v>0</v>
      </c>
      <c r="AU370" s="1730" t="n">
        <v>0</v>
      </c>
      <c r="AV370" s="1591" t="n"/>
    </row>
    <row r="371" collapsed="1" ht="14.4" customFormat="1" customHeight="1" s="1715">
      <c r="A371" s="1719" t="inlineStr">
        <is>
          <t>Non-GAAP Net Interest Expense</t>
        </is>
      </c>
      <c r="B371" s="1698" t="n"/>
      <c r="C371" s="1529" t="n"/>
      <c r="D371" s="1529" t="n"/>
      <c r="E371" s="1529" t="n"/>
      <c r="F371" s="1529" t="n"/>
      <c r="G371" s="1529" t="n"/>
      <c r="H371" s="1529" t="n"/>
      <c r="I371" s="1529" t="n"/>
      <c r="J371" s="1529" t="n"/>
      <c r="K371" s="1529" t="n"/>
      <c r="L371" s="1529" t="n"/>
      <c r="M371" s="1529" t="n"/>
      <c r="N371" s="1529" t="n"/>
      <c r="O371" s="1420" t="n"/>
      <c r="P371" s="1720" t="n"/>
      <c r="Q371" s="1420" t="n"/>
      <c r="R371" s="1420" t="n"/>
      <c r="S371" s="1529" t="n"/>
      <c r="T371" s="1420" t="n"/>
      <c r="U371" s="1720" t="n"/>
      <c r="V371" s="1420" t="n"/>
      <c r="W371" s="1420" t="n"/>
      <c r="X371" s="1529">
        <f>X369-X370</f>
        <v/>
      </c>
      <c r="Y371" s="1420" t="n"/>
      <c r="Z371" s="1720" t="n"/>
      <c r="AA371" s="1420">
        <f>AA369-AA370</f>
        <v/>
      </c>
      <c r="AB371" s="1420">
        <f>AB369-AB370</f>
        <v/>
      </c>
      <c r="AC371" s="1529">
        <f>AC369-AC370</f>
        <v/>
      </c>
      <c r="AD371" s="1420">
        <f>AD369-AD370</f>
        <v/>
      </c>
      <c r="AE371" s="1720">
        <f>AE369-AE370</f>
        <v/>
      </c>
      <c r="AF371" s="1420">
        <f>AF369-AF370</f>
        <v/>
      </c>
      <c r="AG371" s="1420">
        <f>AG369-AG370</f>
        <v/>
      </c>
      <c r="AH371" s="1529">
        <f>AH369-AH370</f>
        <v/>
      </c>
      <c r="AI371" s="1420">
        <f>AI369-AI370</f>
        <v/>
      </c>
      <c r="AJ371" s="1720">
        <f>AJ369-AJ370</f>
        <v/>
      </c>
      <c r="AK371" s="1421">
        <f>AK369-AK370</f>
        <v/>
      </c>
      <c r="AL371" s="1470">
        <f>AL369-AL370</f>
        <v/>
      </c>
      <c r="AM371" s="1469">
        <f>AM369-AM370</f>
        <v/>
      </c>
      <c r="AN371" s="1470">
        <f>AN369-AN370</f>
        <v/>
      </c>
      <c r="AO371" s="1470">
        <f>AO369-AO370</f>
        <v/>
      </c>
      <c r="AP371" s="1470">
        <f>AP369-AP370</f>
        <v/>
      </c>
      <c r="AQ371" s="1470">
        <f>AQ369-AQ370</f>
        <v/>
      </c>
      <c r="AR371" s="1469">
        <f>AR369-AR370</f>
        <v/>
      </c>
      <c r="AS371" s="1469">
        <f>AS369-AS370</f>
        <v/>
      </c>
      <c r="AT371" s="1469">
        <f>AT369-AT370</f>
        <v/>
      </c>
      <c r="AU371" s="1469">
        <f>AU369-AU370</f>
        <v/>
      </c>
      <c r="AV371" s="1591" t="n"/>
    </row>
    <row r="372" ht="14.4" customFormat="1" customHeight="1" s="1715">
      <c r="A372" s="1719" t="inlineStr">
        <is>
          <t>GAAP Other Items</t>
        </is>
      </c>
      <c r="B372" s="1698" t="n"/>
      <c r="C372" s="1469" t="n"/>
      <c r="D372" s="1469" t="n"/>
      <c r="E372" s="1469" t="n"/>
      <c r="F372" s="1469" t="n"/>
      <c r="G372" s="1469" t="n"/>
      <c r="H372" s="1469" t="n"/>
      <c r="I372" s="1469" t="n"/>
      <c r="J372" s="1469" t="n"/>
      <c r="K372" s="1469" t="n"/>
      <c r="L372" s="1469" t="n"/>
      <c r="M372" s="1469" t="n"/>
      <c r="N372" s="1469" t="n"/>
      <c r="O372" s="1470" t="n"/>
      <c r="P372" s="1731" t="n"/>
      <c r="Q372" s="1470" t="n"/>
      <c r="R372" s="1470" t="n"/>
      <c r="S372" s="1469" t="n"/>
      <c r="T372" s="1470" t="n"/>
      <c r="U372" s="1731" t="n"/>
      <c r="V372" s="1470" t="n"/>
      <c r="W372" s="1470" t="n"/>
      <c r="X372" s="1469">
        <f>-X286-X288</f>
        <v/>
      </c>
      <c r="Y372" s="1470" t="n"/>
      <c r="Z372" s="1731" t="n"/>
      <c r="AA372" s="1470">
        <f>-AA286-AA288</f>
        <v/>
      </c>
      <c r="AB372" s="1470">
        <f>-AB286-AB288</f>
        <v/>
      </c>
      <c r="AC372" s="1469">
        <f>-AC286-AC288</f>
        <v/>
      </c>
      <c r="AD372" s="1470">
        <f>-AD286-AD288</f>
        <v/>
      </c>
      <c r="AE372" s="1731">
        <f>-AE286-AE288</f>
        <v/>
      </c>
      <c r="AF372" s="1470">
        <f>-AF286-AF288</f>
        <v/>
      </c>
      <c r="AG372" s="1470">
        <f>-AG286-AG288</f>
        <v/>
      </c>
      <c r="AH372" s="1469">
        <f>-AH286-AH288</f>
        <v/>
      </c>
      <c r="AI372" s="1470">
        <f>-AI286-AI288</f>
        <v/>
      </c>
      <c r="AJ372" s="1731">
        <f>-AJ286-AJ288</f>
        <v/>
      </c>
      <c r="AK372" s="1471">
        <f>-AK286-AK288</f>
        <v/>
      </c>
      <c r="AL372" s="1470">
        <f>AL373+AL374</f>
        <v/>
      </c>
      <c r="AM372" s="1469">
        <f>SUM(AI372,AJ372,AK372,AL372)</f>
        <v/>
      </c>
      <c r="AN372" s="1470">
        <f>AN373+AN374</f>
        <v/>
      </c>
      <c r="AO372" s="1470">
        <f>AO373+AO374</f>
        <v/>
      </c>
      <c r="AP372" s="1470">
        <f>AP373+AP374</f>
        <v/>
      </c>
      <c r="AQ372" s="1470">
        <f>AQ373+AQ374</f>
        <v/>
      </c>
      <c r="AR372" s="1469">
        <f>SUM(AN372,AO372,AP372,AQ372)</f>
        <v/>
      </c>
      <c r="AS372" s="1469">
        <f>AS373+AS374</f>
        <v/>
      </c>
      <c r="AT372" s="1469">
        <f>AT373+AT374</f>
        <v/>
      </c>
      <c r="AU372" s="1469">
        <f>AU373+AU374</f>
        <v/>
      </c>
      <c r="AV372" s="1591" t="n"/>
    </row>
    <row r="373" ht="14.4" customFormat="1" customHeight="1" s="1715">
      <c r="A373" s="1722" t="inlineStr">
        <is>
          <t>Non-GAAP Adjustments to Other Items</t>
        </is>
      </c>
      <c r="B373" s="1702" t="n"/>
      <c r="C373" s="1725" t="n"/>
      <c r="D373" s="1725" t="n"/>
      <c r="E373" s="1725" t="n"/>
      <c r="F373" s="1725" t="n"/>
      <c r="G373" s="1725" t="n"/>
      <c r="H373" s="1725" t="n"/>
      <c r="I373" s="1725" t="n"/>
      <c r="J373" s="1725" t="n"/>
      <c r="K373" s="1725" t="n"/>
      <c r="L373" s="1725" t="n"/>
      <c r="M373" s="1725" t="n"/>
      <c r="N373" s="1725" t="n"/>
      <c r="O373" s="1724" t="n"/>
      <c r="P373" s="1732" t="n"/>
      <c r="Q373" s="1724" t="n"/>
      <c r="R373" s="1724" t="n"/>
      <c r="S373" s="1725" t="n"/>
      <c r="T373" s="1724" t="n"/>
      <c r="U373" s="1732" t="n"/>
      <c r="V373" s="1724" t="n"/>
      <c r="W373" s="1724" t="n"/>
      <c r="X373" s="1725">
        <f>X372-X374</f>
        <v/>
      </c>
      <c r="Y373" s="1724" t="n"/>
      <c r="Z373" s="1732" t="n"/>
      <c r="AA373" s="1724">
        <f>AA372-AA374</f>
        <v/>
      </c>
      <c r="AB373" s="1724">
        <f>AB372-AB374</f>
        <v/>
      </c>
      <c r="AC373" s="1725">
        <f>AC372-AC374</f>
        <v/>
      </c>
      <c r="AD373" s="1724">
        <f>AD372-AD374</f>
        <v/>
      </c>
      <c r="AE373" s="1732">
        <f>AE372-AE374</f>
        <v/>
      </c>
      <c r="AF373" s="1724">
        <f>AF372-AF374</f>
        <v/>
      </c>
      <c r="AG373" s="1724">
        <f>AG372-AG374</f>
        <v/>
      </c>
      <c r="AH373" s="1725">
        <f>AH372-AH374</f>
        <v/>
      </c>
      <c r="AI373" s="1724">
        <f>AI372-AI374</f>
        <v/>
      </c>
      <c r="AJ373" s="1732">
        <f>AJ372-AJ374</f>
        <v/>
      </c>
      <c r="AK373" s="1733">
        <f>AK372-AK374</f>
        <v/>
      </c>
      <c r="AL373" s="1729" t="n">
        <v>0</v>
      </c>
      <c r="AM373" s="1725">
        <f>SUM(AI373,AJ373,AK373,AL373)</f>
        <v/>
      </c>
      <c r="AN373" s="1729" t="n">
        <v>0</v>
      </c>
      <c r="AO373" s="1729" t="n">
        <v>0</v>
      </c>
      <c r="AP373" s="1729" t="n">
        <v>0</v>
      </c>
      <c r="AQ373" s="1729" t="n">
        <v>0</v>
      </c>
      <c r="AR373" s="1725">
        <f>SUM(AN373,AO373,AP373,AQ373)</f>
        <v/>
      </c>
      <c r="AS373" s="1730" t="n">
        <v>0</v>
      </c>
      <c r="AT373" s="1730" t="n">
        <v>0</v>
      </c>
      <c r="AU373" s="1730" t="n">
        <v>0</v>
      </c>
      <c r="AV373" s="1591" t="n"/>
    </row>
    <row r="374" ht="14.4" customFormat="1" customHeight="1" s="1715">
      <c r="A374" s="1728" t="inlineStr">
        <is>
          <t>Non-GAAP Other Items</t>
        </is>
      </c>
      <c r="B374" s="1702" t="n"/>
      <c r="C374" s="1582" t="n"/>
      <c r="D374" s="1582" t="n"/>
      <c r="E374" s="1582" t="n"/>
      <c r="F374" s="1582" t="n"/>
      <c r="G374" s="1582" t="n"/>
      <c r="H374" s="1582" t="n"/>
      <c r="I374" s="1582" t="n"/>
      <c r="J374" s="1582" t="n"/>
      <c r="K374" s="1582" t="n"/>
      <c r="L374" s="1582" t="n"/>
      <c r="M374" s="1582" t="n"/>
      <c r="N374" s="1582" t="n"/>
      <c r="O374" s="1583" t="n"/>
      <c r="P374" s="1723" t="n"/>
      <c r="Q374" s="1583" t="n"/>
      <c r="R374" s="1583" t="n"/>
      <c r="S374" s="1582" t="n"/>
      <c r="T374" s="1583" t="n"/>
      <c r="U374" s="1723" t="n"/>
      <c r="V374" s="1583" t="n"/>
      <c r="W374" s="1583" t="n"/>
      <c r="X374" s="1582">
        <f>X359-X371-X375</f>
        <v/>
      </c>
      <c r="Y374" s="1583" t="n"/>
      <c r="Z374" s="1723" t="n"/>
      <c r="AA374" s="1583">
        <f>AA359-AA371-AA375</f>
        <v/>
      </c>
      <c r="AB374" s="1583">
        <f>AB359-AB371-AB375</f>
        <v/>
      </c>
      <c r="AC374" s="1582">
        <f>AC359-AC371-AC375</f>
        <v/>
      </c>
      <c r="AD374" s="1583">
        <f>AD359-AD371-AD375</f>
        <v/>
      </c>
      <c r="AE374" s="1723">
        <f>AE359-AE371-AE375</f>
        <v/>
      </c>
      <c r="AF374" s="1583">
        <f>AF359-AF371-AF375</f>
        <v/>
      </c>
      <c r="AG374" s="1583">
        <f>AG359-AG371-AG375</f>
        <v/>
      </c>
      <c r="AH374" s="1582">
        <f>AH359-AH371-AH375</f>
        <v/>
      </c>
      <c r="AI374" s="1583">
        <f>AI359-AI371-AI375</f>
        <v/>
      </c>
      <c r="AJ374" s="1723">
        <f>AJ359-AJ371-AJ375</f>
        <v/>
      </c>
      <c r="AK374" s="1584">
        <f>AK359-AK371-AK375</f>
        <v/>
      </c>
      <c r="AL374" s="1729" t="n">
        <v>-10</v>
      </c>
      <c r="AM374" s="1725">
        <f>SUM(AI374,AJ374,AK374,AL374)</f>
        <v/>
      </c>
      <c r="AN374" s="1729" t="n">
        <v>-10</v>
      </c>
      <c r="AO374" s="1729" t="n">
        <v>76</v>
      </c>
      <c r="AP374" s="1729" t="n">
        <v>-70</v>
      </c>
      <c r="AQ374" s="1729" t="n">
        <v>-10</v>
      </c>
      <c r="AR374" s="1725">
        <f>SUM(AN374,AO374,AP374,AQ374)</f>
        <v/>
      </c>
      <c r="AS374" s="1730" t="n">
        <v>-40</v>
      </c>
      <c r="AT374" s="1730" t="n">
        <v>-40</v>
      </c>
      <c r="AU374" s="1730" t="n">
        <v>-40</v>
      </c>
      <c r="AV374" s="1591" t="n"/>
    </row>
    <row r="375" ht="14.4" customFormat="1" customHeight="1" s="1715">
      <c r="A375" s="1726" t="inlineStr">
        <is>
          <t>Non-GAAP Earnings before Taxes</t>
        </is>
      </c>
      <c r="B375" s="1695" t="n"/>
      <c r="C375" s="1535" t="n"/>
      <c r="D375" s="1535" t="n"/>
      <c r="E375" s="1535" t="n"/>
      <c r="F375" s="1535" t="n"/>
      <c r="G375" s="1535" t="n"/>
      <c r="H375" s="1535" t="n"/>
      <c r="I375" s="1535" t="n"/>
      <c r="J375" s="1535" t="n"/>
      <c r="K375" s="1535" t="n"/>
      <c r="L375" s="1535" t="n"/>
      <c r="M375" s="1535" t="n"/>
      <c r="N375" s="1535" t="n"/>
      <c r="O375" s="1536" t="n"/>
      <c r="P375" s="1727" t="n"/>
      <c r="Q375" s="1536" t="n"/>
      <c r="R375" s="1536" t="n"/>
      <c r="S375" s="1535" t="n"/>
      <c r="T375" s="1536" t="n"/>
      <c r="U375" s="1727" t="n"/>
      <c r="V375" s="1536" t="n"/>
      <c r="W375" s="1536" t="n"/>
      <c r="X375" s="1535">
        <f>X379+X378</f>
        <v/>
      </c>
      <c r="Y375" s="1536" t="n"/>
      <c r="Z375" s="1727" t="n"/>
      <c r="AA375" s="1536">
        <f>AA379+AA378</f>
        <v/>
      </c>
      <c r="AB375" s="1536">
        <f>AB379+AB378</f>
        <v/>
      </c>
      <c r="AC375" s="1535">
        <f>AC379+AC378</f>
        <v/>
      </c>
      <c r="AD375" s="1536">
        <f>AD379+AD378</f>
        <v/>
      </c>
      <c r="AE375" s="1727">
        <f>AE379+AE378</f>
        <v/>
      </c>
      <c r="AF375" s="1536">
        <f>AF379+AF378</f>
        <v/>
      </c>
      <c r="AG375" s="1536">
        <f>AG379+AG378</f>
        <v/>
      </c>
      <c r="AH375" s="1535">
        <f>AH379+AH378</f>
        <v/>
      </c>
      <c r="AI375" s="1536">
        <f>AI379+AI378</f>
        <v/>
      </c>
      <c r="AJ375" s="1727">
        <f>AJ379+AJ378</f>
        <v/>
      </c>
      <c r="AK375" s="1674">
        <f>AK379+AK378</f>
        <v/>
      </c>
      <c r="AL375" s="1442">
        <f>AL359-AL371-AL374</f>
        <v/>
      </c>
      <c r="AM375" s="1441">
        <f>AM359-AM371-AM374</f>
        <v/>
      </c>
      <c r="AN375" s="1442">
        <f>AN359-AN371-AN374</f>
        <v/>
      </c>
      <c r="AO375" s="1442">
        <f>AO359-AO371-AO374</f>
        <v/>
      </c>
      <c r="AP375" s="1442">
        <f>AP359-AP371-AP374</f>
        <v/>
      </c>
      <c r="AQ375" s="1442">
        <f>AQ359-AQ371-AQ374</f>
        <v/>
      </c>
      <c r="AR375" s="1441">
        <f>AR359-AR371-AR374</f>
        <v/>
      </c>
      <c r="AS375" s="1441">
        <f>AS359-AS371-AS374</f>
        <v/>
      </c>
      <c r="AT375" s="1441">
        <f>AT359-AT371-AT374</f>
        <v/>
      </c>
      <c r="AU375" s="1441">
        <f>AU359-AU371-AU374</f>
        <v/>
      </c>
      <c r="AV375" s="1591" t="n"/>
    </row>
    <row r="376" hidden="1" outlineLevel="1" ht="14.4" customFormat="1" customHeight="1" s="1715">
      <c r="A376" s="1719" t="inlineStr">
        <is>
          <t>GAAP Provision for Taxes</t>
        </is>
      </c>
      <c r="B376" s="1698" t="n"/>
      <c r="C376" s="1469" t="n"/>
      <c r="D376" s="1469" t="n"/>
      <c r="E376" s="1469" t="n"/>
      <c r="F376" s="1469" t="n"/>
      <c r="G376" s="1469" t="n"/>
      <c r="H376" s="1469" t="n"/>
      <c r="I376" s="1469" t="n"/>
      <c r="J376" s="1469" t="n"/>
      <c r="K376" s="1469" t="n"/>
      <c r="L376" s="1469" t="n"/>
      <c r="M376" s="1469" t="n"/>
      <c r="N376" s="1469" t="n"/>
      <c r="O376" s="1470" t="n"/>
      <c r="P376" s="1731" t="n"/>
      <c r="Q376" s="1470" t="n"/>
      <c r="R376" s="1470" t="n"/>
      <c r="S376" s="1469" t="n"/>
      <c r="T376" s="1470" t="n"/>
      <c r="U376" s="1731" t="n"/>
      <c r="V376" s="1470" t="n"/>
      <c r="W376" s="1470" t="n"/>
      <c r="X376" s="1469">
        <f>X292</f>
        <v/>
      </c>
      <c r="Y376" s="1470" t="n"/>
      <c r="Z376" s="1731" t="n"/>
      <c r="AA376" s="1470">
        <f>AA292</f>
        <v/>
      </c>
      <c r="AB376" s="1470">
        <f>AB292</f>
        <v/>
      </c>
      <c r="AC376" s="1469">
        <f>AC292</f>
        <v/>
      </c>
      <c r="AD376" s="1470">
        <f>AD292</f>
        <v/>
      </c>
      <c r="AE376" s="1731">
        <f>AE292</f>
        <v/>
      </c>
      <c r="AF376" s="1470">
        <f>AF292</f>
        <v/>
      </c>
      <c r="AG376" s="1470">
        <f>AG292</f>
        <v/>
      </c>
      <c r="AH376" s="1469">
        <f>AH292</f>
        <v/>
      </c>
      <c r="AI376" s="1470">
        <f>AI292</f>
        <v/>
      </c>
      <c r="AJ376" s="1731">
        <f>AJ292</f>
        <v/>
      </c>
      <c r="AK376" s="1471">
        <f>AK292</f>
        <v/>
      </c>
      <c r="AL376" s="1470">
        <f>AL378+AL377</f>
        <v/>
      </c>
      <c r="AM376" s="1469">
        <f>SUM(AI376,AJ376,AK376,AL376)</f>
        <v/>
      </c>
      <c r="AN376" s="1470">
        <f>AN378+AN377</f>
        <v/>
      </c>
      <c r="AO376" s="1470">
        <f>AO378+AO377</f>
        <v/>
      </c>
      <c r="AP376" s="1470">
        <f>AP378+AP377</f>
        <v/>
      </c>
      <c r="AQ376" s="1470">
        <f>AQ378+AQ377</f>
        <v/>
      </c>
      <c r="AR376" s="1469">
        <f>SUM(AN376,AO376,AP376,AQ376)</f>
        <v/>
      </c>
      <c r="AS376" s="1469">
        <f>AS378+AS377</f>
        <v/>
      </c>
      <c r="AT376" s="1469">
        <f>AT378+AT377</f>
        <v/>
      </c>
      <c r="AU376" s="1469">
        <f>AU378+AU377</f>
        <v/>
      </c>
      <c r="AV376" s="1591" t="n"/>
    </row>
    <row r="377" hidden="1" outlineLevel="1" ht="14.4" customFormat="1" customHeight="1" s="1715">
      <c r="A377" s="1722" t="inlineStr">
        <is>
          <t>Non-GAAP Adjustments to Income Taxes</t>
        </is>
      </c>
      <c r="B377" s="1702" t="n"/>
      <c r="C377" s="1725" t="n"/>
      <c r="D377" s="1725" t="n"/>
      <c r="E377" s="1725" t="n"/>
      <c r="F377" s="1725" t="n"/>
      <c r="G377" s="1725" t="n"/>
      <c r="H377" s="1725" t="n"/>
      <c r="I377" s="1725" t="n"/>
      <c r="J377" s="1725" t="n"/>
      <c r="K377" s="1725" t="n"/>
      <c r="L377" s="1725" t="n"/>
      <c r="M377" s="1725" t="n"/>
      <c r="N377" s="1725" t="n"/>
      <c r="O377" s="1724" t="n"/>
      <c r="P377" s="1732" t="n"/>
      <c r="Q377" s="1724" t="n"/>
      <c r="R377" s="1724" t="n"/>
      <c r="S377" s="1725" t="n"/>
      <c r="T377" s="1724" t="n"/>
      <c r="U377" s="1732" t="n"/>
      <c r="V377" s="1724" t="n"/>
      <c r="W377" s="1724" t="n"/>
      <c r="X377" s="1725" t="n"/>
      <c r="Y377" s="1724" t="n"/>
      <c r="Z377" s="1732" t="n"/>
      <c r="AA377" s="1724" t="n"/>
      <c r="AB377" s="1724" t="n"/>
      <c r="AC377" s="1725" t="n"/>
      <c r="AD377" s="1724" t="n"/>
      <c r="AE377" s="1732" t="n"/>
      <c r="AF377" s="1724" t="n"/>
      <c r="AG377" s="1724" t="n"/>
      <c r="AH377" s="1725" t="n"/>
      <c r="AI377" s="1724" t="n"/>
      <c r="AJ377" s="1732" t="n"/>
      <c r="AK377" s="1733" t="n"/>
      <c r="AL377" s="1724">
        <f>-SUM(AL384:AL388)*AL395</f>
        <v/>
      </c>
      <c r="AM377" s="1725">
        <f>SUM(AI377,AJ377,AK377,AL377)</f>
        <v/>
      </c>
      <c r="AN377" s="1724">
        <f>-SUM(AN384:AN388)*AN395</f>
        <v/>
      </c>
      <c r="AO377" s="1724">
        <f>-SUM(AO384:AO388)*AO395</f>
        <v/>
      </c>
      <c r="AP377" s="1724">
        <f>-SUM(AP384:AP388)*AP395</f>
        <v/>
      </c>
      <c r="AQ377" s="1724">
        <f>-SUM(AQ384:AQ388)*AQ395</f>
        <v/>
      </c>
      <c r="AR377" s="1725">
        <f>SUM(AN377,AO377,AP377,AQ377)</f>
        <v/>
      </c>
      <c r="AS377" s="1725">
        <f>-SUM(AS384:AS388)*AS395</f>
        <v/>
      </c>
      <c r="AT377" s="1725">
        <f>-SUM(AT384:AT388)*AT395</f>
        <v/>
      </c>
      <c r="AU377" s="1725">
        <f>-SUM(AU384:AU388)*AU395</f>
        <v/>
      </c>
      <c r="AV377" s="1591" t="n"/>
    </row>
    <row r="378" collapsed="1" ht="14.4" customFormat="1" customHeight="1" s="1715">
      <c r="A378" s="1719" t="inlineStr">
        <is>
          <t>Non-GAAP Provision for Taxes</t>
        </is>
      </c>
      <c r="B378" s="1698" t="n"/>
      <c r="C378" s="1529" t="n"/>
      <c r="D378" s="1529" t="n"/>
      <c r="E378" s="1529" t="n"/>
      <c r="F378" s="1529" t="n"/>
      <c r="G378" s="1529" t="n"/>
      <c r="H378" s="1529" t="n"/>
      <c r="I378" s="1529" t="n"/>
      <c r="J378" s="1529" t="n"/>
      <c r="K378" s="1529" t="n"/>
      <c r="L378" s="1529" t="n"/>
      <c r="M378" s="1529" t="n"/>
      <c r="N378" s="1529" t="n"/>
      <c r="O378" s="1420" t="n"/>
      <c r="P378" s="1720" t="n"/>
      <c r="Q378" s="1420" t="n"/>
      <c r="R378" s="1420" t="n"/>
      <c r="S378" s="1529" t="n"/>
      <c r="T378" s="1420" t="n"/>
      <c r="U378" s="1720" t="n"/>
      <c r="V378" s="1420" t="n"/>
      <c r="W378" s="1420" t="n"/>
      <c r="X378" s="1529">
        <f>X376-X377</f>
        <v/>
      </c>
      <c r="Y378" s="1420" t="n"/>
      <c r="Z378" s="1720" t="n"/>
      <c r="AA378" s="1420">
        <f>AA376-AA377</f>
        <v/>
      </c>
      <c r="AB378" s="1420">
        <f>AB376-AB377</f>
        <v/>
      </c>
      <c r="AC378" s="1529">
        <f>AC376-AC377</f>
        <v/>
      </c>
      <c r="AD378" s="1420">
        <f>AD376-AD377</f>
        <v/>
      </c>
      <c r="AE378" s="1720">
        <f>AE376-AE377</f>
        <v/>
      </c>
      <c r="AF378" s="1420">
        <f>AF376-AF377</f>
        <v/>
      </c>
      <c r="AG378" s="1420">
        <f>AG376-AG377</f>
        <v/>
      </c>
      <c r="AH378" s="1529">
        <f>AH376-AH377</f>
        <v/>
      </c>
      <c r="AI378" s="1420">
        <f>AI376-AI377</f>
        <v/>
      </c>
      <c r="AJ378" s="1720">
        <f>AJ376-AJ377</f>
        <v/>
      </c>
      <c r="AK378" s="1421">
        <f>AK376-AK377</f>
        <v/>
      </c>
      <c r="AL378" s="1470">
        <f>AL375*AL394</f>
        <v/>
      </c>
      <c r="AM378" s="1469">
        <f>SUM(AI378,AJ378,AK378,AL378)</f>
        <v/>
      </c>
      <c r="AN378" s="1470">
        <f>AN375*AN394</f>
        <v/>
      </c>
      <c r="AO378" s="1470">
        <f>AO375*AO394</f>
        <v/>
      </c>
      <c r="AP378" s="1470">
        <f>AP375*AP394</f>
        <v/>
      </c>
      <c r="AQ378" s="1470">
        <f>AQ375*AQ394</f>
        <v/>
      </c>
      <c r="AR378" s="1469">
        <f>SUM(AN378,AO378,AP378,AQ378)</f>
        <v/>
      </c>
      <c r="AS378" s="1469">
        <f>AS375*AS394</f>
        <v/>
      </c>
      <c r="AT378" s="1469">
        <f>AT375*AT394</f>
        <v/>
      </c>
      <c r="AU378" s="1469">
        <f>AU375*AU394</f>
        <v/>
      </c>
      <c r="AV378" s="1591" t="n"/>
    </row>
    <row r="379" ht="14.4" customFormat="1" customHeight="1" s="1734">
      <c r="A379" s="1735" t="inlineStr">
        <is>
          <t>Non-GAAP Net Income from Continuing Operations</t>
        </is>
      </c>
      <c r="B379" s="1699" t="n"/>
      <c r="C379" s="1544" t="n"/>
      <c r="D379" s="1544" t="n"/>
      <c r="E379" s="1544" t="n"/>
      <c r="F379" s="1544" t="n"/>
      <c r="G379" s="1544" t="n"/>
      <c r="H379" s="1544" t="n"/>
      <c r="I379" s="1544" t="n"/>
      <c r="J379" s="1544" t="n"/>
      <c r="K379" s="1544" t="n"/>
      <c r="L379" s="1544" t="n"/>
      <c r="M379" s="1544" t="n"/>
      <c r="N379" s="1544" t="n"/>
      <c r="O379" s="1545" t="n"/>
      <c r="P379" s="1736" t="n"/>
      <c r="Q379" s="1545" t="n"/>
      <c r="R379" s="1545" t="n"/>
      <c r="S379" s="1544" t="n"/>
      <c r="T379" s="1545" t="n"/>
      <c r="U379" s="1736" t="n"/>
      <c r="V379" s="1545" t="n"/>
      <c r="W379" s="1545" t="n"/>
      <c r="X379" s="1544">
        <f>X381+X380</f>
        <v/>
      </c>
      <c r="Y379" s="1545" t="n"/>
      <c r="Z379" s="1736" t="n"/>
      <c r="AA379" s="1545">
        <f>AA381+AA380</f>
        <v/>
      </c>
      <c r="AB379" s="1545">
        <f>AB381+AB380</f>
        <v/>
      </c>
      <c r="AC379" s="1544">
        <f>AC381+AC380</f>
        <v/>
      </c>
      <c r="AD379" s="1545">
        <f>AD381+AD380</f>
        <v/>
      </c>
      <c r="AE379" s="1736">
        <f>AE381+AE380</f>
        <v/>
      </c>
      <c r="AF379" s="1545">
        <f>AF381+AF380</f>
        <v/>
      </c>
      <c r="AG379" s="1545">
        <f>AG381+AG380</f>
        <v/>
      </c>
      <c r="AH379" s="1544">
        <f>AH381+AH380</f>
        <v/>
      </c>
      <c r="AI379" s="1545">
        <f>AI381+AI380</f>
        <v/>
      </c>
      <c r="AJ379" s="1736">
        <f>AJ381+AJ380</f>
        <v/>
      </c>
      <c r="AK379" s="1596">
        <f>AK381+AK380</f>
        <v/>
      </c>
      <c r="AL379" s="1662">
        <f>AL375-AL378</f>
        <v/>
      </c>
      <c r="AM379" s="1661">
        <f>AM375-AM378</f>
        <v/>
      </c>
      <c r="AN379" s="1662">
        <f>AN375-AN378</f>
        <v/>
      </c>
      <c r="AO379" s="1662">
        <f>AO375-AO378</f>
        <v/>
      </c>
      <c r="AP379" s="1662">
        <f>AP375-AP378</f>
        <v/>
      </c>
      <c r="AQ379" s="1662">
        <f>AQ375-AQ378</f>
        <v/>
      </c>
      <c r="AR379" s="1661">
        <f>AR375-AR378</f>
        <v/>
      </c>
      <c r="AS379" s="1661">
        <f>AS375-AS378</f>
        <v/>
      </c>
      <c r="AT379" s="1661">
        <f>AT375-AT378</f>
        <v/>
      </c>
      <c r="AU379" s="1661">
        <f>AU375-AU378</f>
        <v/>
      </c>
      <c r="AV379" s="1737" t="n"/>
    </row>
    <row r="380" ht="14.4" customFormat="1" customHeight="1" s="1715">
      <c r="A380" s="1728" t="inlineStr">
        <is>
          <t>Net income from discontinued operations</t>
        </is>
      </c>
      <c r="B380" s="1702" t="n"/>
      <c r="C380" s="1582" t="n"/>
      <c r="D380" s="1582" t="n"/>
      <c r="E380" s="1582" t="n"/>
      <c r="F380" s="1582" t="n"/>
      <c r="G380" s="1582" t="n"/>
      <c r="H380" s="1582" t="n"/>
      <c r="I380" s="1582" t="n"/>
      <c r="J380" s="1582" t="n"/>
      <c r="K380" s="1582" t="n"/>
      <c r="L380" s="1582" t="n"/>
      <c r="M380" s="1582" t="n"/>
      <c r="N380" s="1582" t="n"/>
      <c r="O380" s="1583" t="n"/>
      <c r="P380" s="1723" t="n"/>
      <c r="Q380" s="1583" t="n"/>
      <c r="R380" s="1583" t="n"/>
      <c r="S380" s="1582" t="n"/>
      <c r="T380" s="1583" t="n"/>
      <c r="U380" s="1723" t="n"/>
      <c r="V380" s="1583" t="n"/>
      <c r="W380" s="1583" t="n"/>
      <c r="X380" s="1582">
        <f>-X294</f>
        <v/>
      </c>
      <c r="Y380" s="1583" t="n"/>
      <c r="Z380" s="1723" t="n"/>
      <c r="AA380" s="1583">
        <f>-AA294</f>
        <v/>
      </c>
      <c r="AB380" s="1583">
        <f>-AB294</f>
        <v/>
      </c>
      <c r="AC380" s="1582">
        <f>-AC294</f>
        <v/>
      </c>
      <c r="AD380" s="1583">
        <f>-AD294</f>
        <v/>
      </c>
      <c r="AE380" s="1723">
        <f>-AE294</f>
        <v/>
      </c>
      <c r="AF380" s="1583">
        <f>-AF294</f>
        <v/>
      </c>
      <c r="AG380" s="1583">
        <f>-AG294</f>
        <v/>
      </c>
      <c r="AH380" s="1582">
        <f>-AH294</f>
        <v/>
      </c>
      <c r="AI380" s="1583">
        <f>-AI294</f>
        <v/>
      </c>
      <c r="AJ380" s="1723">
        <f>-AJ294</f>
        <v/>
      </c>
      <c r="AK380" s="1584">
        <f>-AK294</f>
        <v/>
      </c>
      <c r="AL380" s="1724" t="n"/>
      <c r="AM380" s="1725">
        <f>SUM(AI380,AJ380,AK380,AL380)</f>
        <v/>
      </c>
      <c r="AN380" s="1724" t="n"/>
      <c r="AO380" s="1724" t="n"/>
      <c r="AP380" s="1724" t="n"/>
      <c r="AQ380" s="1724" t="n"/>
      <c r="AR380" s="1725">
        <f>SUM(AN380,AO380,AP380,AQ380)</f>
        <v/>
      </c>
      <c r="AS380" s="1725" t="n"/>
      <c r="AT380" s="1725" t="n"/>
      <c r="AU380" s="1725" t="n"/>
      <c r="AV380" s="1591" t="n"/>
    </row>
    <row r="381" ht="14.4" customFormat="1" customHeight="1" s="1734">
      <c r="A381" s="1735" t="inlineStr">
        <is>
          <t>Non-GAAP Net Income</t>
        </is>
      </c>
      <c r="B381" s="1699" t="n"/>
      <c r="C381" s="1544" t="n"/>
      <c r="D381" s="1544" t="n"/>
      <c r="E381" s="1544" t="n"/>
      <c r="F381" s="1544" t="n"/>
      <c r="G381" s="1544" t="n"/>
      <c r="H381" s="1544" t="n"/>
      <c r="I381" s="1544" t="n"/>
      <c r="J381" s="1544" t="n"/>
      <c r="K381" s="1544" t="n"/>
      <c r="L381" s="1544" t="n"/>
      <c r="M381" s="1544" t="n"/>
      <c r="N381" s="1544" t="n"/>
      <c r="O381" s="1545" t="n"/>
      <c r="P381" s="1736" t="n"/>
      <c r="Q381" s="1545" t="n"/>
      <c r="R381" s="1545" t="n"/>
      <c r="S381" s="1544" t="n"/>
      <c r="T381" s="1545" t="n"/>
      <c r="U381" s="1736" t="n"/>
      <c r="V381" s="1545" t="n"/>
      <c r="W381" s="1545" t="n"/>
      <c r="X381" s="1544">
        <f>X326</f>
        <v/>
      </c>
      <c r="Y381" s="1545" t="n"/>
      <c r="Z381" s="1736" t="n"/>
      <c r="AA381" s="1545">
        <f>AA326</f>
        <v/>
      </c>
      <c r="AB381" s="1545">
        <f>AB326</f>
        <v/>
      </c>
      <c r="AC381" s="1544">
        <f>AC326</f>
        <v/>
      </c>
      <c r="AD381" s="1545">
        <f>AD326</f>
        <v/>
      </c>
      <c r="AE381" s="1736">
        <f>AE326</f>
        <v/>
      </c>
      <c r="AF381" s="1545">
        <f>AF326</f>
        <v/>
      </c>
      <c r="AG381" s="1545">
        <f>AG326</f>
        <v/>
      </c>
      <c r="AH381" s="1544">
        <f>AH326</f>
        <v/>
      </c>
      <c r="AI381" s="1545">
        <f>AI326</f>
        <v/>
      </c>
      <c r="AJ381" s="1736">
        <f>AJ326</f>
        <v/>
      </c>
      <c r="AK381" s="1596">
        <f>AK326</f>
        <v/>
      </c>
      <c r="AL381" s="1662">
        <f>AL379-AL380</f>
        <v/>
      </c>
      <c r="AM381" s="1661">
        <f>AM379-AM380</f>
        <v/>
      </c>
      <c r="AN381" s="1662">
        <f>AN379-AN380</f>
        <v/>
      </c>
      <c r="AO381" s="1662">
        <f>AO379-AO380</f>
        <v/>
      </c>
      <c r="AP381" s="1662">
        <f>AP379-AP380</f>
        <v/>
      </c>
      <c r="AQ381" s="1662">
        <f>AQ379-AQ380</f>
        <v/>
      </c>
      <c r="AR381" s="1661">
        <f>AR379-AR380</f>
        <v/>
      </c>
      <c r="AS381" s="1661">
        <f>AS379-AS380</f>
        <v/>
      </c>
      <c r="AT381" s="1661">
        <f>AT379-AT380</f>
        <v/>
      </c>
      <c r="AU381" s="1661">
        <f>AU379-AU380</f>
        <v/>
      </c>
      <c r="AV381" s="1737" t="n"/>
    </row>
    <row r="382" ht="14.4" customFormat="1" customHeight="1" s="1715">
      <c r="A382" s="1728" t="inlineStr">
        <is>
          <t>Net income attributable to participating securities</t>
        </is>
      </c>
      <c r="B382" s="1702" t="n"/>
      <c r="C382" s="1582" t="n"/>
      <c r="D382" s="1582" t="n"/>
      <c r="E382" s="1582" t="n"/>
      <c r="F382" s="1582" t="n"/>
      <c r="G382" s="1582" t="n"/>
      <c r="H382" s="1582" t="n"/>
      <c r="I382" s="1582" t="n"/>
      <c r="J382" s="1582" t="n"/>
      <c r="K382" s="1582" t="n"/>
      <c r="L382" s="1582" t="n"/>
      <c r="M382" s="1582" t="n"/>
      <c r="N382" s="1582" t="n"/>
      <c r="O382" s="1583" t="n"/>
      <c r="P382" s="1723" t="n"/>
      <c r="Q382" s="1583" t="n"/>
      <c r="R382" s="1583" t="n"/>
      <c r="S382" s="1582" t="n"/>
      <c r="T382" s="1583" t="n"/>
      <c r="U382" s="1723" t="n"/>
      <c r="V382" s="1583" t="n"/>
      <c r="W382" s="1583" t="n"/>
      <c r="X382" s="1582">
        <f>-X296</f>
        <v/>
      </c>
      <c r="Y382" s="1583" t="n"/>
      <c r="Z382" s="1723" t="n"/>
      <c r="AA382" s="1583">
        <f>-AA296</f>
        <v/>
      </c>
      <c r="AB382" s="1583">
        <f>-AB296</f>
        <v/>
      </c>
      <c r="AC382" s="1582">
        <f>-AC296</f>
        <v/>
      </c>
      <c r="AD382" s="1583">
        <f>-AD296</f>
        <v/>
      </c>
      <c r="AE382" s="1583">
        <f>-AE296</f>
        <v/>
      </c>
      <c r="AF382" s="1583">
        <f>-AF296</f>
        <v/>
      </c>
      <c r="AG382" s="1583">
        <f>-AG296</f>
        <v/>
      </c>
      <c r="AH382" s="1582">
        <f>-AH296</f>
        <v/>
      </c>
      <c r="AI382" s="1583">
        <f>-AI296</f>
        <v/>
      </c>
      <c r="AJ382" s="1583">
        <f>-AJ296</f>
        <v/>
      </c>
      <c r="AK382" s="1584">
        <f>-AK296</f>
        <v/>
      </c>
      <c r="AL382" s="1729" t="n">
        <v>20</v>
      </c>
      <c r="AM382" s="1725">
        <f>SUM(AI382,AJ382,AK382,AL382)</f>
        <v/>
      </c>
      <c r="AN382" s="1729" t="n">
        <v>30</v>
      </c>
      <c r="AO382" s="1729" t="n">
        <v>30</v>
      </c>
      <c r="AP382" s="1729" t="n">
        <v>9</v>
      </c>
      <c r="AQ382" s="1729" t="n">
        <v>18</v>
      </c>
      <c r="AR382" s="1725">
        <f>SUM(AN382,AO382,AP382,AQ382)</f>
        <v/>
      </c>
      <c r="AS382" s="1730" t="n">
        <v>72</v>
      </c>
      <c r="AT382" s="1730" t="n">
        <v>72</v>
      </c>
      <c r="AU382" s="1730" t="n">
        <v>72</v>
      </c>
      <c r="AV382" s="1591" t="n"/>
    </row>
    <row r="383" ht="14.4" customFormat="1" customHeight="1" s="1715">
      <c r="A383" s="1738" t="inlineStr">
        <is>
          <t>Non-GAAP Net Income to Common Shareholders</t>
        </is>
      </c>
      <c r="B383" s="1739" t="n"/>
      <c r="C383" s="1740" t="n"/>
      <c r="D383" s="1740" t="n"/>
      <c r="E383" s="1740" t="n"/>
      <c r="F383" s="1740" t="n"/>
      <c r="G383" s="1740" t="n"/>
      <c r="H383" s="1740" t="n"/>
      <c r="I383" s="1740" t="n"/>
      <c r="J383" s="1740" t="n"/>
      <c r="K383" s="1740" t="n"/>
      <c r="L383" s="1740" t="n"/>
      <c r="M383" s="1740" t="n"/>
      <c r="N383" s="1740" t="n"/>
      <c r="O383" s="1741" t="n"/>
      <c r="P383" s="1742" t="n"/>
      <c r="Q383" s="1741" t="n"/>
      <c r="R383" s="1741" t="n"/>
      <c r="S383" s="1740" t="n"/>
      <c r="T383" s="1741" t="n"/>
      <c r="U383" s="1742" t="n"/>
      <c r="V383" s="1741" t="n"/>
      <c r="W383" s="1741" t="n"/>
      <c r="X383" s="1740">
        <f>X381-X382</f>
        <v/>
      </c>
      <c r="Y383" s="1741" t="n"/>
      <c r="Z383" s="1742" t="n"/>
      <c r="AA383" s="1741">
        <f>AA381-AA382</f>
        <v/>
      </c>
      <c r="AB383" s="1741">
        <f>AB381-AB382</f>
        <v/>
      </c>
      <c r="AC383" s="1740">
        <f>AC381-AC382</f>
        <v/>
      </c>
      <c r="AD383" s="1741">
        <f>AD381-AD382</f>
        <v/>
      </c>
      <c r="AE383" s="1742">
        <f>AE381-AE382</f>
        <v/>
      </c>
      <c r="AF383" s="1741">
        <f>AF381-AF382</f>
        <v/>
      </c>
      <c r="AG383" s="1741">
        <f>AG381-AG382</f>
        <v/>
      </c>
      <c r="AH383" s="1740">
        <f>AH381-AH382</f>
        <v/>
      </c>
      <c r="AI383" s="1741">
        <f>AI381-AI382</f>
        <v/>
      </c>
      <c r="AJ383" s="1742">
        <f>AJ381-AJ382</f>
        <v/>
      </c>
      <c r="AK383" s="1743">
        <f>AK381-AK382</f>
        <v/>
      </c>
      <c r="AL383" s="1744">
        <f>AL381-AL382</f>
        <v/>
      </c>
      <c r="AM383" s="1745">
        <f>AM381-AM382</f>
        <v/>
      </c>
      <c r="AN383" s="1744">
        <f>AN381-AN382</f>
        <v/>
      </c>
      <c r="AO383" s="1744">
        <f>AO381-AO382</f>
        <v/>
      </c>
      <c r="AP383" s="1744">
        <f>AP381-AP382</f>
        <v/>
      </c>
      <c r="AQ383" s="1744">
        <f>AQ381-AQ382</f>
        <v/>
      </c>
      <c r="AR383" s="1745">
        <f>AR381-AR382</f>
        <v/>
      </c>
      <c r="AS383" s="1745">
        <f>AS381-AS382</f>
        <v/>
      </c>
      <c r="AT383" s="1745">
        <f>AT381-AT382</f>
        <v/>
      </c>
      <c r="AU383" s="1745">
        <f>AU381-AU382</f>
        <v/>
      </c>
      <c r="AV383" s="1591" t="n"/>
    </row>
    <row r="384" hidden="1" outlineLevel="1" ht="14.4" customFormat="1" customHeight="1" s="1715">
      <c r="A384" s="1719" t="inlineStr">
        <is>
          <t>SBC</t>
        </is>
      </c>
      <c r="B384" s="1698" t="n"/>
      <c r="C384" s="1529" t="n"/>
      <c r="D384" s="1529" t="n"/>
      <c r="E384" s="1529" t="n"/>
      <c r="F384" s="1529" t="n"/>
      <c r="G384" s="1529" t="n"/>
      <c r="H384" s="1529" t="n"/>
      <c r="I384" s="1529" t="n"/>
      <c r="J384" s="1529" t="n"/>
      <c r="K384" s="1529" t="n"/>
      <c r="L384" s="1529" t="n"/>
      <c r="M384" s="1529" t="n"/>
      <c r="N384" s="1529" t="n"/>
      <c r="O384" s="1420" t="n"/>
      <c r="P384" s="1720" t="n"/>
      <c r="Q384" s="1420" t="n"/>
      <c r="R384" s="1420" t="n"/>
      <c r="S384" s="1529" t="n"/>
      <c r="T384" s="1420" t="n"/>
      <c r="U384" s="1720" t="n"/>
      <c r="V384" s="1420" t="n"/>
      <c r="W384" s="1420" t="n"/>
      <c r="X384" s="1529">
        <f>-X337+X343+X348+X353</f>
        <v/>
      </c>
      <c r="Y384" s="1420" t="n"/>
      <c r="Z384" s="1720" t="n"/>
      <c r="AA384" s="1420">
        <f>-AA337+AA343+AA348+AA353</f>
        <v/>
      </c>
      <c r="AB384" s="1420">
        <f>-AB337+AB343+AB348+AB353</f>
        <v/>
      </c>
      <c r="AC384" s="1529">
        <f>-AC337+AC343+AC348+AC353</f>
        <v/>
      </c>
      <c r="AD384" s="1420">
        <f>-AD337+AD343+AD348+AD353</f>
        <v/>
      </c>
      <c r="AE384" s="1720">
        <f>-AE337+AE343+AE348+AE353</f>
        <v/>
      </c>
      <c r="AF384" s="1420">
        <f>-AF337+AF343+AF348+AF353</f>
        <v/>
      </c>
      <c r="AG384" s="1420">
        <f>-AG337+AG343+AG348+AG353</f>
        <v/>
      </c>
      <c r="AH384" s="1529">
        <f>-AH337+AH343+AH348+AH353</f>
        <v/>
      </c>
      <c r="AI384" s="1420">
        <f>-AI337+AI343+AI348+AI353</f>
        <v/>
      </c>
      <c r="AJ384" s="1720">
        <f>-AJ337+AJ343+AJ348+AJ353</f>
        <v/>
      </c>
      <c r="AK384" s="1421">
        <f>-AK337+AK343+AK348+AK353</f>
        <v/>
      </c>
      <c r="AL384" s="1470">
        <f>AL343+AL348+AL353-AL337</f>
        <v/>
      </c>
      <c r="AM384" s="1469">
        <f>SUM(AI384,AJ384,AK384,AL384)</f>
        <v/>
      </c>
      <c r="AN384" s="1470">
        <f>AN343+AN348+AN353-AN337</f>
        <v/>
      </c>
      <c r="AO384" s="1470">
        <f>AO343+AO348+AO353-AO337</f>
        <v/>
      </c>
      <c r="AP384" s="1470">
        <f>AP343+AP348+AP353-AP337</f>
        <v/>
      </c>
      <c r="AQ384" s="1470">
        <f>AQ343+AQ348+AQ353-AQ337</f>
        <v/>
      </c>
      <c r="AR384" s="1469">
        <f>SUM(AN384,AO384,AP384,AQ384)</f>
        <v/>
      </c>
      <c r="AS384" s="1469">
        <f>AS343+AS348+AS353-AS337</f>
        <v/>
      </c>
      <c r="AT384" s="1469">
        <f>AT343+AT348+AT353-AT337</f>
        <v/>
      </c>
      <c r="AU384" s="1469">
        <f>AU343+AU348+AU353-AU337</f>
        <v/>
      </c>
      <c r="AV384" s="1591" t="n"/>
    </row>
    <row r="385" hidden="1" outlineLevel="1" ht="14.4" customFormat="1" customHeight="1" s="1715">
      <c r="A385" s="1719" t="inlineStr">
        <is>
          <t>Amortization of Intangibles</t>
        </is>
      </c>
      <c r="B385" s="1698" t="n"/>
      <c r="C385" s="1529" t="n"/>
      <c r="D385" s="1529" t="n"/>
      <c r="E385" s="1529" t="n"/>
      <c r="F385" s="1529" t="n"/>
      <c r="G385" s="1529" t="n"/>
      <c r="H385" s="1529" t="n"/>
      <c r="I385" s="1529" t="n"/>
      <c r="J385" s="1529" t="n"/>
      <c r="K385" s="1529" t="n"/>
      <c r="L385" s="1529" t="n"/>
      <c r="M385" s="1529" t="n"/>
      <c r="N385" s="1529" t="n"/>
      <c r="O385" s="1420" t="n"/>
      <c r="P385" s="1720" t="n"/>
      <c r="Q385" s="1420" t="n"/>
      <c r="R385" s="1420" t="n"/>
      <c r="S385" s="1529" t="n"/>
      <c r="T385" s="1420" t="n"/>
      <c r="U385" s="1720" t="n"/>
      <c r="V385" s="1420" t="n"/>
      <c r="W385" s="1420" t="n"/>
      <c r="X385" s="1529">
        <f>-X338+X344+X349+X354</f>
        <v/>
      </c>
      <c r="Y385" s="1420" t="n"/>
      <c r="Z385" s="1720" t="n"/>
      <c r="AA385" s="1420">
        <f>-AA338+AA344+AA349+AA354</f>
        <v/>
      </c>
      <c r="AB385" s="1420">
        <f>-AB338+AB344+AB349+AB354</f>
        <v/>
      </c>
      <c r="AC385" s="1529">
        <f>-AC338+AC344+AC349+AC354</f>
        <v/>
      </c>
      <c r="AD385" s="1420">
        <f>-AD338+AD344+AD349+AD354</f>
        <v/>
      </c>
      <c r="AE385" s="1720">
        <f>-AE338+AE344+AE349+AE354</f>
        <v/>
      </c>
      <c r="AF385" s="1420">
        <f>-AF338+AF344+AF349+AF354</f>
        <v/>
      </c>
      <c r="AG385" s="1420">
        <f>-AG338+AG344+AG349+AG354</f>
        <v/>
      </c>
      <c r="AH385" s="1529">
        <f>-AH338+AH344+AH349+AH354</f>
        <v/>
      </c>
      <c r="AI385" s="1420">
        <f>-AI338+AI344+AI349+AI354</f>
        <v/>
      </c>
      <c r="AJ385" s="1720">
        <f>-AJ338+AJ344+AJ349+AJ354</f>
        <v/>
      </c>
      <c r="AK385" s="1421">
        <f>-AK338+AK344+AK349+AK354</f>
        <v/>
      </c>
      <c r="AL385" s="1470">
        <f>AL344+AL349+AL354-AL338</f>
        <v/>
      </c>
      <c r="AM385" s="1469">
        <f>SUM(AI385,AJ385,AK385,AL385)</f>
        <v/>
      </c>
      <c r="AN385" s="1470">
        <f>AN344+AN349+AN354-AN338</f>
        <v/>
      </c>
      <c r="AO385" s="1470">
        <f>AO344+AO349+AO354-AO338</f>
        <v/>
      </c>
      <c r="AP385" s="1470">
        <f>AP344+AP349+AP354-AP338</f>
        <v/>
      </c>
      <c r="AQ385" s="1470">
        <f>AQ344+AQ349+AQ354-AQ338</f>
        <v/>
      </c>
      <c r="AR385" s="1469">
        <f>SUM(AN385,AO385,AP385,AQ385)</f>
        <v/>
      </c>
      <c r="AS385" s="1469">
        <f>AS344+AS349+AS354-AS338</f>
        <v/>
      </c>
      <c r="AT385" s="1469">
        <f>AT344+AT349+AT354-AT338</f>
        <v/>
      </c>
      <c r="AU385" s="1469">
        <f>AU344+AU349+AU354-AU338</f>
        <v/>
      </c>
      <c r="AV385" s="1591" t="n"/>
    </row>
    <row r="386" hidden="1" outlineLevel="1" ht="14.4" customFormat="1" customHeight="1" s="1715">
      <c r="A386" s="1719" t="inlineStr">
        <is>
          <t>Other Operating Adjustments</t>
        </is>
      </c>
      <c r="B386" s="1698" t="n"/>
      <c r="C386" s="1469" t="n"/>
      <c r="D386" s="1469" t="n"/>
      <c r="E386" s="1469" t="n"/>
      <c r="F386" s="1469" t="n"/>
      <c r="G386" s="1469" t="n"/>
      <c r="H386" s="1469" t="n"/>
      <c r="I386" s="1469" t="n"/>
      <c r="J386" s="1469" t="n"/>
      <c r="K386" s="1469" t="n"/>
      <c r="L386" s="1469" t="n"/>
      <c r="M386" s="1469" t="n"/>
      <c r="N386" s="1469" t="n"/>
      <c r="O386" s="1470" t="n"/>
      <c r="P386" s="1731" t="n"/>
      <c r="Q386" s="1470" t="n"/>
      <c r="R386" s="1470" t="n"/>
      <c r="S386" s="1469" t="n"/>
      <c r="T386" s="1470" t="n"/>
      <c r="U386" s="1731" t="n"/>
      <c r="V386" s="1470" t="n"/>
      <c r="W386" s="1470" t="n"/>
      <c r="X386" s="1469">
        <f>-X339+X345+X350+X355</f>
        <v/>
      </c>
      <c r="Y386" s="1470" t="n"/>
      <c r="Z386" s="1731" t="n"/>
      <c r="AA386" s="1470">
        <f>-AA339+AA345+AA350+AA355</f>
        <v/>
      </c>
      <c r="AB386" s="1470">
        <f>-AB339+AB345+AB350+AB355</f>
        <v/>
      </c>
      <c r="AC386" s="1469">
        <f>-AC339+AC345+AC350+AC355</f>
        <v/>
      </c>
      <c r="AD386" s="1470">
        <f>-AD339+AD345+AD350+AD355</f>
        <v/>
      </c>
      <c r="AE386" s="1731">
        <f>-AE339+AE345+AE350+AE355</f>
        <v/>
      </c>
      <c r="AF386" s="1470">
        <f>-AF339+AF345+AF350+AF355</f>
        <v/>
      </c>
      <c r="AG386" s="1470">
        <f>-AG339+AG345+AG350+AG355</f>
        <v/>
      </c>
      <c r="AH386" s="1469">
        <f>-AH339+AH345+AH350+AH355</f>
        <v/>
      </c>
      <c r="AI386" s="1470">
        <f>-AI339+AI345+AI350+AI355</f>
        <v/>
      </c>
      <c r="AJ386" s="1731">
        <f>-AJ339+AJ345+AJ350+AJ355</f>
        <v/>
      </c>
      <c r="AK386" s="1471">
        <f>-AK339+AK345+AK350+AK355</f>
        <v/>
      </c>
      <c r="AL386" s="1470">
        <f>-AL339+AL345+AL350+AL355</f>
        <v/>
      </c>
      <c r="AM386" s="1469">
        <f>SUM(AI386,AJ386,AK386,AL386)</f>
        <v/>
      </c>
      <c r="AN386" s="1470">
        <f>-AN339+AN345+AN350+AN355</f>
        <v/>
      </c>
      <c r="AO386" s="1470">
        <f>-AO339+AO345+AO350+AO355</f>
        <v/>
      </c>
      <c r="AP386" s="1470">
        <f>-AP339+AP345+AP350+AP355</f>
        <v/>
      </c>
      <c r="AQ386" s="1470">
        <f>-AQ339+AQ345+AQ350+AQ355</f>
        <v/>
      </c>
      <c r="AR386" s="1469">
        <f>SUM(AN386,AO386,AP386,AQ386)</f>
        <v/>
      </c>
      <c r="AS386" s="1469">
        <f>-AS339+AS345+AS350+AS355</f>
        <v/>
      </c>
      <c r="AT386" s="1469">
        <f>-AT339+AT345+AT350+AT355</f>
        <v/>
      </c>
      <c r="AU386" s="1469">
        <f>-AU339+AU345+AU350+AU355</f>
        <v/>
      </c>
      <c r="AV386" s="1591" t="n"/>
    </row>
    <row r="387" hidden="1" outlineLevel="1" ht="14.4" customFormat="1" customHeight="1" s="1715">
      <c r="A387" s="1719" t="inlineStr">
        <is>
          <t>Interest Expense Adjustments</t>
        </is>
      </c>
      <c r="B387" s="1698" t="n"/>
      <c r="C387" s="1469" t="n"/>
      <c r="D387" s="1469" t="n"/>
      <c r="E387" s="1469" t="n"/>
      <c r="F387" s="1469" t="n"/>
      <c r="G387" s="1469" t="n"/>
      <c r="H387" s="1469" t="n"/>
      <c r="I387" s="1469" t="n"/>
      <c r="J387" s="1469" t="n"/>
      <c r="K387" s="1469" t="n"/>
      <c r="L387" s="1469" t="n"/>
      <c r="M387" s="1469" t="n"/>
      <c r="N387" s="1469" t="n"/>
      <c r="O387" s="1470" t="n"/>
      <c r="P387" s="1731" t="n"/>
      <c r="Q387" s="1470" t="n"/>
      <c r="R387" s="1470" t="n"/>
      <c r="S387" s="1469" t="n"/>
      <c r="T387" s="1470" t="n"/>
      <c r="U387" s="1731" t="n"/>
      <c r="V387" s="1470" t="n"/>
      <c r="W387" s="1470" t="n"/>
      <c r="X387" s="1469">
        <f>X370</f>
        <v/>
      </c>
      <c r="Y387" s="1470" t="n"/>
      <c r="Z387" s="1731" t="n"/>
      <c r="AA387" s="1470">
        <f>AA370</f>
        <v/>
      </c>
      <c r="AB387" s="1470">
        <f>AB370</f>
        <v/>
      </c>
      <c r="AC387" s="1469">
        <f>AC370</f>
        <v/>
      </c>
      <c r="AD387" s="1470">
        <f>AD370</f>
        <v/>
      </c>
      <c r="AE387" s="1731">
        <f>AE370</f>
        <v/>
      </c>
      <c r="AF387" s="1470">
        <f>AF370</f>
        <v/>
      </c>
      <c r="AG387" s="1470">
        <f>AG370</f>
        <v/>
      </c>
      <c r="AH387" s="1469">
        <f>AH370</f>
        <v/>
      </c>
      <c r="AI387" s="1470">
        <f>AI370</f>
        <v/>
      </c>
      <c r="AJ387" s="1731">
        <f>AJ370</f>
        <v/>
      </c>
      <c r="AK387" s="1471">
        <f>AK370</f>
        <v/>
      </c>
      <c r="AL387" s="1470">
        <f>AL370</f>
        <v/>
      </c>
      <c r="AM387" s="1469">
        <f>SUM(AI387,AJ387,AK387,AL387)</f>
        <v/>
      </c>
      <c r="AN387" s="1470">
        <f>AN370</f>
        <v/>
      </c>
      <c r="AO387" s="1470">
        <f>AO370</f>
        <v/>
      </c>
      <c r="AP387" s="1470">
        <f>AP370</f>
        <v/>
      </c>
      <c r="AQ387" s="1470">
        <f>AQ370</f>
        <v/>
      </c>
      <c r="AR387" s="1469">
        <f>SUM(AN387,AO387,AP387,AQ387)</f>
        <v/>
      </c>
      <c r="AS387" s="1469">
        <f>AS370</f>
        <v/>
      </c>
      <c r="AT387" s="1469">
        <f>AT370</f>
        <v/>
      </c>
      <c r="AU387" s="1469">
        <f>AU370</f>
        <v/>
      </c>
      <c r="AV387" s="1591" t="n"/>
    </row>
    <row r="388" hidden="1" outlineLevel="1" ht="14.4" customFormat="1" customHeight="1" s="1715">
      <c r="A388" s="1719" t="inlineStr">
        <is>
          <t>Other Adjustments</t>
        </is>
      </c>
      <c r="B388" s="1698" t="n"/>
      <c r="C388" s="1529" t="n"/>
      <c r="D388" s="1529" t="n"/>
      <c r="E388" s="1529" t="n"/>
      <c r="F388" s="1529" t="n"/>
      <c r="G388" s="1529" t="n"/>
      <c r="H388" s="1529" t="n"/>
      <c r="I388" s="1529" t="n"/>
      <c r="J388" s="1529" t="n"/>
      <c r="K388" s="1529" t="n"/>
      <c r="L388" s="1529" t="n"/>
      <c r="M388" s="1529" t="n"/>
      <c r="N388" s="1529" t="n"/>
      <c r="O388" s="1420" t="n"/>
      <c r="P388" s="1720" t="n"/>
      <c r="Q388" s="1420" t="n"/>
      <c r="R388" s="1420" t="n"/>
      <c r="S388" s="1529" t="n"/>
      <c r="T388" s="1420" t="n"/>
      <c r="U388" s="1720" t="n"/>
      <c r="V388" s="1420" t="n"/>
      <c r="W388" s="1420" t="n"/>
      <c r="X388" s="1529">
        <f>X373</f>
        <v/>
      </c>
      <c r="Y388" s="1420" t="n"/>
      <c r="Z388" s="1720" t="n"/>
      <c r="AA388" s="1420">
        <f>AA373</f>
        <v/>
      </c>
      <c r="AB388" s="1420">
        <f>AB373</f>
        <v/>
      </c>
      <c r="AC388" s="1529">
        <f>AC373</f>
        <v/>
      </c>
      <c r="AD388" s="1420">
        <f>AD373</f>
        <v/>
      </c>
      <c r="AE388" s="1720">
        <f>AE373</f>
        <v/>
      </c>
      <c r="AF388" s="1420">
        <f>AF373</f>
        <v/>
      </c>
      <c r="AG388" s="1420">
        <f>AG373</f>
        <v/>
      </c>
      <c r="AH388" s="1529">
        <f>AH373</f>
        <v/>
      </c>
      <c r="AI388" s="1420">
        <f>AI373</f>
        <v/>
      </c>
      <c r="AJ388" s="1720">
        <f>AJ373</f>
        <v/>
      </c>
      <c r="AK388" s="1421">
        <f>AK373</f>
        <v/>
      </c>
      <c r="AL388" s="1470">
        <f>AL373</f>
        <v/>
      </c>
      <c r="AM388" s="1469">
        <f>SUM(AI388,AJ388,AK388,AL388)</f>
        <v/>
      </c>
      <c r="AN388" s="1470">
        <f>AN373</f>
        <v/>
      </c>
      <c r="AO388" s="1470">
        <f>AO373</f>
        <v/>
      </c>
      <c r="AP388" s="1470">
        <f>AP373</f>
        <v/>
      </c>
      <c r="AQ388" s="1470">
        <f>AQ373</f>
        <v/>
      </c>
      <c r="AR388" s="1469">
        <f>SUM(AN388,AO388,AP388,AQ388)</f>
        <v/>
      </c>
      <c r="AS388" s="1469">
        <f>AS373</f>
        <v/>
      </c>
      <c r="AT388" s="1469">
        <f>AT373</f>
        <v/>
      </c>
      <c r="AU388" s="1469">
        <f>AU373</f>
        <v/>
      </c>
      <c r="AV388" s="1591" t="n"/>
    </row>
    <row r="389" hidden="1" outlineLevel="1" ht="14.4" customFormat="1" customHeight="1" s="1715">
      <c r="A389" s="1728" t="inlineStr">
        <is>
          <t>Tax Impact on non-GAAP Adjustments</t>
        </is>
      </c>
      <c r="B389" s="1702" t="n"/>
      <c r="C389" s="1725" t="n"/>
      <c r="D389" s="1725" t="n"/>
      <c r="E389" s="1725" t="n"/>
      <c r="F389" s="1725" t="n"/>
      <c r="G389" s="1725" t="n"/>
      <c r="H389" s="1725" t="n"/>
      <c r="I389" s="1725" t="n"/>
      <c r="J389" s="1725" t="n"/>
      <c r="K389" s="1725" t="n"/>
      <c r="L389" s="1725" t="n"/>
      <c r="M389" s="1725" t="n"/>
      <c r="N389" s="1725" t="n"/>
      <c r="O389" s="1724" t="n"/>
      <c r="P389" s="1732" t="n"/>
      <c r="Q389" s="1724" t="n"/>
      <c r="R389" s="1724" t="n"/>
      <c r="S389" s="1725" t="n"/>
      <c r="T389" s="1724" t="n"/>
      <c r="U389" s="1732" t="n"/>
      <c r="V389" s="1724" t="n"/>
      <c r="W389" s="1724" t="n"/>
      <c r="X389" s="1725">
        <f>X377</f>
        <v/>
      </c>
      <c r="Y389" s="1724" t="n"/>
      <c r="Z389" s="1732" t="n"/>
      <c r="AA389" s="1724">
        <f>AA377</f>
        <v/>
      </c>
      <c r="AB389" s="1724">
        <f>AB377</f>
        <v/>
      </c>
      <c r="AC389" s="1725">
        <f>AC377</f>
        <v/>
      </c>
      <c r="AD389" s="1724">
        <f>AD377</f>
        <v/>
      </c>
      <c r="AE389" s="1732">
        <f>AE377</f>
        <v/>
      </c>
      <c r="AF389" s="1724">
        <f>AF377</f>
        <v/>
      </c>
      <c r="AG389" s="1724">
        <f>AG377</f>
        <v/>
      </c>
      <c r="AH389" s="1725">
        <f>AH377</f>
        <v/>
      </c>
      <c r="AI389" s="1724">
        <f>AI377</f>
        <v/>
      </c>
      <c r="AJ389" s="1732">
        <f>AJ377</f>
        <v/>
      </c>
      <c r="AK389" s="1733">
        <f>AK377</f>
        <v/>
      </c>
      <c r="AL389" s="1724">
        <f>AL377</f>
        <v/>
      </c>
      <c r="AM389" s="1725">
        <f>SUM(AI389,AJ389,AK389,AL389)</f>
        <v/>
      </c>
      <c r="AN389" s="1724">
        <f>AN377</f>
        <v/>
      </c>
      <c r="AO389" s="1724">
        <f>AO377</f>
        <v/>
      </c>
      <c r="AP389" s="1724">
        <f>AP377</f>
        <v/>
      </c>
      <c r="AQ389" s="1724">
        <f>AQ377</f>
        <v/>
      </c>
      <c r="AR389" s="1725">
        <f>SUM(AN389,AO389,AP389,AQ389)</f>
        <v/>
      </c>
      <c r="AS389" s="1725">
        <f>AS377</f>
        <v/>
      </c>
      <c r="AT389" s="1725">
        <f>AT377</f>
        <v/>
      </c>
      <c r="AU389" s="1725">
        <f>AU377</f>
        <v/>
      </c>
      <c r="AV389" s="1591" t="n"/>
    </row>
    <row r="390" hidden="1" outlineLevel="1" ht="14.4" customFormat="1" customHeight="1" s="1715">
      <c r="A390" s="1738" t="inlineStr">
        <is>
          <t>GAAP Net Income to common shareholders - Basic</t>
        </is>
      </c>
      <c r="B390" s="1739" t="n"/>
      <c r="C390" s="1740" t="n"/>
      <c r="D390" s="1740" t="n"/>
      <c r="E390" s="1740" t="n"/>
      <c r="F390" s="1740" t="n"/>
      <c r="G390" s="1740" t="n"/>
      <c r="H390" s="1740" t="n"/>
      <c r="I390" s="1740" t="n"/>
      <c r="J390" s="1740" t="n"/>
      <c r="K390" s="1740" t="n"/>
      <c r="L390" s="1740" t="n"/>
      <c r="M390" s="1740" t="n"/>
      <c r="N390" s="1740" t="n"/>
      <c r="O390" s="1741" t="n"/>
      <c r="P390" s="1742" t="n"/>
      <c r="Q390" s="1741" t="n"/>
      <c r="R390" s="1741" t="n"/>
      <c r="S390" s="1740" t="n"/>
      <c r="T390" s="1741" t="n"/>
      <c r="U390" s="1742" t="n"/>
      <c r="V390" s="1741" t="n"/>
      <c r="W390" s="1741" t="n"/>
      <c r="X390" s="1740">
        <f>X383-SUM(X384:X389)</f>
        <v/>
      </c>
      <c r="Y390" s="1741" t="n"/>
      <c r="Z390" s="1742" t="n"/>
      <c r="AA390" s="1741">
        <f>AA383-SUM(AA384:AA389)</f>
        <v/>
      </c>
      <c r="AB390" s="1741">
        <f>AB383-SUM(AB384:AB389)</f>
        <v/>
      </c>
      <c r="AC390" s="1740">
        <f>AC383-SUM(AC384:AC389)</f>
        <v/>
      </c>
      <c r="AD390" s="1741">
        <f>AD383-SUM(AD384:AD389)</f>
        <v/>
      </c>
      <c r="AE390" s="1742">
        <f>AE383-SUM(AE384:AE389)</f>
        <v/>
      </c>
      <c r="AF390" s="1741">
        <f>AF383-SUM(AF384:AF389)</f>
        <v/>
      </c>
      <c r="AG390" s="1741">
        <f>AG383-SUM(AG384:AG389)</f>
        <v/>
      </c>
      <c r="AH390" s="1740">
        <f>AH383-SUM(AH384:AH389)</f>
        <v/>
      </c>
      <c r="AI390" s="1741">
        <f>AI383-SUM(AI384:AI389)</f>
        <v/>
      </c>
      <c r="AJ390" s="1742">
        <f>AJ383-SUM(AJ384:AJ389)</f>
        <v/>
      </c>
      <c r="AK390" s="1743">
        <f>AK383-SUM(AK384:AK389)</f>
        <v/>
      </c>
      <c r="AL390" s="1744">
        <f>AL383-SUM(AL384:AL389)</f>
        <v/>
      </c>
      <c r="AM390" s="1745">
        <f>AM383-SUM(AM384:AM389)</f>
        <v/>
      </c>
      <c r="AN390" s="1744">
        <f>AN383-SUM(AN384:AN389)</f>
        <v/>
      </c>
      <c r="AO390" s="1744">
        <f>AO383-SUM(AO384:AO389)</f>
        <v/>
      </c>
      <c r="AP390" s="1744">
        <f>AP383-SUM(AP384:AP389)</f>
        <v/>
      </c>
      <c r="AQ390" s="1744">
        <f>AQ383-SUM(AQ384:AQ389)</f>
        <v/>
      </c>
      <c r="AR390" s="1745">
        <f>AR383-SUM(AR384:AR389)</f>
        <v/>
      </c>
      <c r="AS390" s="1745">
        <f>AS383-SUM(AS384:AS389)</f>
        <v/>
      </c>
      <c r="AT390" s="1745">
        <f>AT383-SUM(AT384:AT389)</f>
        <v/>
      </c>
      <c r="AU390" s="1745">
        <f>AU383-SUM(AU384:AU389)</f>
        <v/>
      </c>
      <c r="AV390" s="1591" t="n"/>
    </row>
    <row r="391" hidden="1" outlineLevel="1" ht="14.4" customFormat="1" customHeight="1" s="1715">
      <c r="A391" s="1728" t="inlineStr">
        <is>
          <t>Adjustments for Convertible Securities</t>
        </is>
      </c>
      <c r="B391" s="1702" t="n"/>
      <c r="C391" s="1582" t="n"/>
      <c r="D391" s="1582" t="n"/>
      <c r="E391" s="1582" t="n"/>
      <c r="F391" s="1582" t="n"/>
      <c r="G391" s="1582" t="n"/>
      <c r="H391" s="1582" t="n"/>
      <c r="I391" s="1582" t="n"/>
      <c r="J391" s="1582" t="n"/>
      <c r="K391" s="1582" t="n"/>
      <c r="L391" s="1582" t="n"/>
      <c r="M391" s="1582" t="n"/>
      <c r="N391" s="1582" t="n"/>
      <c r="O391" s="1583" t="n"/>
      <c r="P391" s="1723" t="n"/>
      <c r="Q391" s="1583" t="n"/>
      <c r="R391" s="1583" t="n"/>
      <c r="S391" s="1582" t="n"/>
      <c r="T391" s="1583" t="n"/>
      <c r="U391" s="1723" t="n"/>
      <c r="V391" s="1583" t="n"/>
      <c r="W391" s="1583" t="n"/>
      <c r="X391" s="1582" t="n"/>
      <c r="Y391" s="1583" t="n"/>
      <c r="Z391" s="1723" t="n"/>
      <c r="AA391" s="1583" t="n"/>
      <c r="AB391" s="1583" t="n"/>
      <c r="AC391" s="1582" t="n"/>
      <c r="AD391" s="1583">
        <f>-AD329</f>
        <v/>
      </c>
      <c r="AE391" s="1723">
        <f>-AE329</f>
        <v/>
      </c>
      <c r="AF391" s="1583">
        <f>-AF329</f>
        <v/>
      </c>
      <c r="AG391" s="1583">
        <f>-AG329</f>
        <v/>
      </c>
      <c r="AH391" s="1582">
        <f>-AH329</f>
        <v/>
      </c>
      <c r="AI391" s="1583">
        <f>-AI329</f>
        <v/>
      </c>
      <c r="AJ391" s="1723">
        <f>-AJ329</f>
        <v/>
      </c>
      <c r="AK391" s="1584">
        <f>-AK329</f>
        <v/>
      </c>
      <c r="AL391" s="1724" t="n"/>
      <c r="AM391" s="1725">
        <f>SUM(AI391,AJ391,AK391,AL391)</f>
        <v/>
      </c>
      <c r="AN391" s="1724" t="n"/>
      <c r="AO391" s="1724" t="n"/>
      <c r="AP391" s="1724" t="n"/>
      <c r="AQ391" s="1724" t="n"/>
      <c r="AR391" s="1725">
        <f>SUM(AN391,AO391,AP391,AQ391)</f>
        <v/>
      </c>
      <c r="AS391" s="1725" t="n"/>
      <c r="AT391" s="1725" t="n"/>
      <c r="AU391" s="1725" t="n"/>
      <c r="AV391" s="1591" t="n"/>
    </row>
    <row r="392" hidden="1" outlineLevel="1" ht="14.4" customFormat="1" customHeight="1" s="1715">
      <c r="A392" s="1738" t="inlineStr">
        <is>
          <t>GAAP Net Income to common shareholders - Diluted</t>
        </is>
      </c>
      <c r="B392" s="1739" t="n"/>
      <c r="C392" s="1740" t="n"/>
      <c r="D392" s="1740" t="n"/>
      <c r="E392" s="1740" t="n"/>
      <c r="F392" s="1740" t="n"/>
      <c r="G392" s="1740" t="n"/>
      <c r="H392" s="1740" t="n"/>
      <c r="I392" s="1740" t="n"/>
      <c r="J392" s="1740" t="n"/>
      <c r="K392" s="1740" t="n"/>
      <c r="L392" s="1740" t="n"/>
      <c r="M392" s="1740" t="n"/>
      <c r="N392" s="1740" t="n"/>
      <c r="O392" s="1741" t="n"/>
      <c r="P392" s="1742" t="n"/>
      <c r="Q392" s="1741" t="n"/>
      <c r="R392" s="1741" t="n"/>
      <c r="S392" s="1740" t="n"/>
      <c r="T392" s="1741" t="n"/>
      <c r="U392" s="1742" t="n"/>
      <c r="V392" s="1741" t="n"/>
      <c r="W392" s="1741" t="n"/>
      <c r="X392" s="1740">
        <f>X390-X391</f>
        <v/>
      </c>
      <c r="Y392" s="1741" t="n"/>
      <c r="Z392" s="1742" t="n"/>
      <c r="AA392" s="1741">
        <f>AA390-AA391</f>
        <v/>
      </c>
      <c r="AB392" s="1741">
        <f>AB390-AB391</f>
        <v/>
      </c>
      <c r="AC392" s="1740">
        <f>AC390-AC391</f>
        <v/>
      </c>
      <c r="AD392" s="1741">
        <f>AD390-AD391</f>
        <v/>
      </c>
      <c r="AE392" s="1742">
        <f>AE390-AE391</f>
        <v/>
      </c>
      <c r="AF392" s="1741">
        <f>AF390-AF391</f>
        <v/>
      </c>
      <c r="AG392" s="1741">
        <f>AG390-AG391</f>
        <v/>
      </c>
      <c r="AH392" s="1740">
        <f>AH390-AH391</f>
        <v/>
      </c>
      <c r="AI392" s="1741">
        <f>AI390-AI391</f>
        <v/>
      </c>
      <c r="AJ392" s="1742">
        <f>AJ390-AJ391</f>
        <v/>
      </c>
      <c r="AK392" s="1743">
        <f>AK390-AK391</f>
        <v/>
      </c>
      <c r="AL392" s="1744">
        <f>AL390-AL391</f>
        <v/>
      </c>
      <c r="AM392" s="1745">
        <f>AM390-AM391</f>
        <v/>
      </c>
      <c r="AN392" s="1744">
        <f>AN390-AN391</f>
        <v/>
      </c>
      <c r="AO392" s="1744">
        <f>AO390-AO391</f>
        <v/>
      </c>
      <c r="AP392" s="1744">
        <f>AP390-AP391</f>
        <v/>
      </c>
      <c r="AQ392" s="1744">
        <f>AQ390-AQ391</f>
        <v/>
      </c>
      <c r="AR392" s="1745">
        <f>AR390-AR391</f>
        <v/>
      </c>
      <c r="AS392" s="1745">
        <f>AS390-AS391</f>
        <v/>
      </c>
      <c r="AT392" s="1745">
        <f>AT390-AT391</f>
        <v/>
      </c>
      <c r="AU392" s="1745">
        <f>AU390-AU391</f>
        <v/>
      </c>
      <c r="AV392" s="1591" t="n"/>
    </row>
    <row r="393" collapsed="1" ht="14.4" customFormat="1" customHeight="1" s="1715">
      <c r="A393" s="1726" t="n"/>
      <c r="B393" s="1695" t="n"/>
      <c r="C393" s="1535" t="n"/>
      <c r="D393" s="1535" t="n"/>
      <c r="E393" s="1535" t="n"/>
      <c r="F393" s="1535" t="n"/>
      <c r="G393" s="1535" t="n"/>
      <c r="H393" s="1535" t="n"/>
      <c r="I393" s="1535" t="n"/>
      <c r="J393" s="1535" t="n"/>
      <c r="K393" s="1535" t="n"/>
      <c r="L393" s="1535" t="n"/>
      <c r="M393" s="1535" t="n"/>
      <c r="N393" s="1535" t="n"/>
      <c r="O393" s="1536" t="n"/>
      <c r="P393" s="1727" t="n"/>
      <c r="Q393" s="1536" t="n"/>
      <c r="R393" s="1536" t="n"/>
      <c r="S393" s="1535" t="n"/>
      <c r="T393" s="1536" t="n"/>
      <c r="U393" s="1727" t="n"/>
      <c r="V393" s="1536" t="n"/>
      <c r="W393" s="1536" t="n"/>
      <c r="X393" s="1535" t="n"/>
      <c r="Y393" s="1536" t="n"/>
      <c r="Z393" s="1727" t="n"/>
      <c r="AA393" s="1536" t="n"/>
      <c r="AB393" s="1536" t="n"/>
      <c r="AC393" s="1535" t="n"/>
      <c r="AD393" s="1536" t="n"/>
      <c r="AE393" s="1727" t="n"/>
      <c r="AF393" s="1536" t="n"/>
      <c r="AG393" s="1536" t="n"/>
      <c r="AH393" s="1535" t="n"/>
      <c r="AI393" s="1536" t="n"/>
      <c r="AJ393" s="1727" t="n"/>
      <c r="AK393" s="1674" t="n"/>
      <c r="AL393" s="1442" t="n"/>
      <c r="AM393" s="1441" t="n"/>
      <c r="AN393" s="1442" t="n"/>
      <c r="AO393" s="1442" t="n"/>
      <c r="AP393" s="1442" t="n"/>
      <c r="AQ393" s="1442" t="n"/>
      <c r="AR393" s="1441" t="n"/>
      <c r="AS393" s="1441" t="n"/>
      <c r="AT393" s="1441" t="n"/>
      <c r="AU393" s="1441" t="n"/>
      <c r="AV393" s="1591" t="n"/>
    </row>
    <row r="394" ht="14.4" customFormat="1" customHeight="1" s="1715">
      <c r="A394" s="1726" t="inlineStr">
        <is>
          <t>Non-GAAP Tax Rate</t>
        </is>
      </c>
      <c r="B394" s="1695" t="n"/>
      <c r="C394" s="1687" t="n"/>
      <c r="D394" s="1687" t="n"/>
      <c r="E394" s="1687" t="n"/>
      <c r="F394" s="1687" t="n"/>
      <c r="G394" s="1687" t="n"/>
      <c r="H394" s="1687" t="n"/>
      <c r="I394" s="1687" t="n"/>
      <c r="J394" s="1687" t="n"/>
      <c r="K394" s="1687" t="n"/>
      <c r="L394" s="1687" t="n"/>
      <c r="M394" s="1687" t="n"/>
      <c r="N394" s="1687" t="n"/>
      <c r="O394" s="1688" t="n"/>
      <c r="P394" s="1689" t="n"/>
      <c r="Q394" s="1688" t="n"/>
      <c r="R394" s="1688" t="n"/>
      <c r="S394" s="1687" t="n"/>
      <c r="T394" s="1688" t="n"/>
      <c r="U394" s="1689" t="n"/>
      <c r="V394" s="1688" t="n"/>
      <c r="W394" s="1688" t="n"/>
      <c r="X394" s="1687">
        <f>X378/X375</f>
        <v/>
      </c>
      <c r="Y394" s="1688" t="n"/>
      <c r="Z394" s="1689" t="n"/>
      <c r="AA394" s="1688">
        <f>AA378/AA375</f>
        <v/>
      </c>
      <c r="AB394" s="1688">
        <f>AB378/AB375</f>
        <v/>
      </c>
      <c r="AC394" s="1687">
        <f>AC378/AC375</f>
        <v/>
      </c>
      <c r="AD394" s="1688">
        <f>AD378/AD375</f>
        <v/>
      </c>
      <c r="AE394" s="1689">
        <f>AE378/AE375</f>
        <v/>
      </c>
      <c r="AF394" s="1688">
        <f>AF378/AF375</f>
        <v/>
      </c>
      <c r="AG394" s="1688">
        <f>AG378/AG375</f>
        <v/>
      </c>
      <c r="AH394" s="1687">
        <f>AH378/AH375</f>
        <v/>
      </c>
      <c r="AI394" s="1688">
        <f>AI378/AI375</f>
        <v/>
      </c>
      <c r="AJ394" s="1689">
        <f>AJ378/AJ375</f>
        <v/>
      </c>
      <c r="AK394" s="1690">
        <f>AK378/AK375</f>
        <v/>
      </c>
      <c r="AL394" s="1746" t="n">
        <v>-0.1</v>
      </c>
      <c r="AM394" s="1656">
        <f>AM378/AM375</f>
        <v/>
      </c>
      <c r="AN394" s="1746" t="n">
        <v>-0.3</v>
      </c>
      <c r="AO394" s="1746" t="n">
        <v>-0.3</v>
      </c>
      <c r="AP394" s="1746" t="n">
        <v>0.6</v>
      </c>
      <c r="AQ394" s="1746" t="n">
        <v>0.55</v>
      </c>
      <c r="AR394" s="1656">
        <f>AR378/AR375</f>
        <v/>
      </c>
      <c r="AS394" s="1747" t="n">
        <v>-0.35</v>
      </c>
      <c r="AT394" s="1747" t="n">
        <v>0</v>
      </c>
      <c r="AU394" s="1747" t="n">
        <v>0.900000000000059</v>
      </c>
      <c r="AV394" s="1591" t="n"/>
    </row>
    <row r="395" ht="14.4" customFormat="1" customHeight="1" s="1715">
      <c r="A395" s="1726" t="inlineStr">
        <is>
          <t>Marginal Tax Rate on Adjustments, %</t>
        </is>
      </c>
      <c r="B395" s="1695" t="n"/>
      <c r="C395" s="1656" t="n"/>
      <c r="D395" s="1656" t="n"/>
      <c r="E395" s="1656" t="n"/>
      <c r="F395" s="1656" t="n"/>
      <c r="G395" s="1656" t="n"/>
      <c r="H395" s="1656" t="n"/>
      <c r="I395" s="1656" t="n"/>
      <c r="J395" s="1656" t="n"/>
      <c r="K395" s="1656" t="n"/>
      <c r="L395" s="1656" t="n"/>
      <c r="M395" s="1656" t="n"/>
      <c r="N395" s="1656" t="n"/>
      <c r="O395" s="1657" t="n"/>
      <c r="P395" s="1748" t="n"/>
      <c r="Q395" s="1657" t="n"/>
      <c r="R395" s="1657" t="n"/>
      <c r="S395" s="1656" t="n"/>
      <c r="T395" s="1657" t="n"/>
      <c r="U395" s="1748" t="n"/>
      <c r="V395" s="1657" t="n"/>
      <c r="W395" s="1657" t="n"/>
      <c r="X395" s="1656">
        <f>-X389/SUM(X384:X388)</f>
        <v/>
      </c>
      <c r="Y395" s="1657" t="n"/>
      <c r="Z395" s="1748" t="n"/>
      <c r="AA395" s="1657">
        <f>-AA389/SUM(AA384:AA388)</f>
        <v/>
      </c>
      <c r="AB395" s="1657">
        <f>-AB389/SUM(AB384:AB388)</f>
        <v/>
      </c>
      <c r="AC395" s="1656">
        <f>-AC389/SUM(AC384:AC388)</f>
        <v/>
      </c>
      <c r="AD395" s="1657">
        <f>-AD389/SUM(AD384:AD388)</f>
        <v/>
      </c>
      <c r="AE395" s="1748">
        <f>-AE389/SUM(AE384:AE388)</f>
        <v/>
      </c>
      <c r="AF395" s="1657">
        <f>-AF389/SUM(AF384:AF388)</f>
        <v/>
      </c>
      <c r="AG395" s="1657">
        <f>-AG389/SUM(AG384:AG388)</f>
        <v/>
      </c>
      <c r="AH395" s="1656">
        <f>-AH389/SUM(AH384:AH388)</f>
        <v/>
      </c>
      <c r="AI395" s="1657">
        <f>-AI389/SUM(AI384:AI388)</f>
        <v/>
      </c>
      <c r="AJ395" s="1748">
        <f>-AJ389/SUM(AJ384:AJ388)</f>
        <v/>
      </c>
      <c r="AK395" s="1658">
        <f>-AK389/SUM(AK384:AK388)</f>
        <v/>
      </c>
      <c r="AL395" s="1746" t="n">
        <v>0</v>
      </c>
      <c r="AM395" s="1656">
        <f>-AM389/SUM(AM384:AM388)</f>
        <v/>
      </c>
      <c r="AN395" s="1746" t="n">
        <v>0</v>
      </c>
      <c r="AO395" s="1746" t="n">
        <v>0</v>
      </c>
      <c r="AP395" s="1746" t="n">
        <v>0</v>
      </c>
      <c r="AQ395" s="1746" t="n">
        <v>0</v>
      </c>
      <c r="AR395" s="1656">
        <f>-AR389/SUM(AR384:AR388)</f>
        <v/>
      </c>
      <c r="AS395" s="1747" t="n">
        <v>0</v>
      </c>
      <c r="AT395" s="1747" t="n">
        <v>0</v>
      </c>
      <c r="AU395" s="1747" t="n">
        <v>0</v>
      </c>
      <c r="AV395" s="1591" t="n"/>
    </row>
    <row r="396" ht="14.4" customFormat="1" customHeight="1" s="1715">
      <c r="A396" s="1726" t="inlineStr">
        <is>
          <t>GAAP Tax Rate, %</t>
        </is>
      </c>
      <c r="B396" s="1695" t="n"/>
      <c r="C396" s="1656" t="n"/>
      <c r="D396" s="1656" t="n"/>
      <c r="E396" s="1656" t="n"/>
      <c r="F396" s="1656" t="n"/>
      <c r="G396" s="1656" t="n"/>
      <c r="H396" s="1656" t="n"/>
      <c r="I396" s="1656" t="n"/>
      <c r="J396" s="1656" t="n"/>
      <c r="K396" s="1656" t="n"/>
      <c r="L396" s="1656" t="n"/>
      <c r="M396" s="1656" t="n"/>
      <c r="N396" s="1656" t="n"/>
      <c r="O396" s="1657" t="n"/>
      <c r="P396" s="1748" t="n"/>
      <c r="Q396" s="1657" t="n"/>
      <c r="R396" s="1657" t="n"/>
      <c r="S396" s="1656" t="n"/>
      <c r="T396" s="1657" t="n"/>
      <c r="U396" s="1748" t="n"/>
      <c r="V396" s="1657" t="n"/>
      <c r="W396" s="1657" t="n"/>
      <c r="X396" s="1656">
        <f>X376/(X390+X376)</f>
        <v/>
      </c>
      <c r="Y396" s="1657" t="n"/>
      <c r="Z396" s="1748" t="n"/>
      <c r="AA396" s="1657">
        <f>AA376/(AA390+AA376)</f>
        <v/>
      </c>
      <c r="AB396" s="1657">
        <f>AB376/(AB390+AB376)</f>
        <v/>
      </c>
      <c r="AC396" s="1656">
        <f>AC376/(AC390+AC376)</f>
        <v/>
      </c>
      <c r="AD396" s="1657">
        <f>AD376/(AD390+AD376)</f>
        <v/>
      </c>
      <c r="AE396" s="1748">
        <f>AE376/(AE390+AE376)</f>
        <v/>
      </c>
      <c r="AF396" s="1657">
        <f>AF376/(AF390+AF376)</f>
        <v/>
      </c>
      <c r="AG396" s="1657">
        <f>AG376/(AG390+AG376)</f>
        <v/>
      </c>
      <c r="AH396" s="1656">
        <f>AH376/(AH390+AH376)</f>
        <v/>
      </c>
      <c r="AI396" s="1657">
        <f>AI376/(AI390+AI376)</f>
        <v/>
      </c>
      <c r="AJ396" s="1748">
        <f>AJ376/(AJ390+AJ376)</f>
        <v/>
      </c>
      <c r="AK396" s="1658">
        <f>AK376/(AK390+AK376)</f>
        <v/>
      </c>
      <c r="AL396" s="1657">
        <f>AL376/(AL390+AL376)</f>
        <v/>
      </c>
      <c r="AM396" s="1656">
        <f>AM376/(AM390+AM376)</f>
        <v/>
      </c>
      <c r="AN396" s="1657">
        <f>AN376/(AN390+AN376)</f>
        <v/>
      </c>
      <c r="AO396" s="1657">
        <f>AO376/(AO390+AO376)</f>
        <v/>
      </c>
      <c r="AP396" s="1657">
        <f>AP376/(AP390+AP376)</f>
        <v/>
      </c>
      <c r="AQ396" s="1657">
        <f>AQ376/(AQ390+AQ376)</f>
        <v/>
      </c>
      <c r="AR396" s="1656">
        <f>AR376/(AR390+AR376)</f>
        <v/>
      </c>
      <c r="AS396" s="1656">
        <f>AS376/(AS390+AS376)</f>
        <v/>
      </c>
      <c r="AT396" s="1656">
        <f>AT376/(AT390+AT376)</f>
        <v/>
      </c>
      <c r="AU396" s="1656">
        <f>AU376/(AU390+AU376)</f>
        <v/>
      </c>
      <c r="AV396" s="1591" t="n"/>
    </row>
    <row r="397" ht="14.4" customFormat="1" customHeight="1" s="1715">
      <c r="A397" s="1726" t="inlineStr">
        <is>
          <t>Deferred Income Tax as % of Non-GAAP Taxes, %</t>
        </is>
      </c>
      <c r="B397" s="1695" t="n"/>
      <c r="C397" s="1687" t="n"/>
      <c r="D397" s="1687" t="n"/>
      <c r="E397" s="1687" t="n"/>
      <c r="F397" s="1687" t="n"/>
      <c r="G397" s="1687" t="n"/>
      <c r="H397" s="1687" t="n"/>
      <c r="I397" s="1687" t="n"/>
      <c r="J397" s="1687" t="n"/>
      <c r="K397" s="1687" t="n"/>
      <c r="L397" s="1687" t="n"/>
      <c r="M397" s="1687" t="n"/>
      <c r="N397" s="1687" t="n"/>
      <c r="O397" s="1688" t="n"/>
      <c r="P397" s="1689" t="n"/>
      <c r="Q397" s="1688" t="n"/>
      <c r="R397" s="1688" t="n"/>
      <c r="S397" s="1687" t="n"/>
      <c r="T397" s="1688" t="n"/>
      <c r="U397" s="1689" t="n"/>
      <c r="V397" s="1688" t="n"/>
      <c r="W397" s="1688" t="n"/>
      <c r="X397" s="1687">
        <f>X291/X378</f>
        <v/>
      </c>
      <c r="Y397" s="1688" t="n"/>
      <c r="Z397" s="1689" t="n"/>
      <c r="AA397" s="1688" t="n"/>
      <c r="AB397" s="1688" t="n"/>
      <c r="AC397" s="1687">
        <f>AC291/AC378</f>
        <v/>
      </c>
      <c r="AD397" s="1688" t="n"/>
      <c r="AE397" s="1689" t="n"/>
      <c r="AF397" s="1688" t="n"/>
      <c r="AG397" s="1688" t="n"/>
      <c r="AH397" s="1687">
        <f>AH291/AH378</f>
        <v/>
      </c>
      <c r="AI397" s="1688" t="n"/>
      <c r="AJ397" s="1689" t="n"/>
      <c r="AK397" s="1690" t="n"/>
      <c r="AL397" s="1746" t="n">
        <v>0.9</v>
      </c>
      <c r="AM397" s="1656">
        <f>AM577/AM378</f>
        <v/>
      </c>
      <c r="AN397" s="1746" t="n">
        <v>0.9</v>
      </c>
      <c r="AO397" s="1746" t="n">
        <v>0.9</v>
      </c>
      <c r="AP397" s="1746" t="n">
        <v>0.9</v>
      </c>
      <c r="AQ397" s="1746" t="n">
        <v>0.9</v>
      </c>
      <c r="AR397" s="1656">
        <f>AR577/AR378</f>
        <v/>
      </c>
      <c r="AS397" s="1747" t="n">
        <v>0.9</v>
      </c>
      <c r="AT397" s="1747" t="n">
        <v>0.9</v>
      </c>
      <c r="AU397" s="1747" t="n">
        <v>0.9</v>
      </c>
      <c r="AV397" s="1591" t="n"/>
    </row>
    <row r="398" ht="7.5" customFormat="1" customHeight="1" s="1715">
      <c r="A398" s="1726" t="n"/>
      <c r="B398" s="1695" t="n"/>
      <c r="C398" s="1687" t="n"/>
      <c r="D398" s="1687" t="n"/>
      <c r="E398" s="1687" t="n"/>
      <c r="F398" s="1687" t="n"/>
      <c r="G398" s="1687" t="n"/>
      <c r="H398" s="1687" t="n"/>
      <c r="I398" s="1687" t="n"/>
      <c r="J398" s="1687" t="n"/>
      <c r="K398" s="1687" t="n"/>
      <c r="L398" s="1687" t="n"/>
      <c r="M398" s="1687" t="n"/>
      <c r="N398" s="1687" t="n"/>
      <c r="O398" s="1688" t="n"/>
      <c r="P398" s="1689" t="n"/>
      <c r="Q398" s="1688" t="n"/>
      <c r="R398" s="1688" t="n"/>
      <c r="S398" s="1687" t="n"/>
      <c r="T398" s="1688" t="n"/>
      <c r="U398" s="1689" t="n"/>
      <c r="V398" s="1688" t="n"/>
      <c r="W398" s="1688" t="n"/>
      <c r="X398" s="1687" t="n"/>
      <c r="Y398" s="1688" t="n"/>
      <c r="Z398" s="1689" t="n"/>
      <c r="AA398" s="1688" t="n"/>
      <c r="AB398" s="1688" t="n"/>
      <c r="AC398" s="1687" t="n"/>
      <c r="AD398" s="1688" t="n"/>
      <c r="AE398" s="1689" t="n"/>
      <c r="AF398" s="1688" t="n"/>
      <c r="AG398" s="1688" t="n"/>
      <c r="AH398" s="1687" t="n"/>
      <c r="AI398" s="1688" t="n"/>
      <c r="AJ398" s="1689" t="n"/>
      <c r="AK398" s="1690" t="n"/>
      <c r="AL398" s="1657" t="n"/>
      <c r="AM398" s="1656" t="n"/>
      <c r="AN398" s="1657" t="n"/>
      <c r="AO398" s="1657" t="n"/>
      <c r="AP398" s="1657" t="n"/>
      <c r="AQ398" s="1657" t="n"/>
      <c r="AR398" s="1656" t="n"/>
      <c r="AS398" s="1656" t="n"/>
      <c r="AT398" s="1656" t="n"/>
      <c r="AU398" s="1656" t="n"/>
      <c r="AV398" s="1591" t="n"/>
    </row>
    <row r="399" hidden="1" outlineLevel="1" ht="14.4" customFormat="1" customHeight="1" s="1749">
      <c r="A399" s="1750" t="inlineStr">
        <is>
          <t>GAAP Earnings Per Share - WAB</t>
        </is>
      </c>
      <c r="B399" s="1751" t="n"/>
      <c r="C399" s="1752" t="n"/>
      <c r="D399" s="1752" t="n"/>
      <c r="E399" s="1752" t="n"/>
      <c r="F399" s="1752" t="n"/>
      <c r="G399" s="1752" t="n"/>
      <c r="H399" s="1752" t="n"/>
      <c r="I399" s="1752" t="n"/>
      <c r="J399" s="1752" t="n"/>
      <c r="K399" s="1752" t="n"/>
      <c r="L399" s="1752" t="n"/>
      <c r="M399" s="1752" t="n"/>
      <c r="N399" s="1752" t="n"/>
      <c r="O399" s="1753" t="n"/>
      <c r="P399" s="1753" t="n"/>
      <c r="Q399" s="1753" t="n"/>
      <c r="R399" s="1753" t="n"/>
      <c r="S399" s="1752" t="n"/>
      <c r="T399" s="1753" t="n"/>
      <c r="U399" s="1753" t="n"/>
      <c r="V399" s="1753" t="n"/>
      <c r="W399" s="1753" t="n"/>
      <c r="X399" s="1754">
        <f>X390/X404</f>
        <v/>
      </c>
      <c r="Y399" s="1753" t="n"/>
      <c r="Z399" s="1753" t="n"/>
      <c r="AA399" s="1755">
        <f>AA390/AA404</f>
        <v/>
      </c>
      <c r="AB399" s="1755">
        <f>AB390/AB404</f>
        <v/>
      </c>
      <c r="AC399" s="1754">
        <f>AC390/AC404</f>
        <v/>
      </c>
      <c r="AD399" s="1753">
        <f>AD390/AD404</f>
        <v/>
      </c>
      <c r="AE399" s="1753">
        <f>AE390/AE404</f>
        <v/>
      </c>
      <c r="AF399" s="1755">
        <f>AF390/AF404</f>
        <v/>
      </c>
      <c r="AG399" s="1755">
        <f>AG390/AG404</f>
        <v/>
      </c>
      <c r="AH399" s="1754">
        <f>AH390/AH404</f>
        <v/>
      </c>
      <c r="AI399" s="1753">
        <f>AI390/AI404</f>
        <v/>
      </c>
      <c r="AJ399" s="1753">
        <f>AJ390/AJ404</f>
        <v/>
      </c>
      <c r="AK399" s="1756">
        <f>AK390/AK404</f>
        <v/>
      </c>
      <c r="AL399" s="1753">
        <f>AL390/AL404</f>
        <v/>
      </c>
      <c r="AM399" s="1752">
        <f>AM390/AM404</f>
        <v/>
      </c>
      <c r="AN399" s="1753">
        <f>AN390/AN404</f>
        <v/>
      </c>
      <c r="AO399" s="1753">
        <f>AO390/AO404</f>
        <v/>
      </c>
      <c r="AP399" s="1753">
        <f>AP390/AP404</f>
        <v/>
      </c>
      <c r="AQ399" s="1753">
        <f>AQ390/AQ404</f>
        <v/>
      </c>
      <c r="AR399" s="1752">
        <f>AR390/AR404</f>
        <v/>
      </c>
      <c r="AS399" s="1752">
        <f>AS390/AS404</f>
        <v/>
      </c>
      <c r="AT399" s="1752">
        <f>AT390/AT404</f>
        <v/>
      </c>
      <c r="AU399" s="1752">
        <f>AU390/AU404</f>
        <v/>
      </c>
      <c r="AV399" s="1755" t="n"/>
    </row>
    <row r="400" hidden="1" outlineLevel="1" ht="14.4" customFormat="1" customHeight="1" s="1749">
      <c r="A400" s="1750" t="inlineStr">
        <is>
          <t>GAAP Earnings Per Share - WAD</t>
        </is>
      </c>
      <c r="B400" s="1751" t="n"/>
      <c r="C400" s="1752" t="n"/>
      <c r="D400" s="1752" t="n"/>
      <c r="E400" s="1752" t="n"/>
      <c r="F400" s="1752" t="n"/>
      <c r="G400" s="1752" t="n"/>
      <c r="H400" s="1752" t="n"/>
      <c r="I400" s="1752" t="n"/>
      <c r="J400" s="1752" t="n"/>
      <c r="K400" s="1752" t="n"/>
      <c r="L400" s="1752" t="n"/>
      <c r="M400" s="1752" t="n"/>
      <c r="N400" s="1752" t="n"/>
      <c r="O400" s="1753" t="n"/>
      <c r="P400" s="1753" t="n"/>
      <c r="Q400" s="1753" t="n"/>
      <c r="R400" s="1753" t="n"/>
      <c r="S400" s="1752" t="n"/>
      <c r="T400" s="1753" t="n"/>
      <c r="U400" s="1753" t="n"/>
      <c r="V400" s="1753" t="n"/>
      <c r="W400" s="1753" t="n"/>
      <c r="X400" s="1754">
        <f>X392/X405</f>
        <v/>
      </c>
      <c r="Y400" s="1753" t="n"/>
      <c r="Z400" s="1753" t="n"/>
      <c r="AA400" s="1755">
        <f>AA392/AA405</f>
        <v/>
      </c>
      <c r="AB400" s="1755">
        <f>AB392/AB405</f>
        <v/>
      </c>
      <c r="AC400" s="1754">
        <f>AC392/AC405</f>
        <v/>
      </c>
      <c r="AD400" s="1753">
        <f>AD392/AD405</f>
        <v/>
      </c>
      <c r="AE400" s="1753">
        <f>AE392/AE405</f>
        <v/>
      </c>
      <c r="AF400" s="1755">
        <f>AF392/AF405</f>
        <v/>
      </c>
      <c r="AG400" s="1755">
        <f>AG392/AG405</f>
        <v/>
      </c>
      <c r="AH400" s="1754">
        <f>AH392/AH405</f>
        <v/>
      </c>
      <c r="AI400" s="1753">
        <f>AI392/AI405</f>
        <v/>
      </c>
      <c r="AJ400" s="1753">
        <f>AJ392/AJ405</f>
        <v/>
      </c>
      <c r="AK400" s="1756">
        <f>AK392/AK405</f>
        <v/>
      </c>
      <c r="AL400" s="1753">
        <f>AL392/AL405</f>
        <v/>
      </c>
      <c r="AM400" s="1752">
        <f>AM392/AM405</f>
        <v/>
      </c>
      <c r="AN400" s="1753">
        <f>AN392/AN405</f>
        <v/>
      </c>
      <c r="AO400" s="1753">
        <f>AO392/AO405</f>
        <v/>
      </c>
      <c r="AP400" s="1753">
        <f>AP392/AP405</f>
        <v/>
      </c>
      <c r="AQ400" s="1753">
        <f>AQ392/AQ405</f>
        <v/>
      </c>
      <c r="AR400" s="1752">
        <f>AR392/AR405</f>
        <v/>
      </c>
      <c r="AS400" s="1752">
        <f>AS392/AS405</f>
        <v/>
      </c>
      <c r="AT400" s="1752">
        <f>AT392/AT405</f>
        <v/>
      </c>
      <c r="AU400" s="1752">
        <f>AU392/AU405</f>
        <v/>
      </c>
      <c r="AV400" s="1755" t="n"/>
    </row>
    <row r="401" collapsed="1" ht="14.4" customFormat="1" customHeight="1" s="1749">
      <c r="A401" s="1750" t="inlineStr">
        <is>
          <t>Non-GAAP Earnings Per Share - WAD</t>
        </is>
      </c>
      <c r="B401" s="1751" t="n"/>
      <c r="C401" s="1752" t="n"/>
      <c r="D401" s="1752" t="n"/>
      <c r="E401" s="1752" t="n"/>
      <c r="F401" s="1752" t="n"/>
      <c r="G401" s="1752" t="n"/>
      <c r="H401" s="1752" t="n"/>
      <c r="I401" s="1752" t="n"/>
      <c r="J401" s="1752" t="n"/>
      <c r="K401" s="1752" t="n"/>
      <c r="L401" s="1752" t="n"/>
      <c r="M401" s="1752" t="n"/>
      <c r="N401" s="1752" t="n"/>
      <c r="O401" s="1753" t="n"/>
      <c r="P401" s="1753" t="n"/>
      <c r="Q401" s="1753" t="n"/>
      <c r="R401" s="1753" t="n"/>
      <c r="S401" s="1752" t="n"/>
      <c r="T401" s="1753" t="n"/>
      <c r="U401" s="1753" t="n"/>
      <c r="V401" s="1753" t="n"/>
      <c r="W401" s="1753" t="n"/>
      <c r="X401" s="1754">
        <f>X383/X406</f>
        <v/>
      </c>
      <c r="Y401" s="1753" t="n"/>
      <c r="Z401" s="1753" t="n"/>
      <c r="AA401" s="1755">
        <f>AA383/AA406</f>
        <v/>
      </c>
      <c r="AB401" s="1755">
        <f>AB383/AB406</f>
        <v/>
      </c>
      <c r="AC401" s="1754">
        <f>AC383/AC406</f>
        <v/>
      </c>
      <c r="AD401" s="1753">
        <f>AD383/AD406</f>
        <v/>
      </c>
      <c r="AE401" s="1753">
        <f>AE383/AE406</f>
        <v/>
      </c>
      <c r="AF401" s="1755">
        <f>AF383/AF406</f>
        <v/>
      </c>
      <c r="AG401" s="1755">
        <f>AG383/AG406</f>
        <v/>
      </c>
      <c r="AH401" s="1754">
        <f>AH383/AH406</f>
        <v/>
      </c>
      <c r="AI401" s="1753">
        <f>AI383/AI406</f>
        <v/>
      </c>
      <c r="AJ401" s="1753">
        <f>AJ383/AJ406</f>
        <v/>
      </c>
      <c r="AK401" s="1756">
        <f>AK383/AK406</f>
        <v/>
      </c>
      <c r="AL401" s="1753">
        <f>AL383/AL406</f>
        <v/>
      </c>
      <c r="AM401" s="1752">
        <f>AM383/AM406</f>
        <v/>
      </c>
      <c r="AN401" s="1753">
        <f>AN383/AN406</f>
        <v/>
      </c>
      <c r="AO401" s="1753">
        <f>AO383/AO406</f>
        <v/>
      </c>
      <c r="AP401" s="1753">
        <f>AP383/AP406</f>
        <v/>
      </c>
      <c r="AQ401" s="1753">
        <f>AQ383/AQ406</f>
        <v/>
      </c>
      <c r="AR401" s="1752">
        <f>AR383/AR406</f>
        <v/>
      </c>
      <c r="AS401" s="1752">
        <f>AS383/AS406</f>
        <v/>
      </c>
      <c r="AT401" s="1752">
        <f>AT383/AT406</f>
        <v/>
      </c>
      <c r="AU401" s="1752">
        <f>AU383/AU406</f>
        <v/>
      </c>
      <c r="AV401" s="1755" t="n"/>
    </row>
    <row r="402" ht="14.4" customFormat="1" customHeight="1" s="1757">
      <c r="A402" s="1758">
        <f>CONCATENATE("Consensus Estimates - ",IFERROR(LEFT(A401,FIND("(",A401)-1),A401))</f>
        <v/>
      </c>
      <c r="B402" s="1759" t="n"/>
      <c r="C402" s="1760" t="n"/>
      <c r="D402" s="1760" t="n"/>
      <c r="E402" s="1760" t="n"/>
      <c r="F402" s="1760" t="n"/>
      <c r="G402" s="1760" t="n"/>
      <c r="H402" s="1760" t="n"/>
      <c r="I402" s="1760" t="n"/>
      <c r="J402" s="1760" t="n"/>
      <c r="K402" s="1760" t="n"/>
      <c r="L402" s="1760" t="n"/>
      <c r="M402" s="1760" t="n"/>
      <c r="N402" s="1760" t="n"/>
      <c r="O402" s="1761" t="n"/>
      <c r="P402" s="1762" t="n"/>
      <c r="Q402" s="1761" t="n"/>
      <c r="R402" s="1761" t="n"/>
      <c r="S402" s="1760" t="n"/>
      <c r="T402" s="1761" t="n"/>
      <c r="U402" s="1762" t="n"/>
      <c r="V402" s="1761" t="n"/>
      <c r="W402" s="1761" t="n"/>
      <c r="X402" s="1760" t="n"/>
      <c r="Y402" s="1761" t="n"/>
      <c r="Z402" s="1762" t="n"/>
      <c r="AA402" s="1761" t="n"/>
      <c r="AB402" s="1761" t="n"/>
      <c r="AC402" s="1760" t="n"/>
      <c r="AD402" s="1761" t="n"/>
      <c r="AE402" s="1762" t="n"/>
      <c r="AF402" s="1761" t="n"/>
      <c r="AG402" s="1761" t="n"/>
      <c r="AH402" s="1760" t="n"/>
      <c r="AI402" s="1761" t="n"/>
      <c r="AJ402" s="1762" t="n"/>
      <c r="AK402" s="1763" t="n"/>
      <c r="AL402" s="1764">
        <f>IFERROR(VLOOKUP($A402,tb_ConsensusEstimate,MATCH(AL$5,OFFSET(tb_ConsensusEstimate,0,0,1,COLUMNS(tb_ConsensusEstimate)),0),FALSE),"-")</f>
        <v/>
      </c>
      <c r="AM402" s="1765">
        <f>IFERROR(VLOOKUP($A402,tb_ConsensusEstimate,MATCH(AM$5,OFFSET(tb_ConsensusEstimate,0,0,1,COLUMNS(tb_ConsensusEstimate)),0),FALSE),"-")</f>
        <v/>
      </c>
      <c r="AN402" s="1764">
        <f>IFERROR(VLOOKUP($A402,tb_ConsensusEstimate,MATCH(AN$5,OFFSET(tb_ConsensusEstimate,0,0,1,COLUMNS(tb_ConsensusEstimate)),0),FALSE),"-")</f>
        <v/>
      </c>
      <c r="AO402" s="1764">
        <f>IFERROR(VLOOKUP($A402,tb_ConsensusEstimate,MATCH(AO$5,OFFSET(tb_ConsensusEstimate,0,0,1,COLUMNS(tb_ConsensusEstimate)),0),FALSE),"-")</f>
        <v/>
      </c>
      <c r="AP402" s="1764">
        <f>IFERROR(VLOOKUP($A402,tb_ConsensusEstimate,MATCH(AP$5,OFFSET(tb_ConsensusEstimate,0,0,1,COLUMNS(tb_ConsensusEstimate)),0),FALSE),"-")</f>
        <v/>
      </c>
      <c r="AQ402" s="1764">
        <f>IFERROR(VLOOKUP($A402,tb_ConsensusEstimate,MATCH(AQ$5,OFFSET(tb_ConsensusEstimate,0,0,1,COLUMNS(tb_ConsensusEstimate)),0),FALSE),"-")</f>
        <v/>
      </c>
      <c r="AR402" s="1765">
        <f>IFERROR(VLOOKUP($A402,tb_ConsensusEstimate,MATCH(AR$5,OFFSET(tb_ConsensusEstimate,0,0,1,COLUMNS(tb_ConsensusEstimate)),0),FALSE),"-")</f>
        <v/>
      </c>
      <c r="AS402" s="1765">
        <f>IFERROR(VLOOKUP($A402,tb_ConsensusEstimate,MATCH(AS$5,OFFSET(tb_ConsensusEstimate,0,0,1,COLUMNS(tb_ConsensusEstimate)),0),FALSE),"-")</f>
        <v/>
      </c>
      <c r="AT402" s="1765">
        <f>IFERROR(VLOOKUP($A402,tb_ConsensusEstimate,MATCH(AT$5,OFFSET(tb_ConsensusEstimate,0,0,1,COLUMNS(tb_ConsensusEstimate)),0),FALSE),"-")</f>
        <v/>
      </c>
      <c r="AU402" s="1765">
        <f>IFERROR(VLOOKUP($A402,tb_ConsensusEstimate,MATCH(AU$5,OFFSET(tb_ConsensusEstimate,0,0,1,COLUMNS(tb_ConsensusEstimate)),0),FALSE),"-")</f>
        <v/>
      </c>
      <c r="AV402" s="1761" t="n"/>
    </row>
    <row r="403" ht="14.4" customFormat="1" customHeight="1" s="1418">
      <c r="A403" s="1420" t="n"/>
      <c r="B403" s="1698" t="n"/>
      <c r="C403" s="1529" t="n"/>
      <c r="D403" s="1529" t="n"/>
      <c r="E403" s="1529" t="n"/>
      <c r="F403" s="1529" t="n"/>
      <c r="G403" s="1529" t="n"/>
      <c r="H403" s="1529" t="n"/>
      <c r="I403" s="1529" t="n"/>
      <c r="J403" s="1529" t="n"/>
      <c r="K403" s="1529" t="n"/>
      <c r="L403" s="1529" t="n"/>
      <c r="M403" s="1529" t="n"/>
      <c r="N403" s="1529" t="n"/>
      <c r="O403" s="1420" t="n"/>
      <c r="P403" s="1420" t="n"/>
      <c r="Q403" s="1420" t="n"/>
      <c r="R403" s="1420" t="n"/>
      <c r="S403" s="1529" t="n"/>
      <c r="T403" s="1420" t="n"/>
      <c r="U403" s="1420" t="n"/>
      <c r="V403" s="1420" t="n"/>
      <c r="W403" s="1420" t="n"/>
      <c r="X403" s="1529" t="n"/>
      <c r="Y403" s="1420" t="n"/>
      <c r="Z403" s="1420" t="n"/>
      <c r="AA403" s="1420" t="n"/>
      <c r="AB403" s="1420" t="n"/>
      <c r="AC403" s="1529" t="n"/>
      <c r="AD403" s="1420" t="n"/>
      <c r="AE403" s="1420" t="n"/>
      <c r="AF403" s="1420" t="n"/>
      <c r="AG403" s="1420" t="n"/>
      <c r="AH403" s="1529" t="n"/>
      <c r="AI403" s="1420" t="n"/>
      <c r="AJ403" s="1420" t="n"/>
      <c r="AK403" s="1421" t="n"/>
      <c r="AL403" s="1420" t="n"/>
      <c r="AM403" s="1529" t="n"/>
      <c r="AN403" s="1420" t="n"/>
      <c r="AO403" s="1420" t="n"/>
      <c r="AP403" s="1420" t="n"/>
      <c r="AQ403" s="1420" t="n"/>
      <c r="AR403" s="1529" t="n"/>
      <c r="AS403" s="1529" t="n"/>
      <c r="AT403" s="1529" t="n"/>
      <c r="AU403" s="1529" t="n"/>
      <c r="AV403" s="1422" t="n"/>
    </row>
    <row r="404" ht="14.4" customFormat="1" customHeight="1" s="1418">
      <c r="A404" s="1422" t="inlineStr">
        <is>
          <t>Shares Outstanding - WAB</t>
        </is>
      </c>
      <c r="B404" s="1698" t="n"/>
      <c r="C404" s="1529" t="n"/>
      <c r="D404" s="1529" t="n"/>
      <c r="E404" s="1529" t="n"/>
      <c r="F404" s="1529" t="n"/>
      <c r="G404" s="1529" t="n"/>
      <c r="H404" s="1529" t="n"/>
      <c r="I404" s="1529" t="n"/>
      <c r="J404" s="1529" t="n"/>
      <c r="K404" s="1529" t="n"/>
      <c r="L404" s="1529" t="n"/>
      <c r="M404" s="1529" t="n"/>
      <c r="N404" s="1529" t="n"/>
      <c r="O404" s="1420" t="n"/>
      <c r="P404" s="1420" t="n"/>
      <c r="Q404" s="1420" t="n"/>
      <c r="R404" s="1420" t="n"/>
      <c r="S404" s="1529" t="n"/>
      <c r="T404" s="1420" t="n"/>
      <c r="U404" s="1420" t="n"/>
      <c r="V404" s="1420" t="n"/>
      <c r="W404" s="1420" t="n"/>
      <c r="X404" s="1593" t="n">
        <v>180.632</v>
      </c>
      <c r="Y404" s="1420" t="n"/>
      <c r="Z404" s="1420" t="n"/>
      <c r="AA404" s="1594">
        <f>9.516*20</f>
        <v/>
      </c>
      <c r="AB404" s="1422">
        <f>(AC404*AC$3-AA404*(AA$3+Z$3+Y$3))/AB$3</f>
        <v/>
      </c>
      <c r="AC404" s="1593" t="n">
        <v>192.164</v>
      </c>
      <c r="AD404" s="1594" t="n">
        <v>209.228</v>
      </c>
      <c r="AE404" s="1594" t="n">
        <v>209.626</v>
      </c>
      <c r="AF404" s="1594" t="n">
        <v>213.806</v>
      </c>
      <c r="AG404" s="1422">
        <f>(AH404*AH$3-AF404*(AF$3+AE$3+AD$3))/AG$3</f>
        <v/>
      </c>
      <c r="AH404" s="1593" t="n">
        <v>217.854</v>
      </c>
      <c r="AI404" s="1594" t="n">
        <v>245.608</v>
      </c>
      <c r="AJ404" s="1594" t="n">
        <v>486.591</v>
      </c>
      <c r="AK404" s="1595" t="n">
        <v>497.886</v>
      </c>
      <c r="AL404" s="1420">
        <f>AVERAGE(AK411,AL411)</f>
        <v/>
      </c>
      <c r="AM404" s="1529">
        <f>SUM(AI404*AI3,AJ404*AJ3,AK404*AK3,AL404*AL3)/AM3</f>
        <v/>
      </c>
      <c r="AN404" s="1420">
        <f>AVERAGE(AM411,AN411)</f>
        <v/>
      </c>
      <c r="AO404" s="1420">
        <f>AVERAGE(AN411,AO411)</f>
        <v/>
      </c>
      <c r="AP404" s="1420">
        <f>AVERAGE(AO411,AP411)</f>
        <v/>
      </c>
      <c r="AQ404" s="1420">
        <f>AVERAGE(AP411,AQ411)</f>
        <v/>
      </c>
      <c r="AR404" s="1529">
        <f>SUM(AN404*AN3,AO404*AO3,AP404*AP3,AQ404*AQ3)/AR3</f>
        <v/>
      </c>
      <c r="AS404" s="1529">
        <f>AVERAGE(AR411,AS411)</f>
        <v/>
      </c>
      <c r="AT404" s="1529">
        <f>AVERAGE(AS411,AT411)</f>
        <v/>
      </c>
      <c r="AU404" s="1529">
        <f>AVERAGE(AT411,AU411)</f>
        <v/>
      </c>
      <c r="AV404" s="1422" t="n"/>
    </row>
    <row r="405" ht="14.4" customFormat="1" customHeight="1" s="1418">
      <c r="A405" s="1422" t="inlineStr">
        <is>
          <t>Shares Outstanding - WAD</t>
        </is>
      </c>
      <c r="B405" s="1698" t="n"/>
      <c r="C405" s="1529" t="n"/>
      <c r="D405" s="1529" t="n"/>
      <c r="E405" s="1529" t="n"/>
      <c r="F405" s="1529" t="n"/>
      <c r="G405" s="1529" t="n"/>
      <c r="H405" s="1529" t="n"/>
      <c r="I405" s="1529" t="n"/>
      <c r="J405" s="1529" t="n"/>
      <c r="K405" s="1529" t="n"/>
      <c r="L405" s="1529" t="n"/>
      <c r="M405" s="1529" t="n"/>
      <c r="N405" s="1529" t="n"/>
      <c r="O405" s="1420" t="n"/>
      <c r="P405" s="1420" t="n"/>
      <c r="Q405" s="1420" t="n"/>
      <c r="R405" s="1420" t="n"/>
      <c r="S405" s="1529" t="n"/>
      <c r="T405" s="1420" t="n"/>
      <c r="U405" s="1420" t="n"/>
      <c r="V405" s="1420" t="n"/>
      <c r="W405" s="1420" t="n"/>
      <c r="X405" s="1593" t="n">
        <v>180.632</v>
      </c>
      <c r="Y405" s="1420" t="n"/>
      <c r="Z405" s="1420" t="n"/>
      <c r="AA405" s="1594">
        <f>9.516*20</f>
        <v/>
      </c>
      <c r="AB405" s="1422">
        <f>(AC405*AC$3-AA405*(AA$3+Z$3+Y$3))/AB$3</f>
        <v/>
      </c>
      <c r="AC405" s="1593" t="n">
        <v>192.164</v>
      </c>
      <c r="AD405" s="1594" t="n">
        <v>209.228</v>
      </c>
      <c r="AE405" s="1594" t="n">
        <v>209.626</v>
      </c>
      <c r="AF405" s="1594" t="n">
        <v>213.806</v>
      </c>
      <c r="AG405" s="1422">
        <f>(AH405*AH$3-AF405*(AF$3+AE$3+AD$3))/AG$3</f>
        <v/>
      </c>
      <c r="AH405" s="1593" t="n">
        <v>217.854</v>
      </c>
      <c r="AI405" s="1594" t="n">
        <v>249.293</v>
      </c>
      <c r="AJ405" s="1594" t="n">
        <v>486.591</v>
      </c>
      <c r="AK405" s="1595" t="n">
        <v>497.886</v>
      </c>
      <c r="AL405" s="1420">
        <f>IF(AL392&lt;0,AL404,AVERAGE(AK427,AL427))</f>
        <v/>
      </c>
      <c r="AM405" s="1529">
        <f>IF(AM392&lt;0,AM404,SUM(AVERAGE(AH427,AI427)*AI3,AVERAGE(AI427,AJ427)*AJ3,AVERAGE(AJ427,AK427)*AK3,AVERAGE(AK427,AL427)*AL3)/AM3)</f>
        <v/>
      </c>
      <c r="AN405" s="1420">
        <f>IF(AN392&lt;0,AN404,AVERAGE(AM427,AN427))</f>
        <v/>
      </c>
      <c r="AO405" s="1420">
        <f>IF(AO392&lt;0,AO404,AVERAGE(AN427,AO427))</f>
        <v/>
      </c>
      <c r="AP405" s="1420">
        <f>IF(AP392&lt;0,AP404,AVERAGE(AO427,AP427))</f>
        <v/>
      </c>
      <c r="AQ405" s="1420">
        <f>IF(AQ392&lt;0,AQ404,AVERAGE(AP427,AQ427))</f>
        <v/>
      </c>
      <c r="AR405" s="1529">
        <f>IF(AR392&lt;0,AR404,SUM(AVERAGE(AM427,AN427)*AN3,AVERAGE(AN427,AO427)*AO3,AVERAGE(AO427,AP427)*AP3,AVERAGE(AP427,AQ427)*AQ3)/AR3)</f>
        <v/>
      </c>
      <c r="AS405" s="1529">
        <f>IF(AS392&lt;0,AS404,AVERAGE(AR427,AS427))</f>
        <v/>
      </c>
      <c r="AT405" s="1529">
        <f>IF(AT392&lt;0,AT404,AVERAGE(AS427,AT427))</f>
        <v/>
      </c>
      <c r="AU405" s="1529">
        <f>IF(AU392&lt;0,AU404,AVERAGE(AT427,AU427))</f>
        <v/>
      </c>
      <c r="AV405" s="1422" t="n"/>
    </row>
    <row r="406" ht="14.4" customFormat="1" customHeight="1" s="1418">
      <c r="A406" s="1422" t="inlineStr">
        <is>
          <t>Adjusted Shares Outstanding - WAD</t>
        </is>
      </c>
      <c r="B406" s="1698" t="n"/>
      <c r="C406" s="1529" t="n"/>
      <c r="D406" s="1529" t="n"/>
      <c r="E406" s="1529" t="n"/>
      <c r="F406" s="1529" t="n"/>
      <c r="G406" s="1529" t="n"/>
      <c r="H406" s="1529" t="n"/>
      <c r="I406" s="1529" t="n"/>
      <c r="J406" s="1529" t="n"/>
      <c r="K406" s="1529" t="n"/>
      <c r="L406" s="1529" t="n"/>
      <c r="M406" s="1529" t="n"/>
      <c r="N406" s="1529" t="n"/>
      <c r="O406" s="1420" t="n"/>
      <c r="P406" s="1420" t="n"/>
      <c r="Q406" s="1420" t="n"/>
      <c r="R406" s="1420" t="n"/>
      <c r="S406" s="1529" t="n"/>
      <c r="T406" s="1420" t="n"/>
      <c r="U406" s="1420" t="n"/>
      <c r="V406" s="1420" t="n"/>
      <c r="W406" s="1420" t="n"/>
      <c r="X406" s="1540">
        <f>X405</f>
        <v/>
      </c>
      <c r="Y406" s="1420" t="n"/>
      <c r="Z406" s="1420" t="n"/>
      <c r="AA406" s="1422">
        <f>AA405</f>
        <v/>
      </c>
      <c r="AB406" s="1422">
        <f>AB405</f>
        <v/>
      </c>
      <c r="AC406" s="1540">
        <f>AC405</f>
        <v/>
      </c>
      <c r="AD406" s="1420">
        <f>AD405</f>
        <v/>
      </c>
      <c r="AE406" s="1420">
        <f>AE405</f>
        <v/>
      </c>
      <c r="AF406" s="1422">
        <f>AF405</f>
        <v/>
      </c>
      <c r="AG406" s="1422">
        <f>AG405</f>
        <v/>
      </c>
      <c r="AH406" s="1540">
        <f>AH405</f>
        <v/>
      </c>
      <c r="AI406" s="1420">
        <f>AI405</f>
        <v/>
      </c>
      <c r="AJ406" s="1420">
        <f>AJ405</f>
        <v/>
      </c>
      <c r="AK406" s="1541">
        <f>AK405</f>
        <v/>
      </c>
      <c r="AL406" s="1420">
        <f>IF(AL383&lt;0,AL404,AVERAGE(AK427,AL427))</f>
        <v/>
      </c>
      <c r="AM406" s="1529">
        <f>IF(AM383&lt;0,AM404,SUM(AVERAGE(AH427,AI427)*AI3,AVERAGE(AI427,AJ427)*AJ3,AVERAGE(AJ427,AK427)*AK3,AVERAGE(AK427,AL427)*AL3)/AM3)</f>
        <v/>
      </c>
      <c r="AN406" s="1420">
        <f>IF(AN383&lt;0,AN404,AVERAGE(AM427,AN427))</f>
        <v/>
      </c>
      <c r="AO406" s="1420">
        <f>IF(AO383&lt;0,AO404,AVERAGE(AN427,AO427))</f>
        <v/>
      </c>
      <c r="AP406" s="1420">
        <f>IF(AP383&lt;0,AP404,AVERAGE(AO427,AP427))</f>
        <v/>
      </c>
      <c r="AQ406" s="1420">
        <f>IF(AQ383&lt;0,AQ404,AVERAGE(AP427,AQ427))</f>
        <v/>
      </c>
      <c r="AR406" s="1529">
        <f>IF(AR383&lt;0,AR404,SUM(AVERAGE(AM427,AN427)*AN3,AVERAGE(AN427,AO427)*AO3,AVERAGE(AO427,AP427)*AP3,AVERAGE(AP427,AQ427)*AQ3)/AR3)</f>
        <v/>
      </c>
      <c r="AS406" s="1529">
        <f>IF(AS383&lt;0,AS404,AVERAGE(AR427,AS427))</f>
        <v/>
      </c>
      <c r="AT406" s="1529">
        <f>IF(AT383&lt;0,AT404,AVERAGE(AS427,AT427))</f>
        <v/>
      </c>
      <c r="AU406" s="1529">
        <f>IF(AU383&lt;0,AU404,AVERAGE(AT427,AU427))</f>
        <v/>
      </c>
      <c r="AV406" s="1422" t="n"/>
    </row>
    <row r="407" ht="14.4" customFormat="1" customHeight="1" s="1418">
      <c r="A407" s="1420" t="n"/>
      <c r="B407" s="1698" t="n"/>
      <c r="C407" s="1529" t="n"/>
      <c r="D407" s="1529" t="n"/>
      <c r="E407" s="1529" t="n"/>
      <c r="F407" s="1529" t="n"/>
      <c r="G407" s="1529" t="n"/>
      <c r="H407" s="1529" t="n"/>
      <c r="I407" s="1529" t="n"/>
      <c r="J407" s="1529" t="n"/>
      <c r="K407" s="1529" t="n"/>
      <c r="L407" s="1529" t="n"/>
      <c r="M407" s="1529" t="n"/>
      <c r="N407" s="1529" t="n"/>
      <c r="O407" s="1420" t="n"/>
      <c r="P407" s="1420" t="n"/>
      <c r="Q407" s="1420" t="n"/>
      <c r="R407" s="1420" t="n"/>
      <c r="S407" s="1529" t="n"/>
      <c r="T407" s="1420" t="n"/>
      <c r="U407" s="1420" t="n"/>
      <c r="V407" s="1420" t="n"/>
      <c r="W407" s="1420" t="n"/>
      <c r="X407" s="1529" t="n"/>
      <c r="Y407" s="1420" t="n"/>
      <c r="Z407" s="1420" t="n"/>
      <c r="AA407" s="1420" t="n"/>
      <c r="AB407" s="1420" t="n"/>
      <c r="AC407" s="1529" t="n"/>
      <c r="AD407" s="1420" t="n"/>
      <c r="AE407" s="1420" t="n"/>
      <c r="AF407" s="1420" t="n"/>
      <c r="AG407" s="1420" t="n"/>
      <c r="AH407" s="1529" t="n"/>
      <c r="AI407" s="1420" t="n"/>
      <c r="AJ407" s="1420" t="n"/>
      <c r="AK407" s="1421" t="n"/>
      <c r="AL407" s="1420" t="n"/>
      <c r="AM407" s="1529" t="n"/>
      <c r="AN407" s="1420" t="n"/>
      <c r="AO407" s="1420" t="n"/>
      <c r="AP407" s="1420" t="n"/>
      <c r="AQ407" s="1420" t="n"/>
      <c r="AR407" s="1529" t="n"/>
      <c r="AS407" s="1529" t="n"/>
      <c r="AT407" s="1529" t="n"/>
      <c r="AU407" s="1529" t="n"/>
      <c r="AV407" s="1422" t="n"/>
    </row>
    <row r="408" ht="14.4" customFormat="1" customHeight="1" s="1418">
      <c r="A408" s="1530" t="inlineStr">
        <is>
          <t>Share Count Analysis</t>
        </is>
      </c>
      <c r="B408" s="1531" t="n"/>
      <c r="C408" s="1531" t="n"/>
      <c r="D408" s="1531" t="n"/>
      <c r="E408" s="1531" t="n"/>
      <c r="F408" s="1531" t="n"/>
      <c r="G408" s="1531" t="n"/>
      <c r="H408" s="1531" t="n"/>
      <c r="I408" s="1531" t="n"/>
      <c r="J408" s="1531" t="n"/>
      <c r="K408" s="1531" t="n"/>
      <c r="L408" s="1531" t="n"/>
      <c r="M408" s="1531" t="n"/>
      <c r="N408" s="1531" t="n"/>
      <c r="O408" s="1531" t="n"/>
      <c r="P408" s="1531" t="n"/>
      <c r="Q408" s="1531" t="n"/>
      <c r="R408" s="1531" t="n"/>
      <c r="S408" s="1531" t="n"/>
      <c r="T408" s="1531" t="n"/>
      <c r="U408" s="1531" t="n"/>
      <c r="V408" s="1531" t="n"/>
      <c r="W408" s="1531" t="n"/>
      <c r="X408" s="1531" t="n"/>
      <c r="Y408" s="1531" t="n"/>
      <c r="Z408" s="1531" t="n"/>
      <c r="AA408" s="1531" t="n"/>
      <c r="AB408" s="1531" t="n"/>
      <c r="AC408" s="1531" t="n"/>
      <c r="AD408" s="1531" t="n"/>
      <c r="AE408" s="1531" t="n"/>
      <c r="AF408" s="1531" t="n"/>
      <c r="AG408" s="1531" t="n"/>
      <c r="AH408" s="1531" t="n"/>
      <c r="AI408" s="1531" t="n"/>
      <c r="AJ408" s="1531" t="n"/>
      <c r="AK408" s="1533" t="n"/>
      <c r="AL408" s="1531" t="n"/>
      <c r="AM408" s="1531" t="n"/>
      <c r="AN408" s="1531" t="n"/>
      <c r="AO408" s="1531" t="n"/>
      <c r="AP408" s="1531" t="n"/>
      <c r="AQ408" s="1531" t="n"/>
      <c r="AR408" s="1531" t="n"/>
      <c r="AS408" s="1531" t="n"/>
      <c r="AT408" s="1531" t="n"/>
      <c r="AU408" s="1531" t="n"/>
      <c r="AV408" s="1422" t="n"/>
    </row>
    <row r="409" hidden="1" outlineLevel="2" ht="15" customFormat="1" customHeight="1" s="1418">
      <c r="A409" s="1766" t="inlineStr">
        <is>
          <t>Class A outstanding, mm shares</t>
        </is>
      </c>
      <c r="B409" s="1698" t="n"/>
      <c r="C409" s="1529" t="n"/>
      <c r="D409" s="1529" t="n"/>
      <c r="E409" s="1529" t="n"/>
      <c r="F409" s="1529" t="n"/>
      <c r="G409" s="1529" t="n"/>
      <c r="H409" s="1529" t="n"/>
      <c r="I409" s="1529" t="n"/>
      <c r="J409" s="1529" t="n"/>
      <c r="K409" s="1529" t="n"/>
      <c r="L409" s="1529" t="n"/>
      <c r="M409" s="1529" t="n"/>
      <c r="N409" s="1529" t="n"/>
      <c r="O409" s="1420" t="n"/>
      <c r="P409" s="1420" t="n"/>
      <c r="Q409" s="1420" t="n"/>
      <c r="R409" s="1420" t="n"/>
      <c r="S409" s="1529" t="n"/>
      <c r="T409" s="1420" t="n"/>
      <c r="U409" s="1420" t="n"/>
      <c r="V409" s="1420" t="n"/>
      <c r="W409" s="1420" t="n"/>
      <c r="X409" s="1529" t="n"/>
      <c r="Y409" s="1420" t="n"/>
      <c r="Z409" s="1420" t="n"/>
      <c r="AA409" s="1420" t="n"/>
      <c r="AB409" s="1422">
        <f>AC409</f>
        <v/>
      </c>
      <c r="AC409" s="1593" t="n">
        <v>203.52</v>
      </c>
      <c r="AD409" s="1420" t="n"/>
      <c r="AE409" s="1420" t="n"/>
      <c r="AF409" s="1594" t="n">
        <v>114.689</v>
      </c>
      <c r="AG409" s="1422">
        <f>AH409</f>
        <v/>
      </c>
      <c r="AH409" s="1593" t="n">
        <v>114.689</v>
      </c>
      <c r="AI409" s="1594" t="n">
        <v>317.431</v>
      </c>
      <c r="AJ409" s="1594" t="n">
        <v>340.075</v>
      </c>
      <c r="AK409" s="1595" t="n">
        <v>384.857</v>
      </c>
      <c r="AL409" s="1420" t="n"/>
      <c r="AM409" s="1529" t="n"/>
      <c r="AN409" s="1420" t="n"/>
      <c r="AO409" s="1420" t="n"/>
      <c r="AP409" s="1420" t="n"/>
      <c r="AQ409" s="1420" t="n"/>
      <c r="AR409" s="1529" t="n"/>
      <c r="AS409" s="1529" t="n"/>
      <c r="AT409" s="1529" t="n"/>
      <c r="AU409" s="1529" t="n"/>
      <c r="AV409" s="1422" t="n"/>
    </row>
    <row r="410" hidden="1" outlineLevel="2" ht="15" customFormat="1" customHeight="1" s="1418">
      <c r="A410" s="1767" t="inlineStr">
        <is>
          <t>Class B outstanding, mm shares</t>
        </is>
      </c>
      <c r="B410" s="1702" t="n"/>
      <c r="C410" s="1582" t="n"/>
      <c r="D410" s="1582" t="n"/>
      <c r="E410" s="1582" t="n"/>
      <c r="F410" s="1582" t="n"/>
      <c r="G410" s="1582" t="n"/>
      <c r="H410" s="1582" t="n"/>
      <c r="I410" s="1582" t="n"/>
      <c r="J410" s="1582" t="n"/>
      <c r="K410" s="1582" t="n"/>
      <c r="L410" s="1582" t="n"/>
      <c r="M410" s="1582" t="n"/>
      <c r="N410" s="1582" t="n"/>
      <c r="O410" s="1583" t="n"/>
      <c r="P410" s="1583" t="n"/>
      <c r="Q410" s="1583" t="n"/>
      <c r="R410" s="1583" t="n"/>
      <c r="S410" s="1582" t="n"/>
      <c r="T410" s="1583" t="n"/>
      <c r="U410" s="1583" t="n"/>
      <c r="V410" s="1583" t="n"/>
      <c r="W410" s="1583" t="n"/>
      <c r="X410" s="1582" t="n"/>
      <c r="Y410" s="1583" t="n"/>
      <c r="Z410" s="1583" t="n"/>
      <c r="AA410" s="1583" t="n"/>
      <c r="AB410" s="1704">
        <f>AC410</f>
        <v/>
      </c>
      <c r="AC410" s="1586" t="n">
        <v>0</v>
      </c>
      <c r="AD410" s="1583" t="n"/>
      <c r="AE410" s="1583" t="n"/>
      <c r="AF410" s="1585" t="n">
        <v>118.198</v>
      </c>
      <c r="AG410" s="1704">
        <f>AH410</f>
        <v/>
      </c>
      <c r="AH410" s="1586" t="n">
        <v>118.198</v>
      </c>
      <c r="AI410" s="1585" t="n">
        <v>118.102</v>
      </c>
      <c r="AJ410" s="1585" t="n">
        <v>118.102</v>
      </c>
      <c r="AK410" s="1768" t="n">
        <v>112.733</v>
      </c>
      <c r="AL410" s="1583" t="n"/>
      <c r="AM410" s="1582" t="n"/>
      <c r="AN410" s="1583" t="n"/>
      <c r="AO410" s="1583" t="n"/>
      <c r="AP410" s="1583" t="n"/>
      <c r="AQ410" s="1583" t="n"/>
      <c r="AR410" s="1582" t="n"/>
      <c r="AS410" s="1582" t="n"/>
      <c r="AT410" s="1582" t="n"/>
      <c r="AU410" s="1582" t="n"/>
      <c r="AV410" s="1422" t="n"/>
    </row>
    <row r="411" hidden="1" outlineLevel="1" collapsed="1" ht="15" customFormat="1" customHeight="1" s="1418">
      <c r="A411" s="1633" t="inlineStr">
        <is>
          <t>EoP Common stock outstanding, mm shares</t>
        </is>
      </c>
      <c r="B411" s="1698" t="n"/>
      <c r="C411" s="1529" t="n"/>
      <c r="D411" s="1529" t="n"/>
      <c r="E411" s="1529" t="n"/>
      <c r="F411" s="1529" t="n"/>
      <c r="G411" s="1529" t="n"/>
      <c r="H411" s="1529" t="n"/>
      <c r="I411" s="1529" t="n"/>
      <c r="J411" s="1529" t="n"/>
      <c r="K411" s="1529" t="n"/>
      <c r="L411" s="1529" t="n"/>
      <c r="M411" s="1529" t="n"/>
      <c r="N411" s="1529" t="n"/>
      <c r="O411" s="1420" t="n"/>
      <c r="P411" s="1420" t="n"/>
      <c r="Q411" s="1420" t="n"/>
      <c r="R411" s="1420" t="n"/>
      <c r="S411" s="1529" t="n"/>
      <c r="T411" s="1420" t="n"/>
      <c r="U411" s="1420" t="n"/>
      <c r="V411" s="1420" t="n"/>
      <c r="W411" s="1420" t="n"/>
      <c r="X411" s="1593">
        <f>9*20</f>
        <v/>
      </c>
      <c r="Y411" s="1420" t="n"/>
      <c r="Z411" s="1420" t="n"/>
      <c r="AA411" s="1594">
        <f>9.449*20</f>
        <v/>
      </c>
      <c r="AB411" s="1422">
        <f>SUM(AB409:AB410)</f>
        <v/>
      </c>
      <c r="AC411" s="1540">
        <f>SUM(AC409:AC410)</f>
        <v/>
      </c>
      <c r="AD411" s="1420">
        <f>AD404*2-AC411</f>
        <v/>
      </c>
      <c r="AE411" s="1420">
        <f>AE404*2-AD411</f>
        <v/>
      </c>
      <c r="AF411" s="1422">
        <f>SUM(AF409:AF410)</f>
        <v/>
      </c>
      <c r="AG411" s="1422">
        <f>SUM(AG409:AG410)</f>
        <v/>
      </c>
      <c r="AH411" s="1540">
        <f>SUM(AH409:AH410)</f>
        <v/>
      </c>
      <c r="AI411" s="1420">
        <f>SUM(AI409:AI410)</f>
        <v/>
      </c>
      <c r="AJ411" s="1420">
        <f>SUM(AJ409:AJ410)</f>
        <v/>
      </c>
      <c r="AK411" s="1541">
        <f>2*AK404-AJ411</f>
        <v/>
      </c>
      <c r="AL411" s="1420">
        <f>AK411*(1+AL412)+AL444/(AL445/AL493)</f>
        <v/>
      </c>
      <c r="AM411" s="1529">
        <f>AL411</f>
        <v/>
      </c>
      <c r="AN411" s="1420">
        <f>AM411*(1+AN412)+AN444/(AN445/AN493)</f>
        <v/>
      </c>
      <c r="AO411" s="1420">
        <f>AN411*(1+AO412)+AO444/(AO445/AO493)</f>
        <v/>
      </c>
      <c r="AP411" s="1420">
        <f>AO411*(1+AP412)+AP444/(AP445/AP493)</f>
        <v/>
      </c>
      <c r="AQ411" s="1420">
        <f>AP411*(1+AQ412)+AQ444/(AQ445/AQ493)</f>
        <v/>
      </c>
      <c r="AR411" s="1529">
        <f>AQ411</f>
        <v/>
      </c>
      <c r="AS411" s="1529">
        <f>AR411*(1+AS413)+AS444/(AS445/AS493)</f>
        <v/>
      </c>
      <c r="AT411" s="1529">
        <f>AS411*(1+AT413)+AT444/(AT445/AT493)</f>
        <v/>
      </c>
      <c r="AU411" s="1529">
        <f>AT411*(1+AU413)+AU444/(AU445/AU493)</f>
        <v/>
      </c>
      <c r="AV411" s="1422" t="n"/>
    </row>
    <row r="412" hidden="1" outlineLevel="1" ht="15" customFormat="1" customHeight="1" s="1418">
      <c r="A412" s="1769" t="inlineStr">
        <is>
          <t>Q/Q basic share expansion from dilutive securities, %</t>
        </is>
      </c>
      <c r="B412" s="1717" t="n"/>
      <c r="C412" s="1550" t="n"/>
      <c r="D412" s="1550" t="n"/>
      <c r="E412" s="1550" t="n"/>
      <c r="F412" s="1550" t="n"/>
      <c r="G412" s="1550" t="n"/>
      <c r="H412" s="1550" t="n"/>
      <c r="I412" s="1550" t="n"/>
      <c r="J412" s="1550" t="n"/>
      <c r="K412" s="1550" t="n"/>
      <c r="L412" s="1550" t="n"/>
      <c r="M412" s="1550" t="n"/>
      <c r="N412" s="1550" t="n"/>
      <c r="O412" s="1551" t="n"/>
      <c r="P412" s="1551" t="n"/>
      <c r="Q412" s="1551" t="n"/>
      <c r="R412" s="1551" t="n"/>
      <c r="S412" s="1550" t="n"/>
      <c r="T412" s="1551" t="n"/>
      <c r="U412" s="1551" t="n"/>
      <c r="V412" s="1551" t="n"/>
      <c r="W412" s="1551" t="n"/>
      <c r="X412" s="1550" t="n"/>
      <c r="Y412" s="1551" t="n"/>
      <c r="Z412" s="1551" t="n"/>
      <c r="AA412" s="1551" t="n"/>
      <c r="AB412" s="1551" t="n"/>
      <c r="AC412" s="1550" t="n"/>
      <c r="AD412" s="1551" t="n"/>
      <c r="AE412" s="1551" t="n"/>
      <c r="AF412" s="1551" t="n"/>
      <c r="AG412" s="1551" t="n"/>
      <c r="AH412" s="1550" t="n"/>
      <c r="AI412" s="1551" t="n"/>
      <c r="AJ412" s="1551" t="n"/>
      <c r="AK412" s="1553" t="n"/>
      <c r="AL412" s="1770" t="n">
        <v>0</v>
      </c>
      <c r="AM412" s="1550" t="n"/>
      <c r="AN412" s="1770" t="n">
        <v>0</v>
      </c>
      <c r="AO412" s="1770" t="n">
        <v>0</v>
      </c>
      <c r="AP412" s="1770" t="n">
        <v>0</v>
      </c>
      <c r="AQ412" s="1770" t="n">
        <v>0</v>
      </c>
      <c r="AR412" s="1550" t="n"/>
      <c r="AS412" s="1550" t="n"/>
      <c r="AT412" s="1550" t="n"/>
      <c r="AU412" s="1550" t="n"/>
      <c r="AV412" s="1422" t="n"/>
    </row>
    <row r="413" hidden="1" outlineLevel="1" ht="15" customFormat="1" customHeight="1" s="1418">
      <c r="A413" s="1769" t="inlineStr">
        <is>
          <t>Y/Y basic share expansion from dilutive securities, %</t>
        </is>
      </c>
      <c r="B413" s="1717" t="n"/>
      <c r="C413" s="1550" t="n"/>
      <c r="D413" s="1550" t="n"/>
      <c r="E413" s="1550" t="n"/>
      <c r="F413" s="1550" t="n"/>
      <c r="G413" s="1550" t="n"/>
      <c r="H413" s="1550" t="n"/>
      <c r="I413" s="1550" t="n"/>
      <c r="J413" s="1550" t="n"/>
      <c r="K413" s="1550" t="n"/>
      <c r="L413" s="1550" t="n"/>
      <c r="M413" s="1550" t="n"/>
      <c r="N413" s="1550" t="n"/>
      <c r="O413" s="1551" t="n"/>
      <c r="P413" s="1551" t="n"/>
      <c r="Q413" s="1551" t="n"/>
      <c r="R413" s="1551" t="n"/>
      <c r="S413" s="1550" t="n"/>
      <c r="T413" s="1551" t="n"/>
      <c r="U413" s="1551" t="n"/>
      <c r="V413" s="1551" t="n"/>
      <c r="W413" s="1551" t="n"/>
      <c r="X413" s="1550" t="n"/>
      <c r="Y413" s="1551" t="n"/>
      <c r="Z413" s="1551" t="n"/>
      <c r="AA413" s="1551" t="n"/>
      <c r="AB413" s="1551" t="n"/>
      <c r="AC413" s="1550" t="n"/>
      <c r="AD413" s="1551" t="n"/>
      <c r="AE413" s="1551" t="n"/>
      <c r="AF413" s="1551" t="n"/>
      <c r="AG413" s="1551" t="n"/>
      <c r="AH413" s="1550" t="n"/>
      <c r="AI413" s="1551" t="n"/>
      <c r="AJ413" s="1551" t="n"/>
      <c r="AK413" s="1553" t="n"/>
      <c r="AL413" s="1551" t="n"/>
      <c r="AM413" s="1550" t="n"/>
      <c r="AN413" s="1551" t="n"/>
      <c r="AO413" s="1551" t="n"/>
      <c r="AP413" s="1551" t="n"/>
      <c r="AQ413" s="1551" t="n"/>
      <c r="AR413" s="1550" t="n"/>
      <c r="AS413" s="1771" t="n">
        <v>0</v>
      </c>
      <c r="AT413" s="1771" t="n">
        <v>0</v>
      </c>
      <c r="AU413" s="1771" t="n">
        <v>0</v>
      </c>
      <c r="AV413" s="1422" t="n"/>
    </row>
    <row r="414" hidden="1" outlineLevel="2" ht="15" customFormat="1" customHeight="1" s="1418">
      <c r="A414" s="1769" t="inlineStr">
        <is>
          <t>Q/Q basic share expansion from share issuance (buyback), %</t>
        </is>
      </c>
      <c r="B414" s="1717" t="n"/>
      <c r="C414" s="1550" t="n"/>
      <c r="D414" s="1550" t="n"/>
      <c r="E414" s="1550" t="n"/>
      <c r="F414" s="1550" t="n"/>
      <c r="G414" s="1550" t="n"/>
      <c r="H414" s="1550" t="n"/>
      <c r="I414" s="1550" t="n"/>
      <c r="J414" s="1550" t="n"/>
      <c r="K414" s="1550" t="n"/>
      <c r="L414" s="1550" t="n"/>
      <c r="M414" s="1550" t="n"/>
      <c r="N414" s="1550" t="n"/>
      <c r="O414" s="1551" t="n"/>
      <c r="P414" s="1551" t="n"/>
      <c r="Q414" s="1551" t="n"/>
      <c r="R414" s="1551" t="n"/>
      <c r="S414" s="1550" t="n"/>
      <c r="T414" s="1551" t="n"/>
      <c r="U414" s="1551" t="n"/>
      <c r="V414" s="1551" t="n"/>
      <c r="W414" s="1551" t="n"/>
      <c r="X414" s="1550" t="n"/>
      <c r="Y414" s="1551" t="n"/>
      <c r="Z414" s="1551" t="n"/>
      <c r="AA414" s="1551" t="n"/>
      <c r="AB414" s="1551" t="n"/>
      <c r="AC414" s="1550" t="n"/>
      <c r="AD414" s="1551" t="n"/>
      <c r="AE414" s="1551" t="n"/>
      <c r="AF414" s="1551" t="n"/>
      <c r="AG414" s="1551" t="n"/>
      <c r="AH414" s="1550" t="n"/>
      <c r="AI414" s="1551" t="n"/>
      <c r="AJ414" s="1551" t="n"/>
      <c r="AK414" s="1553" t="n"/>
      <c r="AL414" s="1551">
        <f>AL444/(AL445/AL493)/AK411</f>
        <v/>
      </c>
      <c r="AM414" s="1550" t="n"/>
      <c r="AN414" s="1551">
        <f>AN444/(AN445/AN493)/AL411</f>
        <v/>
      </c>
      <c r="AO414" s="1551">
        <f>AO444/(AO445/AO493)/AN411</f>
        <v/>
      </c>
      <c r="AP414" s="1551">
        <f>AP444/(AP445/AP493)/AO411</f>
        <v/>
      </c>
      <c r="AQ414" s="1551">
        <f>AQ444/(AQ445/AQ493)/AP411</f>
        <v/>
      </c>
      <c r="AR414" s="1550" t="n"/>
      <c r="AS414" s="1550" t="n"/>
      <c r="AT414" s="1550" t="n"/>
      <c r="AU414" s="1550" t="n"/>
      <c r="AV414" s="1422" t="n"/>
    </row>
    <row r="415" hidden="1" outlineLevel="2" ht="15" customFormat="1" customHeight="1" s="1418">
      <c r="A415" s="1772" t="inlineStr">
        <is>
          <t>Y/Y basic share expansion from share issuance (buyback), %</t>
        </is>
      </c>
      <c r="B415" s="1773" t="n"/>
      <c r="C415" s="1774" t="n"/>
      <c r="D415" s="1774" t="n"/>
      <c r="E415" s="1774" t="n"/>
      <c r="F415" s="1774" t="n"/>
      <c r="G415" s="1774" t="n"/>
      <c r="H415" s="1774" t="n"/>
      <c r="I415" s="1774" t="n"/>
      <c r="J415" s="1774" t="n"/>
      <c r="K415" s="1774" t="n"/>
      <c r="L415" s="1774" t="n"/>
      <c r="M415" s="1774" t="n"/>
      <c r="N415" s="1774" t="n"/>
      <c r="O415" s="1775" t="n"/>
      <c r="P415" s="1775" t="n"/>
      <c r="Q415" s="1775" t="n"/>
      <c r="R415" s="1775" t="n"/>
      <c r="S415" s="1774" t="n"/>
      <c r="T415" s="1775" t="n"/>
      <c r="U415" s="1775" t="n"/>
      <c r="V415" s="1775" t="n"/>
      <c r="W415" s="1775" t="n"/>
      <c r="X415" s="1774" t="n"/>
      <c r="Y415" s="1775" t="n"/>
      <c r="Z415" s="1775" t="n"/>
      <c r="AA415" s="1775" t="n"/>
      <c r="AB415" s="1775" t="n"/>
      <c r="AC415" s="1774" t="n"/>
      <c r="AD415" s="1775" t="n"/>
      <c r="AE415" s="1775" t="n"/>
      <c r="AF415" s="1775" t="n"/>
      <c r="AG415" s="1775" t="n"/>
      <c r="AH415" s="1774" t="n"/>
      <c r="AI415" s="1775" t="n"/>
      <c r="AJ415" s="1775" t="n"/>
      <c r="AK415" s="1776" t="n"/>
      <c r="AL415" s="1775" t="n"/>
      <c r="AM415" s="1774" t="n"/>
      <c r="AN415" s="1775" t="n"/>
      <c r="AO415" s="1775" t="n"/>
      <c r="AP415" s="1775" t="n"/>
      <c r="AQ415" s="1775" t="n"/>
      <c r="AR415" s="1774" t="n"/>
      <c r="AS415" s="1774">
        <f>AS444/(AS445/AS493)/AR411</f>
        <v/>
      </c>
      <c r="AT415" s="1774">
        <f>AT444/(AT445/AT493)/AS411</f>
        <v/>
      </c>
      <c r="AU415" s="1774">
        <f>AU444/(AU445/AU493)/AT411</f>
        <v/>
      </c>
      <c r="AV415" s="1422" t="n"/>
    </row>
    <row r="416" hidden="1" outlineLevel="1" collapsed="1" ht="15" customFormat="1" customHeight="1" s="1418">
      <c r="A416" s="1777" t="inlineStr">
        <is>
          <t>Q/Q basic share expansion - EoP, %</t>
        </is>
      </c>
      <c r="B416" s="1717" t="n"/>
      <c r="C416" s="1550" t="n"/>
      <c r="D416" s="1550" t="n"/>
      <c r="E416" s="1550" t="n"/>
      <c r="F416" s="1550" t="n"/>
      <c r="G416" s="1550" t="n"/>
      <c r="H416" s="1550" t="n"/>
      <c r="I416" s="1550" t="n"/>
      <c r="J416" s="1550" t="n"/>
      <c r="K416" s="1550" t="n"/>
      <c r="L416" s="1550" t="n"/>
      <c r="M416" s="1550" t="n"/>
      <c r="N416" s="1550" t="n"/>
      <c r="O416" s="1551" t="n"/>
      <c r="P416" s="1551" t="n"/>
      <c r="Q416" s="1551" t="n"/>
      <c r="R416" s="1551" t="n"/>
      <c r="S416" s="1550" t="n"/>
      <c r="T416" s="1551" t="n"/>
      <c r="U416" s="1551" t="n"/>
      <c r="V416" s="1551" t="n"/>
      <c r="W416" s="1551" t="n"/>
      <c r="X416" s="1550" t="n"/>
      <c r="Y416" s="1551" t="n"/>
      <c r="Z416" s="1551" t="n"/>
      <c r="AA416" s="1551" t="n"/>
      <c r="AB416" s="1463">
        <f>AB411/AA411-1</f>
        <v/>
      </c>
      <c r="AC416" s="1550" t="n"/>
      <c r="AD416" s="1551" t="n"/>
      <c r="AE416" s="1551" t="n"/>
      <c r="AF416" s="1551" t="n"/>
      <c r="AG416" s="1463">
        <f>AG411/AF411-1</f>
        <v/>
      </c>
      <c r="AH416" s="1550" t="n"/>
      <c r="AI416" s="1551">
        <f>AI411/AG411-1</f>
        <v/>
      </c>
      <c r="AJ416" s="1551">
        <f>AJ411/AI411-1</f>
        <v/>
      </c>
      <c r="AK416" s="1553">
        <f>AK411/AJ411-1</f>
        <v/>
      </c>
      <c r="AL416" s="1551">
        <f>AL411/AK411-1</f>
        <v/>
      </c>
      <c r="AM416" s="1550" t="n"/>
      <c r="AN416" s="1551">
        <f>AN411/AL411-1</f>
        <v/>
      </c>
      <c r="AO416" s="1551">
        <f>AO411/AN411-1</f>
        <v/>
      </c>
      <c r="AP416" s="1551">
        <f>AP411/AO411-1</f>
        <v/>
      </c>
      <c r="AQ416" s="1551">
        <f>AQ411/AP411-1</f>
        <v/>
      </c>
      <c r="AR416" s="1550" t="n"/>
      <c r="AS416" s="1550" t="n"/>
      <c r="AT416" s="1550" t="n"/>
      <c r="AU416" s="1550" t="n"/>
      <c r="AV416" s="1422" t="n"/>
    </row>
    <row r="417" hidden="1" outlineLevel="1" ht="15" customFormat="1" customHeight="1" s="1418">
      <c r="A417" s="1777" t="inlineStr">
        <is>
          <t>Y/Y basic share expansion - EoP, %</t>
        </is>
      </c>
      <c r="B417" s="1717" t="n"/>
      <c r="C417" s="1550" t="n"/>
      <c r="D417" s="1550" t="n"/>
      <c r="E417" s="1550" t="n"/>
      <c r="F417" s="1550" t="n"/>
      <c r="G417" s="1550" t="n"/>
      <c r="H417" s="1550" t="n"/>
      <c r="I417" s="1550" t="n"/>
      <c r="J417" s="1550" t="n"/>
      <c r="K417" s="1550" t="n"/>
      <c r="L417" s="1550" t="n"/>
      <c r="M417" s="1550" t="n"/>
      <c r="N417" s="1550" t="n"/>
      <c r="O417" s="1551" t="n"/>
      <c r="P417" s="1551" t="n"/>
      <c r="Q417" s="1551" t="n"/>
      <c r="R417" s="1551" t="n"/>
      <c r="S417" s="1550" t="n"/>
      <c r="T417" s="1551" t="n"/>
      <c r="U417" s="1551" t="n"/>
      <c r="V417" s="1551" t="n"/>
      <c r="W417" s="1551" t="n"/>
      <c r="X417" s="1550" t="n"/>
      <c r="Y417" s="1551" t="n"/>
      <c r="Z417" s="1551" t="n"/>
      <c r="AA417" s="1551" t="n"/>
      <c r="AB417" s="1551" t="n"/>
      <c r="AC417" s="1552">
        <f>AC411/X411-1</f>
        <v/>
      </c>
      <c r="AD417" s="1551" t="n"/>
      <c r="AE417" s="1551" t="n"/>
      <c r="AF417" s="1463">
        <f>AF411/AA411-1</f>
        <v/>
      </c>
      <c r="AG417" s="1463">
        <f>AG411/AB411-1</f>
        <v/>
      </c>
      <c r="AH417" s="1552">
        <f>AH411/AC411-1</f>
        <v/>
      </c>
      <c r="AI417" s="1551">
        <f>AI411/AD411-1</f>
        <v/>
      </c>
      <c r="AJ417" s="1551">
        <f>IFERROR(AJ411/AE411-1,"N/A")</f>
        <v/>
      </c>
      <c r="AK417" s="1778">
        <f>AK411/AF411-1</f>
        <v/>
      </c>
      <c r="AL417" s="1551">
        <f>AL411/AG411-1</f>
        <v/>
      </c>
      <c r="AM417" s="1550">
        <f>AM411/AH411-1</f>
        <v/>
      </c>
      <c r="AN417" s="1551">
        <f>AN411/AI411-1</f>
        <v/>
      </c>
      <c r="AO417" s="1551">
        <f>AO411/AJ411-1</f>
        <v/>
      </c>
      <c r="AP417" s="1551">
        <f>AP411/AK411-1</f>
        <v/>
      </c>
      <c r="AQ417" s="1551">
        <f>AQ411/AL411-1</f>
        <v/>
      </c>
      <c r="AR417" s="1550">
        <f>AR411/AM411-1</f>
        <v/>
      </c>
      <c r="AS417" s="1550">
        <f>AS411/AR411-1</f>
        <v/>
      </c>
      <c r="AT417" s="1550">
        <f>AT411/AS411-1</f>
        <v/>
      </c>
      <c r="AU417" s="1550">
        <f>AU411/AT411-1</f>
        <v/>
      </c>
      <c r="AV417" s="1422" t="n"/>
    </row>
    <row r="418" hidden="1" outlineLevel="1" ht="15" customFormat="1" customHeight="1" s="1418">
      <c r="A418" s="1633" t="n"/>
      <c r="B418" s="1698" t="n"/>
      <c r="C418" s="1529" t="n"/>
      <c r="D418" s="1529" t="n"/>
      <c r="E418" s="1529" t="n"/>
      <c r="F418" s="1529" t="n"/>
      <c r="G418" s="1529" t="n"/>
      <c r="H418" s="1529" t="n"/>
      <c r="I418" s="1529" t="n"/>
      <c r="J418" s="1529" t="n"/>
      <c r="K418" s="1529" t="n"/>
      <c r="L418" s="1529" t="n"/>
      <c r="M418" s="1529" t="n"/>
      <c r="N418" s="1529" t="n"/>
      <c r="O418" s="1420" t="n"/>
      <c r="P418" s="1420" t="n"/>
      <c r="Q418" s="1420" t="n"/>
      <c r="R418" s="1420" t="n"/>
      <c r="S418" s="1529" t="n"/>
      <c r="T418" s="1420" t="n"/>
      <c r="U418" s="1420" t="n"/>
      <c r="V418" s="1420" t="n"/>
      <c r="W418" s="1420" t="n"/>
      <c r="X418" s="1529" t="n"/>
      <c r="Y418" s="1420" t="n"/>
      <c r="Z418" s="1420" t="n"/>
      <c r="AA418" s="1420" t="n"/>
      <c r="AB418" s="1420" t="n"/>
      <c r="AC418" s="1529" t="n"/>
      <c r="AD418" s="1420" t="n"/>
      <c r="AE418" s="1420" t="n"/>
      <c r="AF418" s="1420" t="n"/>
      <c r="AG418" s="1420" t="n"/>
      <c r="AH418" s="1529" t="n"/>
      <c r="AI418" s="1420" t="n"/>
      <c r="AJ418" s="1420" t="n"/>
      <c r="AK418" s="1421" t="n"/>
      <c r="AL418" s="1420" t="n"/>
      <c r="AM418" s="1529" t="n"/>
      <c r="AN418" s="1420" t="n"/>
      <c r="AO418" s="1420" t="n"/>
      <c r="AP418" s="1420" t="n"/>
      <c r="AQ418" s="1420" t="n"/>
      <c r="AR418" s="1529" t="n"/>
      <c r="AS418" s="1529" t="n"/>
      <c r="AT418" s="1529" t="n"/>
      <c r="AU418" s="1529" t="n"/>
      <c r="AV418" s="1422" t="n"/>
    </row>
    <row r="419" hidden="1" outlineLevel="1" ht="15" customFormat="1" customHeight="1" s="1418">
      <c r="A419" s="1559" t="inlineStr">
        <is>
          <t>Cover page class A common stock outstanding, mm shares</t>
        </is>
      </c>
      <c r="B419" s="1698" t="n"/>
      <c r="C419" s="1529" t="n"/>
      <c r="D419" s="1529" t="n"/>
      <c r="E419" s="1529" t="n"/>
      <c r="F419" s="1529" t="n"/>
      <c r="G419" s="1529" t="n"/>
      <c r="H419" s="1529" t="n"/>
      <c r="I419" s="1529" t="n"/>
      <c r="J419" s="1529" t="n"/>
      <c r="K419" s="1529" t="n"/>
      <c r="L419" s="1529" t="n"/>
      <c r="M419" s="1529" t="n"/>
      <c r="N419" s="1529" t="n"/>
      <c r="O419" s="1420" t="n"/>
      <c r="P419" s="1420" t="n"/>
      <c r="Q419" s="1420" t="n"/>
      <c r="R419" s="1420" t="n"/>
      <c r="S419" s="1529" t="n"/>
      <c r="T419" s="1420" t="n"/>
      <c r="U419" s="1420" t="n"/>
      <c r="V419" s="1420" t="n"/>
      <c r="W419" s="1420" t="n"/>
      <c r="X419" s="1529" t="n"/>
      <c r="Y419" s="1420" t="n"/>
      <c r="Z419" s="1420" t="n"/>
      <c r="AA419" s="1420" t="n"/>
      <c r="AB419" s="1420" t="n"/>
      <c r="AC419" s="1529" t="n"/>
      <c r="AD419" s="1420" t="n"/>
      <c r="AE419" s="1420" t="n"/>
      <c r="AF419" s="1420" t="n"/>
      <c r="AG419" s="1420" t="n"/>
      <c r="AH419" s="1529" t="n"/>
      <c r="AI419" s="1594" t="n">
        <v>361.875093</v>
      </c>
      <c r="AJ419" s="1594" t="n">
        <v>370.470348</v>
      </c>
      <c r="AK419" s="1595" t="n">
        <v>386.401201</v>
      </c>
      <c r="AL419" s="1420" t="n"/>
      <c r="AM419" s="1529" t="n"/>
      <c r="AN419" s="1420" t="n"/>
      <c r="AO419" s="1420" t="n"/>
      <c r="AP419" s="1420" t="n"/>
      <c r="AQ419" s="1420" t="n"/>
      <c r="AR419" s="1529" t="n"/>
      <c r="AS419" s="1529" t="n"/>
      <c r="AT419" s="1529" t="n"/>
      <c r="AU419" s="1529" t="n"/>
      <c r="AV419" s="1422" t="n"/>
    </row>
    <row r="420" hidden="1" outlineLevel="1" ht="15" customFormat="1" customHeight="1" s="1418">
      <c r="A420" s="1664" t="inlineStr">
        <is>
          <t>Cover page class B common stock outstanding, mm shares</t>
        </is>
      </c>
      <c r="B420" s="1702" t="n"/>
      <c r="C420" s="1582" t="n"/>
      <c r="D420" s="1582" t="n"/>
      <c r="E420" s="1582" t="n"/>
      <c r="F420" s="1582" t="n"/>
      <c r="G420" s="1582" t="n"/>
      <c r="H420" s="1582" t="n"/>
      <c r="I420" s="1582" t="n"/>
      <c r="J420" s="1582" t="n"/>
      <c r="K420" s="1582" t="n"/>
      <c r="L420" s="1582" t="n"/>
      <c r="M420" s="1582" t="n"/>
      <c r="N420" s="1582" t="n"/>
      <c r="O420" s="1583" t="n"/>
      <c r="P420" s="1583" t="n"/>
      <c r="Q420" s="1583" t="n"/>
      <c r="R420" s="1583" t="n"/>
      <c r="S420" s="1582" t="n"/>
      <c r="T420" s="1583" t="n"/>
      <c r="U420" s="1583" t="n"/>
      <c r="V420" s="1583" t="n"/>
      <c r="W420" s="1583" t="n"/>
      <c r="X420" s="1582" t="n"/>
      <c r="Y420" s="1583" t="n"/>
      <c r="Z420" s="1583" t="n"/>
      <c r="AA420" s="1583" t="n"/>
      <c r="AB420" s="1583" t="n"/>
      <c r="AC420" s="1582" t="n"/>
      <c r="AD420" s="1583" t="n"/>
      <c r="AE420" s="1583" t="n"/>
      <c r="AF420" s="1583" t="n"/>
      <c r="AG420" s="1583" t="n"/>
      <c r="AH420" s="1582" t="n"/>
      <c r="AI420" s="1585" t="n">
        <v>118.10204</v>
      </c>
      <c r="AJ420" s="1585" t="n">
        <v>118.10204</v>
      </c>
      <c r="AK420" s="1768" t="n">
        <v>111.916311</v>
      </c>
      <c r="AL420" s="1583" t="n"/>
      <c r="AM420" s="1582" t="n"/>
      <c r="AN420" s="1583" t="n"/>
      <c r="AO420" s="1583" t="n"/>
      <c r="AP420" s="1583" t="n"/>
      <c r="AQ420" s="1583" t="n"/>
      <c r="AR420" s="1582" t="n"/>
      <c r="AS420" s="1582" t="n"/>
      <c r="AT420" s="1582" t="n"/>
      <c r="AU420" s="1582" t="n"/>
      <c r="AV420" s="1422" t="n"/>
    </row>
    <row r="421" hidden="1" outlineLevel="1" ht="15" customFormat="1" customHeight="1" s="1418">
      <c r="A421" s="1633" t="inlineStr">
        <is>
          <t>Cover page common stock outstanding, mm shares</t>
        </is>
      </c>
      <c r="B421" s="1698" t="n"/>
      <c r="C421" s="1529" t="n"/>
      <c r="D421" s="1529" t="n"/>
      <c r="E421" s="1529" t="n"/>
      <c r="F421" s="1529" t="n"/>
      <c r="G421" s="1529" t="n"/>
      <c r="H421" s="1529" t="n"/>
      <c r="I421" s="1529" t="n"/>
      <c r="J421" s="1529" t="n"/>
      <c r="K421" s="1529" t="n"/>
      <c r="L421" s="1529" t="n"/>
      <c r="M421" s="1529" t="n"/>
      <c r="N421" s="1529" t="n"/>
      <c r="O421" s="1420" t="n"/>
      <c r="P421" s="1420" t="n"/>
      <c r="Q421" s="1420" t="n"/>
      <c r="R421" s="1420" t="n"/>
      <c r="S421" s="1529" t="n"/>
      <c r="T421" s="1420" t="n"/>
      <c r="U421" s="1420" t="n"/>
      <c r="V421" s="1420" t="n"/>
      <c r="W421" s="1420" t="n"/>
      <c r="X421" s="1529" t="n"/>
      <c r="Y421" s="1420" t="n"/>
      <c r="Z421" s="1420" t="n"/>
      <c r="AA421" s="1420" t="n"/>
      <c r="AB421" s="1420" t="n"/>
      <c r="AC421" s="1529" t="n"/>
      <c r="AD421" s="1420" t="n"/>
      <c r="AE421" s="1420" t="n"/>
      <c r="AF421" s="1420" t="n"/>
      <c r="AG421" s="1420" t="n"/>
      <c r="AH421" s="1529" t="n"/>
      <c r="AI421" s="1420">
        <f>AI419+AI420</f>
        <v/>
      </c>
      <c r="AJ421" s="1420">
        <f>AJ419+AJ420</f>
        <v/>
      </c>
      <c r="AK421" s="1421">
        <f>AK419+AK420</f>
        <v/>
      </c>
      <c r="AL421" s="1420" t="n"/>
      <c r="AM421" s="1529" t="n"/>
      <c r="AN421" s="1420" t="n"/>
      <c r="AO421" s="1420" t="n"/>
      <c r="AP421" s="1420" t="n"/>
      <c r="AQ421" s="1420" t="n"/>
      <c r="AR421" s="1529" t="n"/>
      <c r="AS421" s="1529" t="n"/>
      <c r="AT421" s="1529" t="n"/>
      <c r="AU421" s="1529" t="n"/>
      <c r="AV421" s="1422" t="n"/>
    </row>
    <row r="422" hidden="1" outlineLevel="1" ht="15" customFormat="1" customHeight="1" s="1779">
      <c r="A422" s="1780" t="inlineStr">
        <is>
          <t>Date of cover page share count, date</t>
        </is>
      </c>
      <c r="B422" s="1781" t="n"/>
      <c r="C422" s="1782" t="n"/>
      <c r="D422" s="1782" t="n"/>
      <c r="E422" s="1782" t="n"/>
      <c r="F422" s="1782" t="n"/>
      <c r="G422" s="1782" t="n"/>
      <c r="H422" s="1782" t="n"/>
      <c r="I422" s="1782" t="n"/>
      <c r="J422" s="1782" t="n"/>
      <c r="K422" s="1782" t="n"/>
      <c r="L422" s="1782" t="n"/>
      <c r="M422" s="1782" t="n"/>
      <c r="N422" s="1782" t="n"/>
      <c r="O422" s="1783" t="n"/>
      <c r="P422" s="1783" t="n"/>
      <c r="Q422" s="1783" t="n"/>
      <c r="R422" s="1783" t="n"/>
      <c r="S422" s="1782" t="n"/>
      <c r="T422" s="1783" t="n"/>
      <c r="U422" s="1783" t="n"/>
      <c r="V422" s="1783" t="n"/>
      <c r="W422" s="1783" t="n"/>
      <c r="X422" s="1782" t="n"/>
      <c r="Y422" s="1783" t="n"/>
      <c r="Z422" s="1783" t="n"/>
      <c r="AA422" s="1783" t="n"/>
      <c r="AB422" s="1783" t="n"/>
      <c r="AC422" s="1782" t="n"/>
      <c r="AD422" s="1783" t="n"/>
      <c r="AE422" s="1783" t="n"/>
      <c r="AF422" s="1783" t="n"/>
      <c r="AG422" s="1783" t="n"/>
      <c r="AH422" s="1782" t="n"/>
      <c r="AI422" s="1784" t="n">
        <v>45784</v>
      </c>
      <c r="AJ422" s="1784" t="n">
        <v>45874</v>
      </c>
      <c r="AK422" s="1785" t="n">
        <v>45964</v>
      </c>
      <c r="AL422" s="1783" t="n"/>
      <c r="AM422" s="1782" t="n"/>
      <c r="AN422" s="1783" t="n"/>
      <c r="AO422" s="1783" t="n"/>
      <c r="AP422" s="1783" t="n"/>
      <c r="AQ422" s="1783" t="n"/>
      <c r="AR422" s="1782" t="n"/>
      <c r="AS422" s="1782" t="n"/>
      <c r="AT422" s="1782" t="n"/>
      <c r="AU422" s="1782" t="n"/>
      <c r="AV422" s="1786" t="n"/>
    </row>
    <row r="423" hidden="1" outlineLevel="1" ht="15" customFormat="1" customHeight="1" s="1787">
      <c r="A423" s="1788" t="n"/>
      <c r="B423" s="1789" t="n"/>
      <c r="C423" s="1790" t="n"/>
      <c r="D423" s="1790" t="n"/>
      <c r="E423" s="1790" t="n"/>
      <c r="F423" s="1790" t="n"/>
      <c r="G423" s="1790" t="n"/>
      <c r="H423" s="1790" t="n"/>
      <c r="I423" s="1790" t="n"/>
      <c r="J423" s="1790" t="n"/>
      <c r="K423" s="1790" t="n"/>
      <c r="L423" s="1790" t="n"/>
      <c r="M423" s="1790" t="n"/>
      <c r="N423" s="1790" t="n"/>
      <c r="O423" s="1791" t="n"/>
      <c r="P423" s="1791" t="n"/>
      <c r="Q423" s="1791" t="n"/>
      <c r="R423" s="1791" t="n"/>
      <c r="S423" s="1790" t="n"/>
      <c r="T423" s="1791" t="n"/>
      <c r="U423" s="1791" t="n"/>
      <c r="V423" s="1791" t="n"/>
      <c r="W423" s="1791" t="n"/>
      <c r="X423" s="1790" t="n"/>
      <c r="Y423" s="1791" t="n"/>
      <c r="Z423" s="1791" t="n"/>
      <c r="AA423" s="1791" t="n"/>
      <c r="AB423" s="1791" t="n"/>
      <c r="AC423" s="1790" t="n"/>
      <c r="AD423" s="1791" t="n"/>
      <c r="AE423" s="1791" t="n"/>
      <c r="AF423" s="1791" t="n"/>
      <c r="AG423" s="1791" t="n"/>
      <c r="AH423" s="1790" t="n"/>
      <c r="AI423" s="1791" t="n"/>
      <c r="AJ423" s="1791" t="n"/>
      <c r="AK423" s="1792" t="n"/>
      <c r="AL423" s="1791" t="n"/>
      <c r="AM423" s="1790" t="n"/>
      <c r="AN423" s="1791" t="n"/>
      <c r="AO423" s="1791" t="n"/>
      <c r="AP423" s="1791" t="n"/>
      <c r="AQ423" s="1791" t="n"/>
      <c r="AR423" s="1790" t="n"/>
      <c r="AS423" s="1790" t="n"/>
      <c r="AT423" s="1790" t="n"/>
      <c r="AU423" s="1790" t="n"/>
      <c r="AV423" s="1793" t="n"/>
    </row>
    <row r="424" hidden="1" outlineLevel="1" ht="15" customFormat="1" customHeight="1" s="1418">
      <c r="A424" s="1633" t="inlineStr">
        <is>
          <t>Dilutive shares, mm shares</t>
        </is>
      </c>
      <c r="B424" s="1698" t="n"/>
      <c r="C424" s="1529" t="n"/>
      <c r="D424" s="1529" t="n"/>
      <c r="E424" s="1529" t="n"/>
      <c r="F424" s="1529" t="n"/>
      <c r="G424" s="1529" t="n"/>
      <c r="H424" s="1529" t="n"/>
      <c r="I424" s="1529" t="n"/>
      <c r="J424" s="1529" t="n"/>
      <c r="K424" s="1529" t="n"/>
      <c r="L424" s="1529" t="n"/>
      <c r="M424" s="1529" t="n"/>
      <c r="N424" s="1529" t="n"/>
      <c r="O424" s="1420" t="n"/>
      <c r="P424" s="1420" t="n"/>
      <c r="Q424" s="1420" t="n"/>
      <c r="R424" s="1420" t="n"/>
      <c r="S424" s="1529" t="n"/>
      <c r="T424" s="1420" t="n"/>
      <c r="U424" s="1420" t="n"/>
      <c r="V424" s="1420" t="n"/>
      <c r="W424" s="1420" t="n"/>
      <c r="X424" s="1593" t="n">
        <v>4</v>
      </c>
      <c r="Y424" s="1420" t="n"/>
      <c r="Z424" s="1420" t="n"/>
      <c r="AA424" s="1594" t="n">
        <v>4</v>
      </c>
      <c r="AB424" s="1422">
        <f>AC424</f>
        <v/>
      </c>
      <c r="AC424" s="1593" t="n">
        <v>4</v>
      </c>
      <c r="AD424" s="1420">
        <f>IF(AD392&gt;0,AD405-AD404,AC424)</f>
        <v/>
      </c>
      <c r="AE424" s="1420">
        <f>IF(AE392&gt;0,AE405-AE404,AD424)</f>
        <v/>
      </c>
      <c r="AF424" s="1422">
        <f>IF(AF392&gt;0,AF405-AF404,AE424)</f>
        <v/>
      </c>
      <c r="AG424" s="1422">
        <f>IF(AG392&gt;0,AG405-AG404,AF424)</f>
        <v/>
      </c>
      <c r="AH424" s="1540">
        <f>AG424</f>
        <v/>
      </c>
      <c r="AI424" s="1420">
        <f>IF(AI392&gt;0,AI405-AI404,AH424)</f>
        <v/>
      </c>
      <c r="AJ424" s="1420">
        <f>IF(AJ392&gt;0,AJ405-AJ404,AI424)</f>
        <v/>
      </c>
      <c r="AK424" s="1541">
        <f>IF(AK392&gt;0,AK405-AK404,AJ424)</f>
        <v/>
      </c>
      <c r="AL424" s="1420">
        <f>AL411*AL425-AL411</f>
        <v/>
      </c>
      <c r="AM424" s="1529">
        <f>AL424</f>
        <v/>
      </c>
      <c r="AN424" s="1420">
        <f>AN411*AN425-AN411</f>
        <v/>
      </c>
      <c r="AO424" s="1420">
        <f>AO411*AO425-AO411</f>
        <v/>
      </c>
      <c r="AP424" s="1420">
        <f>AP411*AP425-AP411</f>
        <v/>
      </c>
      <c r="AQ424" s="1420">
        <f>AQ411*AQ425-AQ411</f>
        <v/>
      </c>
      <c r="AR424" s="1529">
        <f>AQ424</f>
        <v/>
      </c>
      <c r="AS424" s="1529">
        <f>AS411*AS425-AS411</f>
        <v/>
      </c>
      <c r="AT424" s="1529">
        <f>AT411*AT425-AT411</f>
        <v/>
      </c>
      <c r="AU424" s="1529">
        <f>AU411*AU425-AU411</f>
        <v/>
      </c>
      <c r="AV424" s="1422" t="n"/>
    </row>
    <row r="425" hidden="1" outlineLevel="1" ht="15" customFormat="1" customHeight="1" s="1794">
      <c r="A425" s="1795" t="inlineStr">
        <is>
          <t>Diluted share count to basic share count ratio, x</t>
        </is>
      </c>
      <c r="B425" s="1796" t="n"/>
      <c r="C425" s="1797" t="n"/>
      <c r="D425" s="1797" t="n"/>
      <c r="E425" s="1797" t="n"/>
      <c r="F425" s="1797" t="n"/>
      <c r="G425" s="1797" t="n"/>
      <c r="H425" s="1797" t="n"/>
      <c r="I425" s="1797" t="n"/>
      <c r="J425" s="1797" t="n"/>
      <c r="K425" s="1797" t="n"/>
      <c r="L425" s="1797" t="n"/>
      <c r="M425" s="1797" t="n"/>
      <c r="N425" s="1797" t="n"/>
      <c r="O425" s="1798" t="n"/>
      <c r="P425" s="1798" t="n"/>
      <c r="Q425" s="1798" t="n"/>
      <c r="R425" s="1798" t="n"/>
      <c r="S425" s="1797" t="n"/>
      <c r="T425" s="1798" t="n"/>
      <c r="U425" s="1798" t="n"/>
      <c r="V425" s="1798" t="n"/>
      <c r="W425" s="1798" t="n"/>
      <c r="X425" s="1799">
        <f>(X424+X411)/X411</f>
        <v/>
      </c>
      <c r="Y425" s="1798" t="n"/>
      <c r="Z425" s="1798" t="n"/>
      <c r="AA425" s="1800">
        <f>(AA424+AA411)/AA411</f>
        <v/>
      </c>
      <c r="AB425" s="1800">
        <f>(AB424+AB411)/AB411</f>
        <v/>
      </c>
      <c r="AC425" s="1799">
        <f>(AC424+AC411)/AC411</f>
        <v/>
      </c>
      <c r="AD425" s="1798">
        <f>(AD424+AD411)/AD411</f>
        <v/>
      </c>
      <c r="AE425" s="1798">
        <f>(AE424+AE411)/AE411</f>
        <v/>
      </c>
      <c r="AF425" s="1800">
        <f>(AF424+AF411)/AF411</f>
        <v/>
      </c>
      <c r="AG425" s="1800">
        <f>(AG424+AG411)/AG411</f>
        <v/>
      </c>
      <c r="AH425" s="1799">
        <f>(AH424+AH411)/AH411</f>
        <v/>
      </c>
      <c r="AI425" s="1798">
        <f>(AI424+AI411)/AI411</f>
        <v/>
      </c>
      <c r="AJ425" s="1798">
        <f>(AJ424+AJ411)/AJ411</f>
        <v/>
      </c>
      <c r="AK425" s="1801">
        <f>(AK424+AK411)/AK411</f>
        <v/>
      </c>
      <c r="AL425" s="1802" t="n">
        <v>1.00743979808388</v>
      </c>
      <c r="AM425" s="1797">
        <f>(AM424+AM411)/AM411</f>
        <v/>
      </c>
      <c r="AN425" s="1802" t="n">
        <v>1.00743979808388</v>
      </c>
      <c r="AO425" s="1802" t="n">
        <v>1.00743979808388</v>
      </c>
      <c r="AP425" s="1802" t="n">
        <v>1.00743979808388</v>
      </c>
      <c r="AQ425" s="1802" t="n">
        <v>1.00743979808388</v>
      </c>
      <c r="AR425" s="1797">
        <f>(AR424+AR411)/AR411</f>
        <v/>
      </c>
      <c r="AS425" s="1803" t="n">
        <v>1.00743979808388</v>
      </c>
      <c r="AT425" s="1803" t="n">
        <v>1.00743979808388</v>
      </c>
      <c r="AU425" s="1803" t="n">
        <v>1.00743979808388</v>
      </c>
      <c r="AV425" s="1804" t="n"/>
    </row>
    <row r="426" hidden="1" outlineLevel="1" ht="15" customFormat="1" customHeight="1" s="1418">
      <c r="A426" s="1633" t="n"/>
      <c r="B426" s="1698" t="n"/>
      <c r="C426" s="1529" t="n"/>
      <c r="D426" s="1529" t="n"/>
      <c r="E426" s="1529" t="n"/>
      <c r="F426" s="1529" t="n"/>
      <c r="G426" s="1529" t="n"/>
      <c r="H426" s="1529" t="n"/>
      <c r="I426" s="1529" t="n"/>
      <c r="J426" s="1529" t="n"/>
      <c r="K426" s="1529" t="n"/>
      <c r="L426" s="1529" t="n"/>
      <c r="M426" s="1529" t="n"/>
      <c r="N426" s="1529" t="n"/>
      <c r="O426" s="1420" t="n"/>
      <c r="P426" s="1420" t="n"/>
      <c r="Q426" s="1420" t="n"/>
      <c r="R426" s="1420" t="n"/>
      <c r="S426" s="1529" t="n"/>
      <c r="T426" s="1420" t="n"/>
      <c r="U426" s="1420" t="n"/>
      <c r="V426" s="1420" t="n"/>
      <c r="W426" s="1420" t="n"/>
      <c r="X426" s="1529" t="n"/>
      <c r="Y426" s="1420" t="n"/>
      <c r="Z426" s="1420" t="n"/>
      <c r="AA426" s="1420" t="n"/>
      <c r="AB426" s="1420" t="n"/>
      <c r="AC426" s="1529" t="n"/>
      <c r="AD426" s="1420" t="n"/>
      <c r="AE426" s="1420" t="n"/>
      <c r="AF426" s="1420" t="n"/>
      <c r="AG426" s="1420" t="n"/>
      <c r="AH426" s="1529" t="n"/>
      <c r="AI426" s="1420" t="n"/>
      <c r="AJ426" s="1420" t="n"/>
      <c r="AK426" s="1421" t="n"/>
      <c r="AL426" s="1420" t="n"/>
      <c r="AM426" s="1529" t="n"/>
      <c r="AN426" s="1420" t="n"/>
      <c r="AO426" s="1420" t="n"/>
      <c r="AP426" s="1420" t="n"/>
      <c r="AQ426" s="1420" t="n"/>
      <c r="AR426" s="1529" t="n"/>
      <c r="AS426" s="1529" t="n"/>
      <c r="AT426" s="1529" t="n"/>
      <c r="AU426" s="1529" t="n"/>
      <c r="AV426" s="1422" t="n"/>
    </row>
    <row r="427" hidden="1" outlineLevel="1" ht="15" customFormat="1" customHeight="1" s="1418">
      <c r="A427" s="1633" t="inlineStr">
        <is>
          <t>EoP Total diluted common stock outstanding, mm shares</t>
        </is>
      </c>
      <c r="B427" s="1698" t="n"/>
      <c r="C427" s="1529" t="n"/>
      <c r="D427" s="1529" t="n"/>
      <c r="E427" s="1529" t="n"/>
      <c r="F427" s="1529" t="n"/>
      <c r="G427" s="1529" t="n"/>
      <c r="H427" s="1529" t="n"/>
      <c r="I427" s="1529" t="n"/>
      <c r="J427" s="1529" t="n"/>
      <c r="K427" s="1529" t="n"/>
      <c r="L427" s="1529" t="n"/>
      <c r="M427" s="1529" t="n"/>
      <c r="N427" s="1529" t="n"/>
      <c r="O427" s="1420" t="n"/>
      <c r="P427" s="1420" t="n"/>
      <c r="Q427" s="1420" t="n"/>
      <c r="R427" s="1420" t="n"/>
      <c r="S427" s="1529" t="n"/>
      <c r="T427" s="1420" t="n"/>
      <c r="U427" s="1420" t="n"/>
      <c r="V427" s="1420" t="n"/>
      <c r="W427" s="1420" t="n"/>
      <c r="X427" s="1540">
        <f>X411+X424</f>
        <v/>
      </c>
      <c r="Y427" s="1420" t="n"/>
      <c r="Z427" s="1420" t="n"/>
      <c r="AA427" s="1422">
        <f>AA411+AA424</f>
        <v/>
      </c>
      <c r="AB427" s="1422">
        <f>AB411+AB424</f>
        <v/>
      </c>
      <c r="AC427" s="1540">
        <f>AC411+AC424</f>
        <v/>
      </c>
      <c r="AD427" s="1420">
        <f>AD411+AD424</f>
        <v/>
      </c>
      <c r="AE427" s="1420">
        <f>AE411+AE424</f>
        <v/>
      </c>
      <c r="AF427" s="1422">
        <f>AF411+AF424</f>
        <v/>
      </c>
      <c r="AG427" s="1422">
        <f>AG411+AG424</f>
        <v/>
      </c>
      <c r="AH427" s="1540">
        <f>AH411+AH424</f>
        <v/>
      </c>
      <c r="AI427" s="1420">
        <f>AI411+AI424</f>
        <v/>
      </c>
      <c r="AJ427" s="1420">
        <f>AJ411+AJ424</f>
        <v/>
      </c>
      <c r="AK427" s="1541">
        <f>AK411+AK424</f>
        <v/>
      </c>
      <c r="AL427" s="1420">
        <f>AL411+AL424</f>
        <v/>
      </c>
      <c r="AM427" s="1529">
        <f>AM411+AM424</f>
        <v/>
      </c>
      <c r="AN427" s="1420">
        <f>AN411+AN424</f>
        <v/>
      </c>
      <c r="AO427" s="1420">
        <f>AO411+AO424</f>
        <v/>
      </c>
      <c r="AP427" s="1420">
        <f>AP411+AP424</f>
        <v/>
      </c>
      <c r="AQ427" s="1420">
        <f>AQ411+AQ424</f>
        <v/>
      </c>
      <c r="AR427" s="1529">
        <f>AR411+AR424</f>
        <v/>
      </c>
      <c r="AS427" s="1529">
        <f>AS411+AS424</f>
        <v/>
      </c>
      <c r="AT427" s="1529">
        <f>AT411+AT424</f>
        <v/>
      </c>
      <c r="AU427" s="1529">
        <f>AU411+AU424</f>
        <v/>
      </c>
      <c r="AV427" s="1422" t="n"/>
    </row>
    <row r="428" collapsed="1" ht="15" customFormat="1" customHeight="1" s="1418">
      <c r="A428" s="1698" t="n"/>
      <c r="B428" s="1698" t="n"/>
      <c r="C428" s="1529" t="n"/>
      <c r="D428" s="1529" t="n"/>
      <c r="E428" s="1529" t="n"/>
      <c r="F428" s="1529" t="n"/>
      <c r="G428" s="1529" t="n"/>
      <c r="H428" s="1529" t="n"/>
      <c r="I428" s="1529" t="n"/>
      <c r="J428" s="1529" t="n"/>
      <c r="K428" s="1529" t="n"/>
      <c r="L428" s="1529" t="n"/>
      <c r="M428" s="1529" t="n"/>
      <c r="N428" s="1529" t="n"/>
      <c r="O428" s="1420" t="n"/>
      <c r="P428" s="1420" t="n"/>
      <c r="Q428" s="1420" t="n"/>
      <c r="R428" s="1420" t="n"/>
      <c r="S428" s="1529" t="n"/>
      <c r="T428" s="1420" t="n"/>
      <c r="U428" s="1420" t="n"/>
      <c r="V428" s="1420" t="n"/>
      <c r="W428" s="1420" t="n"/>
      <c r="X428" s="1529" t="n"/>
      <c r="Y428" s="1420" t="n"/>
      <c r="Z428" s="1420" t="n"/>
      <c r="AA428" s="1420" t="n"/>
      <c r="AB428" s="1420" t="n"/>
      <c r="AC428" s="1529" t="n"/>
      <c r="AD428" s="1420" t="n"/>
      <c r="AE428" s="1420" t="n"/>
      <c r="AF428" s="1420" t="n"/>
      <c r="AG428" s="1420" t="n"/>
      <c r="AH428" s="1529" t="n"/>
      <c r="AI428" s="1420" t="n"/>
      <c r="AJ428" s="1420" t="n"/>
      <c r="AK428" s="1421" t="n"/>
      <c r="AL428" s="1420" t="n"/>
      <c r="AM428" s="1529" t="n"/>
      <c r="AN428" s="1420" t="n"/>
      <c r="AO428" s="1420" t="n"/>
      <c r="AP428" s="1420" t="n"/>
      <c r="AQ428" s="1420" t="n"/>
      <c r="AR428" s="1529" t="n"/>
      <c r="AS428" s="1529" t="n"/>
      <c r="AT428" s="1529" t="n"/>
      <c r="AU428" s="1529" t="n"/>
      <c r="AV428" s="1422" t="n"/>
    </row>
    <row r="429" ht="14.4" customFormat="1" customHeight="1" s="1418">
      <c r="A429" s="1530" t="inlineStr">
        <is>
          <t>Cash Flow Summary</t>
        </is>
      </c>
      <c r="B429" s="1531" t="n"/>
      <c r="C429" s="1531" t="n"/>
      <c r="D429" s="1531" t="n"/>
      <c r="E429" s="1531" t="n"/>
      <c r="F429" s="1531" t="n"/>
      <c r="G429" s="1531" t="n"/>
      <c r="H429" s="1531" t="n"/>
      <c r="I429" s="1531" t="n"/>
      <c r="J429" s="1531" t="n"/>
      <c r="K429" s="1531" t="n"/>
      <c r="L429" s="1531" t="n"/>
      <c r="M429" s="1531" t="n"/>
      <c r="N429" s="1531" t="n"/>
      <c r="O429" s="1531" t="n"/>
      <c r="P429" s="1531" t="n"/>
      <c r="Q429" s="1531" t="n"/>
      <c r="R429" s="1531" t="n"/>
      <c r="S429" s="1531" t="n"/>
      <c r="T429" s="1531" t="n"/>
      <c r="U429" s="1531" t="n"/>
      <c r="V429" s="1531" t="n"/>
      <c r="W429" s="1531" t="n"/>
      <c r="X429" s="1531" t="n"/>
      <c r="Y429" s="1531" t="n"/>
      <c r="Z429" s="1531" t="n"/>
      <c r="AA429" s="1532" t="inlineStr">
        <is>
          <t>9 months</t>
        </is>
      </c>
      <c r="AB429" s="1531" t="n"/>
      <c r="AC429" s="1531" t="n"/>
      <c r="AD429" s="1531" t="n"/>
      <c r="AE429" s="1531" t="n"/>
      <c r="AF429" s="1532" t="n"/>
      <c r="AG429" s="1531" t="n"/>
      <c r="AH429" s="1531" t="n"/>
      <c r="AI429" s="1531" t="n"/>
      <c r="AJ429" s="1531" t="n"/>
      <c r="AK429" s="1659" t="n"/>
      <c r="AL429" s="1531" t="n"/>
      <c r="AM429" s="1531" t="n"/>
      <c r="AN429" s="1531" t="n"/>
      <c r="AO429" s="1531" t="n"/>
      <c r="AP429" s="1531" t="n"/>
      <c r="AQ429" s="1531" t="n"/>
      <c r="AR429" s="1531" t="n"/>
      <c r="AS429" s="1531" t="n"/>
      <c r="AT429" s="1531" t="n"/>
      <c r="AU429" s="1531" t="n"/>
      <c r="AV429" s="1422" t="n"/>
    </row>
    <row r="430" hidden="1" outlineLevel="1" ht="14.4" customFormat="1" customHeight="1" s="1418">
      <c r="A430" s="1422" t="inlineStr">
        <is>
          <t>Operating Cash Flow before WC</t>
        </is>
      </c>
      <c r="B430" s="1698" t="n"/>
      <c r="C430" s="1529" t="n"/>
      <c r="D430" s="1529" t="n"/>
      <c r="E430" s="1529" t="n"/>
      <c r="F430" s="1529" t="n"/>
      <c r="G430" s="1529" t="n"/>
      <c r="H430" s="1529" t="n"/>
      <c r="I430" s="1529" t="n"/>
      <c r="J430" s="1529" t="n"/>
      <c r="K430" s="1529" t="n"/>
      <c r="L430" s="1529" t="n"/>
      <c r="M430" s="1529" t="n"/>
      <c r="N430" s="1529" t="n"/>
      <c r="O430" s="1420" t="n"/>
      <c r="P430" s="1420" t="n"/>
      <c r="Q430" s="1420" t="n"/>
      <c r="R430" s="1420" t="n"/>
      <c r="S430" s="1529" t="n"/>
      <c r="T430" s="1420" t="n"/>
      <c r="U430" s="1420" t="n"/>
      <c r="V430" s="1420" t="n"/>
      <c r="W430" s="1420" t="n"/>
      <c r="X430" s="1540">
        <f>X580</f>
        <v/>
      </c>
      <c r="Y430" s="1420" t="n"/>
      <c r="Z430" s="1420" t="n"/>
      <c r="AA430" s="1422">
        <f>AA580</f>
        <v/>
      </c>
      <c r="AB430" s="1422">
        <f>AB580</f>
        <v/>
      </c>
      <c r="AC430" s="1540">
        <f>AC580</f>
        <v/>
      </c>
      <c r="AD430" s="1420">
        <f>AD580</f>
        <v/>
      </c>
      <c r="AE430" s="1420">
        <f>AE580</f>
        <v/>
      </c>
      <c r="AF430" s="1422">
        <f>AF580</f>
        <v/>
      </c>
      <c r="AG430" s="1422">
        <f>AG580</f>
        <v/>
      </c>
      <c r="AH430" s="1540">
        <f>AH580</f>
        <v/>
      </c>
      <c r="AI430" s="1420">
        <f>AI580</f>
        <v/>
      </c>
      <c r="AJ430" s="1420">
        <f>AJ580</f>
        <v/>
      </c>
      <c r="AK430" s="1541">
        <f>AK580</f>
        <v/>
      </c>
      <c r="AL430" s="1420">
        <f>AL580</f>
        <v/>
      </c>
      <c r="AM430" s="1529">
        <f>AM580</f>
        <v/>
      </c>
      <c r="AN430" s="1420">
        <f>AN580</f>
        <v/>
      </c>
      <c r="AO430" s="1420">
        <f>AO580</f>
        <v/>
      </c>
      <c r="AP430" s="1420">
        <f>AP580</f>
        <v/>
      </c>
      <c r="AQ430" s="1420">
        <f>AQ580</f>
        <v/>
      </c>
      <c r="AR430" s="1529">
        <f>AR580</f>
        <v/>
      </c>
      <c r="AS430" s="1529">
        <f>AS580</f>
        <v/>
      </c>
      <c r="AT430" s="1529">
        <f>AT580</f>
        <v/>
      </c>
      <c r="AU430" s="1529">
        <f>AU580</f>
        <v/>
      </c>
      <c r="AV430" s="1422" t="n"/>
    </row>
    <row r="431" hidden="1" outlineLevel="1" ht="14.4" customFormat="1" customHeight="1" s="1418">
      <c r="A431" s="1580" t="inlineStr">
        <is>
          <t>Change in Working Capital</t>
        </is>
      </c>
      <c r="B431" s="1702" t="n"/>
      <c r="C431" s="1582" t="n"/>
      <c r="D431" s="1582" t="n"/>
      <c r="E431" s="1582" t="n"/>
      <c r="F431" s="1582" t="n"/>
      <c r="G431" s="1582" t="n"/>
      <c r="H431" s="1582" t="n"/>
      <c r="I431" s="1582" t="n"/>
      <c r="J431" s="1582" t="n"/>
      <c r="K431" s="1582" t="n"/>
      <c r="L431" s="1582" t="n"/>
      <c r="M431" s="1582" t="n"/>
      <c r="N431" s="1582" t="n"/>
      <c r="O431" s="1583" t="n"/>
      <c r="P431" s="1583" t="n"/>
      <c r="Q431" s="1583" t="n"/>
      <c r="R431" s="1583" t="n"/>
      <c r="S431" s="1582" t="n"/>
      <c r="T431" s="1583" t="n"/>
      <c r="U431" s="1583" t="n"/>
      <c r="V431" s="1583" t="n"/>
      <c r="W431" s="1583" t="n"/>
      <c r="X431" s="1582">
        <f>X432-X430</f>
        <v/>
      </c>
      <c r="Y431" s="1583" t="n"/>
      <c r="Z431" s="1583" t="n"/>
      <c r="AA431" s="1583">
        <f>AA432-AA430</f>
        <v/>
      </c>
      <c r="AB431" s="1583">
        <f>AB432-AB430</f>
        <v/>
      </c>
      <c r="AC431" s="1582">
        <f>AC432-AC430</f>
        <v/>
      </c>
      <c r="AD431" s="1583">
        <f>AD432-AD430</f>
        <v/>
      </c>
      <c r="AE431" s="1583">
        <f>AE432-AE430</f>
        <v/>
      </c>
      <c r="AF431" s="1583">
        <f>AF432-AF430</f>
        <v/>
      </c>
      <c r="AG431" s="1583">
        <f>AG432-AG430</f>
        <v/>
      </c>
      <c r="AH431" s="1582">
        <f>AH432-AH430</f>
        <v/>
      </c>
      <c r="AI431" s="1583">
        <f>AI432-AI430</f>
        <v/>
      </c>
      <c r="AJ431" s="1583">
        <f>AJ432-AJ430</f>
        <v/>
      </c>
      <c r="AK431" s="1584">
        <f>AK432-AK430</f>
        <v/>
      </c>
      <c r="AL431" s="1583">
        <f>AL432-AL430</f>
        <v/>
      </c>
      <c r="AM431" s="1582">
        <f>AM432-AM430</f>
        <v/>
      </c>
      <c r="AN431" s="1583">
        <f>AN432-AN430</f>
        <v/>
      </c>
      <c r="AO431" s="1583">
        <f>AO432-AO430</f>
        <v/>
      </c>
      <c r="AP431" s="1583">
        <f>AP432-AP430</f>
        <v/>
      </c>
      <c r="AQ431" s="1583">
        <f>AQ432-AQ430</f>
        <v/>
      </c>
      <c r="AR431" s="1582">
        <f>AR432-AR430</f>
        <v/>
      </c>
      <c r="AS431" s="1582">
        <f>AS432-AS430</f>
        <v/>
      </c>
      <c r="AT431" s="1582">
        <f>AT432-AT430</f>
        <v/>
      </c>
      <c r="AU431" s="1582">
        <f>AU432-AU430</f>
        <v/>
      </c>
      <c r="AV431" s="1422" t="n"/>
    </row>
    <row r="432" collapsed="1" ht="14.4" customFormat="1" customHeight="1" s="1418">
      <c r="A432" s="1513" t="inlineStr">
        <is>
          <t>Operating Cash Flow after WC</t>
        </is>
      </c>
      <c r="B432" s="1695" t="n"/>
      <c r="C432" s="1535" t="n"/>
      <c r="D432" s="1535" t="n"/>
      <c r="E432" s="1535" t="n"/>
      <c r="F432" s="1535" t="n"/>
      <c r="G432" s="1535" t="n"/>
      <c r="H432" s="1535" t="n"/>
      <c r="I432" s="1535" t="n"/>
      <c r="J432" s="1535" t="n"/>
      <c r="K432" s="1535" t="n"/>
      <c r="L432" s="1535" t="n"/>
      <c r="M432" s="1535" t="n"/>
      <c r="N432" s="1535" t="n"/>
      <c r="O432" s="1536" t="n"/>
      <c r="P432" s="1536" t="n"/>
      <c r="Q432" s="1536" t="n"/>
      <c r="R432" s="1536" t="n"/>
      <c r="S432" s="1535" t="n"/>
      <c r="T432" s="1536" t="n"/>
      <c r="U432" s="1536" t="n"/>
      <c r="V432" s="1536" t="n"/>
      <c r="W432" s="1536" t="n"/>
      <c r="X432" s="1535">
        <f>X588</f>
        <v/>
      </c>
      <c r="Y432" s="1536" t="n"/>
      <c r="Z432" s="1536" t="n"/>
      <c r="AA432" s="1536">
        <f>AA588</f>
        <v/>
      </c>
      <c r="AB432" s="1536">
        <f>AB588</f>
        <v/>
      </c>
      <c r="AC432" s="1535">
        <f>AC588</f>
        <v/>
      </c>
      <c r="AD432" s="1536">
        <f>AD588</f>
        <v/>
      </c>
      <c r="AE432" s="1536">
        <f>AE588</f>
        <v/>
      </c>
      <c r="AF432" s="1536">
        <f>AF588</f>
        <v/>
      </c>
      <c r="AG432" s="1536">
        <f>AG588</f>
        <v/>
      </c>
      <c r="AH432" s="1535">
        <f>AH588</f>
        <v/>
      </c>
      <c r="AI432" s="1536">
        <f>AI588</f>
        <v/>
      </c>
      <c r="AJ432" s="1536">
        <f>AJ588</f>
        <v/>
      </c>
      <c r="AK432" s="1674">
        <f>AK588</f>
        <v/>
      </c>
      <c r="AL432" s="1536">
        <f>AL588</f>
        <v/>
      </c>
      <c r="AM432" s="1535">
        <f>AM588</f>
        <v/>
      </c>
      <c r="AN432" s="1536">
        <f>AN588</f>
        <v/>
      </c>
      <c r="AO432" s="1536">
        <f>AO588</f>
        <v/>
      </c>
      <c r="AP432" s="1536">
        <f>AP588</f>
        <v/>
      </c>
      <c r="AQ432" s="1536">
        <f>AQ588</f>
        <v/>
      </c>
      <c r="AR432" s="1535">
        <f>AR588</f>
        <v/>
      </c>
      <c r="AS432" s="1535">
        <f>AS588</f>
        <v/>
      </c>
      <c r="AT432" s="1535">
        <f>AT588</f>
        <v/>
      </c>
      <c r="AU432" s="1535">
        <f>AU588</f>
        <v/>
      </c>
      <c r="AV432" s="1422" t="n"/>
    </row>
    <row r="433" hidden="1" outlineLevel="1" ht="14.4" customFormat="1" customHeight="1" s="1749">
      <c r="A433" s="1805" t="inlineStr">
        <is>
          <t>Cash Flow Per Diluted Share before WC</t>
        </is>
      </c>
      <c r="B433" s="1751" t="n"/>
      <c r="C433" s="1806" t="n"/>
      <c r="D433" s="1806" t="n"/>
      <c r="E433" s="1807" t="n"/>
      <c r="F433" s="1807" t="n"/>
      <c r="G433" s="1807" t="n"/>
      <c r="H433" s="1807" t="n"/>
      <c r="I433" s="1807" t="n"/>
      <c r="J433" s="1807" t="n"/>
      <c r="K433" s="1807" t="n"/>
      <c r="L433" s="1807" t="n"/>
      <c r="M433" s="1807" t="n"/>
      <c r="N433" s="1807" t="n"/>
      <c r="O433" s="1808" t="n"/>
      <c r="P433" s="1808" t="n"/>
      <c r="Q433" s="1808" t="n"/>
      <c r="R433" s="1808" t="n"/>
      <c r="S433" s="1807" t="n"/>
      <c r="T433" s="1808" t="n"/>
      <c r="U433" s="1808" t="n"/>
      <c r="V433" s="1808" t="n"/>
      <c r="W433" s="1808" t="n"/>
      <c r="X433" s="1807">
        <f>X430/X405</f>
        <v/>
      </c>
      <c r="Y433" s="1808" t="n"/>
      <c r="Z433" s="1808" t="n"/>
      <c r="AA433" s="1808">
        <f>AA430/AA405</f>
        <v/>
      </c>
      <c r="AB433" s="1808">
        <f>AB430/AB405</f>
        <v/>
      </c>
      <c r="AC433" s="1807">
        <f>AC430/AC405</f>
        <v/>
      </c>
      <c r="AD433" s="1808">
        <f>AD430/AD405</f>
        <v/>
      </c>
      <c r="AE433" s="1808">
        <f>AE430/AE405</f>
        <v/>
      </c>
      <c r="AF433" s="1808">
        <f>AF430/AF405</f>
        <v/>
      </c>
      <c r="AG433" s="1808">
        <f>AG430/AG405</f>
        <v/>
      </c>
      <c r="AH433" s="1807">
        <f>AH430/AH405</f>
        <v/>
      </c>
      <c r="AI433" s="1808">
        <f>AI430/AI405</f>
        <v/>
      </c>
      <c r="AJ433" s="1808">
        <f>AJ430/AJ405</f>
        <v/>
      </c>
      <c r="AK433" s="1809">
        <f>AK430/AK405</f>
        <v/>
      </c>
      <c r="AL433" s="1808">
        <f>AL430/AL405</f>
        <v/>
      </c>
      <c r="AM433" s="1807">
        <f>AM430/AM405</f>
        <v/>
      </c>
      <c r="AN433" s="1808">
        <f>AN430/AN405</f>
        <v/>
      </c>
      <c r="AO433" s="1808">
        <f>AO430/AO405</f>
        <v/>
      </c>
      <c r="AP433" s="1808">
        <f>AP430/AP405</f>
        <v/>
      </c>
      <c r="AQ433" s="1808">
        <f>AQ430/AQ405</f>
        <v/>
      </c>
      <c r="AR433" s="1807">
        <f>AR430/AR405</f>
        <v/>
      </c>
      <c r="AS433" s="1807">
        <f>AS430/AS405</f>
        <v/>
      </c>
      <c r="AT433" s="1807">
        <f>AT430/AT405</f>
        <v/>
      </c>
      <c r="AU433" s="1807">
        <f>AU430/AU405</f>
        <v/>
      </c>
      <c r="AV433" s="1755" t="n"/>
    </row>
    <row r="434" collapsed="1" ht="14.4" customFormat="1" customHeight="1" s="1749">
      <c r="A434" s="1805" t="inlineStr">
        <is>
          <t>Cash Flow Per Diluted Share</t>
        </is>
      </c>
      <c r="B434" s="1751" t="n"/>
      <c r="C434" s="1806" t="n"/>
      <c r="D434" s="1806" t="n"/>
      <c r="E434" s="1807" t="n"/>
      <c r="F434" s="1807" t="n"/>
      <c r="G434" s="1807" t="n"/>
      <c r="H434" s="1807" t="n"/>
      <c r="I434" s="1807" t="n"/>
      <c r="J434" s="1807" t="n"/>
      <c r="K434" s="1807" t="n"/>
      <c r="L434" s="1807" t="n"/>
      <c r="M434" s="1807" t="n"/>
      <c r="N434" s="1807" t="n"/>
      <c r="O434" s="1808" t="n"/>
      <c r="P434" s="1808" t="n"/>
      <c r="Q434" s="1808" t="n"/>
      <c r="R434" s="1808" t="n"/>
      <c r="S434" s="1807" t="n"/>
      <c r="T434" s="1808" t="n"/>
      <c r="U434" s="1808" t="n"/>
      <c r="V434" s="1808" t="n"/>
      <c r="W434" s="1808" t="n"/>
      <c r="X434" s="1807">
        <f>X432/X405</f>
        <v/>
      </c>
      <c r="Y434" s="1808" t="n"/>
      <c r="Z434" s="1808" t="n"/>
      <c r="AA434" s="1808">
        <f>AA432/AA405</f>
        <v/>
      </c>
      <c r="AB434" s="1808">
        <f>AB432/AB405</f>
        <v/>
      </c>
      <c r="AC434" s="1807">
        <f>AC432/AC405</f>
        <v/>
      </c>
      <c r="AD434" s="1808">
        <f>AD432/AD405</f>
        <v/>
      </c>
      <c r="AE434" s="1808">
        <f>AE432/AE405</f>
        <v/>
      </c>
      <c r="AF434" s="1808">
        <f>AF432/AF405</f>
        <v/>
      </c>
      <c r="AG434" s="1808">
        <f>AG432/AG405</f>
        <v/>
      </c>
      <c r="AH434" s="1807">
        <f>AH432/AH405</f>
        <v/>
      </c>
      <c r="AI434" s="1808">
        <f>AI432/AI405</f>
        <v/>
      </c>
      <c r="AJ434" s="1808">
        <f>AJ432/AJ405</f>
        <v/>
      </c>
      <c r="AK434" s="1809">
        <f>AK432/AK405</f>
        <v/>
      </c>
      <c r="AL434" s="1808">
        <f>AL432/AL405</f>
        <v/>
      </c>
      <c r="AM434" s="1807">
        <f>AM432/AM405</f>
        <v/>
      </c>
      <c r="AN434" s="1808">
        <f>AN432/AN405</f>
        <v/>
      </c>
      <c r="AO434" s="1808">
        <f>AO432/AO405</f>
        <v/>
      </c>
      <c r="AP434" s="1808">
        <f>AP432/AP405</f>
        <v/>
      </c>
      <c r="AQ434" s="1808">
        <f>AQ432/AQ405</f>
        <v/>
      </c>
      <c r="AR434" s="1807">
        <f>AR432/AR405</f>
        <v/>
      </c>
      <c r="AS434" s="1807">
        <f>AS432/AS405</f>
        <v/>
      </c>
      <c r="AT434" s="1807">
        <f>AT432/AT405</f>
        <v/>
      </c>
      <c r="AU434" s="1807">
        <f>AU432/AU405</f>
        <v/>
      </c>
      <c r="AV434" s="1755" t="n"/>
    </row>
    <row r="435" ht="14.4" customFormat="1" customHeight="1" s="1757">
      <c r="A435" s="1758" t="inlineStr">
        <is>
          <t>Consensus Estimates - Cash Flow Per Diluted Share</t>
        </is>
      </c>
      <c r="B435" s="1759" t="n"/>
      <c r="C435" s="1760" t="n"/>
      <c r="D435" s="1760" t="n"/>
      <c r="E435" s="1760" t="n"/>
      <c r="F435" s="1760" t="n"/>
      <c r="G435" s="1760" t="n"/>
      <c r="H435" s="1760" t="n"/>
      <c r="I435" s="1760" t="n"/>
      <c r="J435" s="1760" t="n"/>
      <c r="K435" s="1760" t="n"/>
      <c r="L435" s="1760" t="n"/>
      <c r="M435" s="1760" t="n"/>
      <c r="N435" s="1760" t="n"/>
      <c r="O435" s="1761" t="n"/>
      <c r="P435" s="1810" t="n"/>
      <c r="Q435" s="1761" t="n"/>
      <c r="R435" s="1761" t="n"/>
      <c r="S435" s="1760" t="n"/>
      <c r="T435" s="1761" t="n"/>
      <c r="U435" s="1810" t="n"/>
      <c r="V435" s="1761" t="n"/>
      <c r="W435" s="1761" t="n"/>
      <c r="X435" s="1760" t="n"/>
      <c r="Y435" s="1761" t="n"/>
      <c r="Z435" s="1810" t="n"/>
      <c r="AA435" s="1761" t="n"/>
      <c r="AB435" s="1761" t="n"/>
      <c r="AC435" s="1760" t="n"/>
      <c r="AD435" s="1761" t="n"/>
      <c r="AE435" s="1810" t="n"/>
      <c r="AF435" s="1761" t="n"/>
      <c r="AG435" s="1761" t="n"/>
      <c r="AH435" s="1760" t="n"/>
      <c r="AI435" s="1761" t="n"/>
      <c r="AJ435" s="1810" t="n"/>
      <c r="AK435" s="1763" t="n"/>
      <c r="AL435" s="1764">
        <f>IFERROR(VLOOKUP($A435,tb_ConsensusEstimate,MATCH(AL$5,OFFSET(tb_ConsensusEstimate,0,0,1,COLUMNS(tb_ConsensusEstimate)),0),FALSE),"-")</f>
        <v/>
      </c>
      <c r="AM435" s="1765">
        <f>IFERROR(VLOOKUP($A435,tb_ConsensusEstimate,MATCH(AM$5,OFFSET(tb_ConsensusEstimate,0,0,1,COLUMNS(tb_ConsensusEstimate)),0),FALSE),"-")</f>
        <v/>
      </c>
      <c r="AN435" s="1764">
        <f>IFERROR(VLOOKUP($A435,tb_ConsensusEstimate,MATCH(AN$5,OFFSET(tb_ConsensusEstimate,0,0,1,COLUMNS(tb_ConsensusEstimate)),0),FALSE),"-")</f>
        <v/>
      </c>
      <c r="AO435" s="1764">
        <f>IFERROR(VLOOKUP($A435,tb_ConsensusEstimate,MATCH(AO$5,OFFSET(tb_ConsensusEstimate,0,0,1,COLUMNS(tb_ConsensusEstimate)),0),FALSE),"-")</f>
        <v/>
      </c>
      <c r="AP435" s="1764">
        <f>IFERROR(VLOOKUP($A435,tb_ConsensusEstimate,MATCH(AP$5,OFFSET(tb_ConsensusEstimate,0,0,1,COLUMNS(tb_ConsensusEstimate)),0),FALSE),"-")</f>
        <v/>
      </c>
      <c r="AQ435" s="1764">
        <f>IFERROR(VLOOKUP($A435,tb_ConsensusEstimate,MATCH(AQ$5,OFFSET(tb_ConsensusEstimate,0,0,1,COLUMNS(tb_ConsensusEstimate)),0),FALSE),"-")</f>
        <v/>
      </c>
      <c r="AR435" s="1765">
        <f>IFERROR(VLOOKUP($A435,tb_ConsensusEstimate,MATCH(AR$5,OFFSET(tb_ConsensusEstimate,0,0,1,COLUMNS(tb_ConsensusEstimate)),0),FALSE),"-")</f>
        <v/>
      </c>
      <c r="AS435" s="1765">
        <f>IFERROR(VLOOKUP($A435,tb_ConsensusEstimate,MATCH(AS$5,OFFSET(tb_ConsensusEstimate,0,0,1,COLUMNS(tb_ConsensusEstimate)),0),FALSE),"-")</f>
        <v/>
      </c>
      <c r="AT435" s="1765">
        <f>IFERROR(VLOOKUP($A435,tb_ConsensusEstimate,MATCH(AT$5,OFFSET(tb_ConsensusEstimate,0,0,1,COLUMNS(tb_ConsensusEstimate)),0),FALSE),"-")</f>
        <v/>
      </c>
      <c r="AU435" s="1765">
        <f>IFERROR(VLOOKUP($A435,tb_ConsensusEstimate,MATCH(AU$5,OFFSET(tb_ConsensusEstimate,0,0,1,COLUMNS(tb_ConsensusEstimate)),0),FALSE),"-")</f>
        <v/>
      </c>
      <c r="AV435" s="1761" t="n"/>
    </row>
    <row r="436" ht="14.4" customFormat="1" customHeight="1" s="1438">
      <c r="A436" s="1811" t="inlineStr">
        <is>
          <t>Capex</t>
        </is>
      </c>
      <c r="B436" s="1695" t="n"/>
      <c r="C436" s="1535" t="n"/>
      <c r="D436" s="1535" t="n"/>
      <c r="E436" s="1535" t="n"/>
      <c r="F436" s="1535" t="n"/>
      <c r="G436" s="1535" t="n"/>
      <c r="H436" s="1535" t="n"/>
      <c r="I436" s="1535" t="n"/>
      <c r="J436" s="1535" t="n"/>
      <c r="K436" s="1535" t="n"/>
      <c r="L436" s="1535" t="n"/>
      <c r="M436" s="1535" t="n"/>
      <c r="N436" s="1535" t="n"/>
      <c r="O436" s="1536" t="n"/>
      <c r="P436" s="1536" t="n"/>
      <c r="Q436" s="1536" t="n"/>
      <c r="R436" s="1536" t="n"/>
      <c r="S436" s="1535" t="n"/>
      <c r="T436" s="1536" t="n"/>
      <c r="U436" s="1536" t="n"/>
      <c r="V436" s="1536" t="n"/>
      <c r="W436" s="1536" t="n"/>
      <c r="X436" s="1535">
        <f>X591</f>
        <v/>
      </c>
      <c r="Y436" s="1536" t="n"/>
      <c r="Z436" s="1536" t="n"/>
      <c r="AA436" s="1536">
        <f>AA591</f>
        <v/>
      </c>
      <c r="AB436" s="1536">
        <f>AB591</f>
        <v/>
      </c>
      <c r="AC436" s="1535">
        <f>AC591</f>
        <v/>
      </c>
      <c r="AD436" s="1536">
        <f>AD591</f>
        <v/>
      </c>
      <c r="AE436" s="1536">
        <f>AE591</f>
        <v/>
      </c>
      <c r="AF436" s="1536">
        <f>AF591</f>
        <v/>
      </c>
      <c r="AG436" s="1536">
        <f>AG591</f>
        <v/>
      </c>
      <c r="AH436" s="1535">
        <f>AH591</f>
        <v/>
      </c>
      <c r="AI436" s="1536">
        <f>AI591</f>
        <v/>
      </c>
      <c r="AJ436" s="1536">
        <f>AJ591</f>
        <v/>
      </c>
      <c r="AK436" s="1674">
        <f>AK591</f>
        <v/>
      </c>
      <c r="AL436" s="1697" t="n">
        <v>-6800</v>
      </c>
      <c r="AM436" s="1535">
        <f>AM591</f>
        <v/>
      </c>
      <c r="AN436" s="1697" t="n">
        <v>-6800</v>
      </c>
      <c r="AO436" s="1697" t="n">
        <v>-6800</v>
      </c>
      <c r="AP436" s="1697" t="n">
        <v>-6800</v>
      </c>
      <c r="AQ436" s="1697" t="n">
        <v>-6800</v>
      </c>
      <c r="AR436" s="1535">
        <f>AR591</f>
        <v/>
      </c>
      <c r="AS436" s="1696" t="n">
        <v>-20000</v>
      </c>
      <c r="AT436" s="1696" t="n">
        <v>-20000</v>
      </c>
      <c r="AU436" s="1696" t="n">
        <v>-20000</v>
      </c>
      <c r="AV436" s="1446" t="n"/>
    </row>
    <row r="437" ht="14.4" customFormat="1" customHeight="1" s="1715">
      <c r="A437" s="1716">
        <f>CONCATENATE("Consensus Estimates - ",IFERROR(LEFT(A436,FIND("(",A436)-1),A436))</f>
        <v/>
      </c>
      <c r="B437" s="1717" t="n"/>
      <c r="C437" s="1590" t="n"/>
      <c r="D437" s="1590" t="n"/>
      <c r="E437" s="1590" t="n"/>
      <c r="F437" s="1590" t="n"/>
      <c r="G437" s="1590" t="n"/>
      <c r="H437" s="1590" t="n"/>
      <c r="I437" s="1590" t="n"/>
      <c r="J437" s="1590" t="n"/>
      <c r="K437" s="1590" t="n"/>
      <c r="L437" s="1590" t="n"/>
      <c r="M437" s="1590" t="n"/>
      <c r="N437" s="1590" t="n"/>
      <c r="O437" s="1591" t="n"/>
      <c r="P437" s="1718" t="n"/>
      <c r="Q437" s="1591" t="n"/>
      <c r="R437" s="1591" t="n"/>
      <c r="S437" s="1590" t="n"/>
      <c r="T437" s="1591" t="n"/>
      <c r="U437" s="1718" t="n"/>
      <c r="V437" s="1591" t="n"/>
      <c r="W437" s="1591" t="n"/>
      <c r="X437" s="1590" t="n"/>
      <c r="Y437" s="1591" t="n"/>
      <c r="Z437" s="1718" t="n"/>
      <c r="AA437" s="1591" t="n"/>
      <c r="AB437" s="1591" t="n"/>
      <c r="AC437" s="1590" t="n"/>
      <c r="AD437" s="1591" t="n"/>
      <c r="AE437" s="1718" t="n"/>
      <c r="AF437" s="1591" t="n"/>
      <c r="AG437" s="1591" t="n"/>
      <c r="AH437" s="1590" t="n"/>
      <c r="AI437" s="1591" t="n"/>
      <c r="AJ437" s="1718" t="n"/>
      <c r="AK437" s="1592" t="n"/>
      <c r="AL437" s="1451">
        <f>IFERROR(VLOOKUP($A437,tb_ConsensusEstimate,MATCH(AL$5,OFFSET(tb_ConsensusEstimate,0,0,1,COLUMNS(tb_ConsensusEstimate)),0),FALSE),"-")</f>
        <v/>
      </c>
      <c r="AM437" s="1450">
        <f>IFERROR(VLOOKUP($A437,tb_ConsensusEstimate,MATCH(AM$5,OFFSET(tb_ConsensusEstimate,0,0,1,COLUMNS(tb_ConsensusEstimate)),0),FALSE),"-")</f>
        <v/>
      </c>
      <c r="AN437" s="1451">
        <f>IFERROR(VLOOKUP($A437,tb_ConsensusEstimate,MATCH(AN$5,OFFSET(tb_ConsensusEstimate,0,0,1,COLUMNS(tb_ConsensusEstimate)),0),FALSE),"-")</f>
        <v/>
      </c>
      <c r="AO437" s="1451">
        <f>IFERROR(VLOOKUP($A437,tb_ConsensusEstimate,MATCH(AO$5,OFFSET(tb_ConsensusEstimate,0,0,1,COLUMNS(tb_ConsensusEstimate)),0),FALSE),"-")</f>
        <v/>
      </c>
      <c r="AP437" s="1451">
        <f>IFERROR(VLOOKUP($A437,tb_ConsensusEstimate,MATCH(AP$5,OFFSET(tb_ConsensusEstimate,0,0,1,COLUMNS(tb_ConsensusEstimate)),0),FALSE),"-")</f>
        <v/>
      </c>
      <c r="AQ437" s="1451">
        <f>IFERROR(VLOOKUP($A437,tb_ConsensusEstimate,MATCH(AQ$5,OFFSET(tb_ConsensusEstimate,0,0,1,COLUMNS(tb_ConsensusEstimate)),0),FALSE),"-")</f>
        <v/>
      </c>
      <c r="AR437" s="1450">
        <f>IFERROR(VLOOKUP($A437,tb_ConsensusEstimate,MATCH(AR$5,OFFSET(tb_ConsensusEstimate,0,0,1,COLUMNS(tb_ConsensusEstimate)),0),FALSE),"-")</f>
        <v/>
      </c>
      <c r="AS437" s="1450">
        <f>IFERROR(VLOOKUP($A437,tb_ConsensusEstimate,MATCH(AS$5,OFFSET(tb_ConsensusEstimate,0,0,1,COLUMNS(tb_ConsensusEstimate)),0),FALSE),"-")</f>
        <v/>
      </c>
      <c r="AT437" s="1450">
        <f>IFERROR(VLOOKUP($A437,tb_ConsensusEstimate,MATCH(AT$5,OFFSET(tb_ConsensusEstimate,0,0,1,COLUMNS(tb_ConsensusEstimate)),0),FALSE),"-")</f>
        <v/>
      </c>
      <c r="AU437" s="1450">
        <f>IFERROR(VLOOKUP($A437,tb_ConsensusEstimate,MATCH(AU$5,OFFSET(tb_ConsensusEstimate,0,0,1,COLUMNS(tb_ConsensusEstimate)),0),FALSE),"-")</f>
        <v/>
      </c>
      <c r="AV437" s="1591" t="n"/>
    </row>
    <row r="438" ht="14.4" customFormat="1" customHeight="1" s="1418">
      <c r="A438" s="1422" t="inlineStr">
        <is>
          <t>Acquisitions</t>
        </is>
      </c>
      <c r="B438" s="1698" t="n"/>
      <c r="C438" s="1529" t="n"/>
      <c r="D438" s="1529" t="n"/>
      <c r="E438" s="1529" t="n"/>
      <c r="F438" s="1529" t="n"/>
      <c r="G438" s="1529" t="n"/>
      <c r="H438" s="1529" t="n"/>
      <c r="I438" s="1529" t="n"/>
      <c r="J438" s="1529" t="n"/>
      <c r="K438" s="1529" t="n"/>
      <c r="L438" s="1529" t="n"/>
      <c r="M438" s="1529" t="n"/>
      <c r="N438" s="1529" t="n"/>
      <c r="O438" s="1420" t="n"/>
      <c r="P438" s="1420" t="n"/>
      <c r="Q438" s="1420" t="n"/>
      <c r="R438" s="1420" t="n"/>
      <c r="S438" s="1529" t="n"/>
      <c r="T438" s="1420" t="n"/>
      <c r="U438" s="1420" t="n"/>
      <c r="V438" s="1420" t="n"/>
      <c r="W438" s="1420" t="n"/>
      <c r="X438" s="1529">
        <f>X599</f>
        <v/>
      </c>
      <c r="Y438" s="1420" t="n"/>
      <c r="Z438" s="1420" t="n"/>
      <c r="AA438" s="1420">
        <f>AA599</f>
        <v/>
      </c>
      <c r="AB438" s="1420">
        <f>AB599</f>
        <v/>
      </c>
      <c r="AC438" s="1529">
        <f>AC599</f>
        <v/>
      </c>
      <c r="AD438" s="1420">
        <f>AD599</f>
        <v/>
      </c>
      <c r="AE438" s="1420">
        <f>AE599</f>
        <v/>
      </c>
      <c r="AF438" s="1420">
        <f>AF599</f>
        <v/>
      </c>
      <c r="AG438" s="1420">
        <f>AG599</f>
        <v/>
      </c>
      <c r="AH438" s="1529">
        <f>AH599</f>
        <v/>
      </c>
      <c r="AI438" s="1420">
        <f>AI599</f>
        <v/>
      </c>
      <c r="AJ438" s="1420">
        <f>AJ599</f>
        <v/>
      </c>
      <c r="AK438" s="1421">
        <f>AK599</f>
        <v/>
      </c>
      <c r="AL438" s="1594" t="n">
        <v>0</v>
      </c>
      <c r="AM438" s="1529">
        <f>AM599</f>
        <v/>
      </c>
      <c r="AN438" s="1594" t="n">
        <v>0</v>
      </c>
      <c r="AO438" s="1594" t="n">
        <v>0</v>
      </c>
      <c r="AP438" s="1594" t="n">
        <v>0</v>
      </c>
      <c r="AQ438" s="1594" t="n">
        <v>0</v>
      </c>
      <c r="AR438" s="1529">
        <f>AR599</f>
        <v/>
      </c>
      <c r="AS438" s="1593" t="n">
        <v>0</v>
      </c>
      <c r="AT438" s="1593" t="n">
        <v>0</v>
      </c>
      <c r="AU438" s="1593" t="n">
        <v>0</v>
      </c>
      <c r="AV438" s="1422" t="n"/>
    </row>
    <row r="439" ht="14.4" customFormat="1" customHeight="1" s="1418">
      <c r="A439" s="1422" t="inlineStr">
        <is>
          <t>Divestiture</t>
        </is>
      </c>
      <c r="B439" s="1698" t="n"/>
      <c r="C439" s="1529" t="n"/>
      <c r="D439" s="1529" t="n"/>
      <c r="E439" s="1529" t="n"/>
      <c r="F439" s="1529" t="n"/>
      <c r="G439" s="1529" t="n"/>
      <c r="H439" s="1529" t="n"/>
      <c r="I439" s="1529" t="n"/>
      <c r="J439" s="1529" t="n"/>
      <c r="K439" s="1529" t="n"/>
      <c r="L439" s="1529" t="n"/>
      <c r="M439" s="1529" t="n"/>
      <c r="N439" s="1529" t="n"/>
      <c r="O439" s="1420" t="n"/>
      <c r="P439" s="1420" t="n"/>
      <c r="Q439" s="1420" t="n"/>
      <c r="R439" s="1420" t="n"/>
      <c r="S439" s="1529" t="n"/>
      <c r="T439" s="1420" t="n"/>
      <c r="U439" s="1420" t="n"/>
      <c r="V439" s="1420" t="n"/>
      <c r="W439" s="1420" t="n"/>
      <c r="X439" s="1529">
        <f>X600</f>
        <v/>
      </c>
      <c r="Y439" s="1420" t="n"/>
      <c r="Z439" s="1420" t="n"/>
      <c r="AA439" s="1420">
        <f>AA600</f>
        <v/>
      </c>
      <c r="AB439" s="1420">
        <f>AB600</f>
        <v/>
      </c>
      <c r="AC439" s="1529">
        <f>AC600</f>
        <v/>
      </c>
      <c r="AD439" s="1420">
        <f>AD600</f>
        <v/>
      </c>
      <c r="AE439" s="1420">
        <f>AE600</f>
        <v/>
      </c>
      <c r="AF439" s="1420">
        <f>AF600</f>
        <v/>
      </c>
      <c r="AG439" s="1420">
        <f>AG600</f>
        <v/>
      </c>
      <c r="AH439" s="1529">
        <f>AH600</f>
        <v/>
      </c>
      <c r="AI439" s="1420">
        <f>AI600</f>
        <v/>
      </c>
      <c r="AJ439" s="1420">
        <f>AJ600</f>
        <v/>
      </c>
      <c r="AK439" s="1421">
        <f>AK600</f>
        <v/>
      </c>
      <c r="AL439" s="1594" t="n">
        <v>0</v>
      </c>
      <c r="AM439" s="1529">
        <f>AM600</f>
        <v/>
      </c>
      <c r="AN439" s="1594" t="n">
        <v>0</v>
      </c>
      <c r="AO439" s="1594" t="n">
        <v>0</v>
      </c>
      <c r="AP439" s="1594" t="n">
        <v>0</v>
      </c>
      <c r="AQ439" s="1594" t="n">
        <v>0</v>
      </c>
      <c r="AR439" s="1529">
        <f>AR600</f>
        <v/>
      </c>
      <c r="AS439" s="1593" t="n">
        <v>0</v>
      </c>
      <c r="AT439" s="1593" t="n">
        <v>0</v>
      </c>
      <c r="AU439" s="1593" t="n">
        <v>0</v>
      </c>
      <c r="AV439" s="1422" t="n"/>
    </row>
    <row r="440" ht="14.4" customFormat="1" customHeight="1" s="1418">
      <c r="A440" s="1422" t="inlineStr">
        <is>
          <t>Dividend Paid</t>
        </is>
      </c>
      <c r="B440" s="1698" t="n"/>
      <c r="C440" s="1529" t="n"/>
      <c r="D440" s="1529" t="n"/>
      <c r="E440" s="1529" t="n"/>
      <c r="F440" s="1529" t="n"/>
      <c r="G440" s="1529" t="n"/>
      <c r="H440" s="1529" t="n"/>
      <c r="I440" s="1529" t="n"/>
      <c r="J440" s="1529" t="n"/>
      <c r="K440" s="1529" t="n"/>
      <c r="L440" s="1529" t="n"/>
      <c r="M440" s="1529" t="n"/>
      <c r="N440" s="1529" t="n"/>
      <c r="O440" s="1420" t="n"/>
      <c r="P440" s="1420" t="n"/>
      <c r="Q440" s="1420" t="n"/>
      <c r="R440" s="1420" t="n"/>
      <c r="S440" s="1529" t="n"/>
      <c r="T440" s="1420" t="n"/>
      <c r="U440" s="1420" t="n"/>
      <c r="V440" s="1420" t="n"/>
      <c r="W440" s="1420" t="n"/>
      <c r="X440" s="1540">
        <f>X615</f>
        <v/>
      </c>
      <c r="Y440" s="1420" t="n"/>
      <c r="Z440" s="1420" t="n"/>
      <c r="AA440" s="1422">
        <f>AA615</f>
        <v/>
      </c>
      <c r="AB440" s="1422">
        <f>AB615</f>
        <v/>
      </c>
      <c r="AC440" s="1540">
        <f>AC615</f>
        <v/>
      </c>
      <c r="AD440" s="1420">
        <f>AD615</f>
        <v/>
      </c>
      <c r="AE440" s="1420">
        <f>AE615</f>
        <v/>
      </c>
      <c r="AF440" s="1422">
        <f>AF615</f>
        <v/>
      </c>
      <c r="AG440" s="1422">
        <f>AG615</f>
        <v/>
      </c>
      <c r="AH440" s="1540">
        <f>AH615</f>
        <v/>
      </c>
      <c r="AI440" s="1420">
        <f>AI615</f>
        <v/>
      </c>
      <c r="AJ440" s="1420">
        <f>AJ615</f>
        <v/>
      </c>
      <c r="AK440" s="1541">
        <f>AK615</f>
        <v/>
      </c>
      <c r="AL440" s="1420">
        <f>AL441*-AL404</f>
        <v/>
      </c>
      <c r="AM440" s="1529">
        <f>AM615</f>
        <v/>
      </c>
      <c r="AN440" s="1420">
        <f>AN441*-AN404</f>
        <v/>
      </c>
      <c r="AO440" s="1420">
        <f>AO441*-AO404</f>
        <v/>
      </c>
      <c r="AP440" s="1420">
        <f>AP441*-AP404</f>
        <v/>
      </c>
      <c r="AQ440" s="1420">
        <f>AQ441*-AQ404</f>
        <v/>
      </c>
      <c r="AR440" s="1529">
        <f>AR615</f>
        <v/>
      </c>
      <c r="AS440" s="1529">
        <f>AS441*-AS404</f>
        <v/>
      </c>
      <c r="AT440" s="1529">
        <f>AT441*-AT404</f>
        <v/>
      </c>
      <c r="AU440" s="1529">
        <f>AU441*-AU404</f>
        <v/>
      </c>
      <c r="AV440" s="1422" t="n"/>
    </row>
    <row r="441" ht="14.4" customFormat="1" customHeight="1" s="1812">
      <c r="A441" s="1813" t="inlineStr">
        <is>
          <t>Dividend Per Share</t>
        </is>
      </c>
      <c r="B441" s="1814" t="n"/>
      <c r="C441" s="1815" t="n"/>
      <c r="D441" s="1815" t="n"/>
      <c r="E441" s="1815" t="n"/>
      <c r="F441" s="1815" t="n"/>
      <c r="G441" s="1815" t="n"/>
      <c r="H441" s="1815" t="n"/>
      <c r="I441" s="1815" t="n"/>
      <c r="J441" s="1815" t="n"/>
      <c r="K441" s="1815" t="n"/>
      <c r="L441" s="1815" t="n"/>
      <c r="M441" s="1815" t="n"/>
      <c r="N441" s="1815" t="n"/>
      <c r="O441" s="1816" t="n"/>
      <c r="P441" s="1816" t="n"/>
      <c r="Q441" s="1816" t="n"/>
      <c r="R441" s="1816" t="n"/>
      <c r="S441" s="1815" t="n"/>
      <c r="T441" s="1816" t="n"/>
      <c r="U441" s="1816" t="n"/>
      <c r="V441" s="1816" t="n"/>
      <c r="W441" s="1816" t="n"/>
      <c r="X441" s="1817">
        <f>SUM(T441,U441,V441,W441)</f>
        <v/>
      </c>
      <c r="Y441" s="1816" t="n"/>
      <c r="Z441" s="1816" t="n"/>
      <c r="AA441" s="1818" t="n">
        <v>0</v>
      </c>
      <c r="AB441" s="1818" t="n">
        <v>0</v>
      </c>
      <c r="AC441" s="1817">
        <f>SUM(Y441,Z441,AA441,AB441)</f>
        <v/>
      </c>
      <c r="AD441" s="1818" t="n">
        <v>0</v>
      </c>
      <c r="AE441" s="1818" t="n">
        <v>0</v>
      </c>
      <c r="AF441" s="1818" t="n">
        <v>0</v>
      </c>
      <c r="AG441" s="1818" t="n">
        <v>0</v>
      </c>
      <c r="AH441" s="1817">
        <f>SUM(AD441,AE441,AF441,AG441)</f>
        <v/>
      </c>
      <c r="AI441" s="1818" t="n">
        <v>0</v>
      </c>
      <c r="AJ441" s="1818" t="n">
        <v>0</v>
      </c>
      <c r="AK441" s="1819" t="n">
        <v>0</v>
      </c>
      <c r="AL441" s="1818" t="n">
        <v>0</v>
      </c>
      <c r="AM441" s="1815">
        <f>SUM(AI441,AJ441,AK441,AL441)</f>
        <v/>
      </c>
      <c r="AN441" s="1818" t="n">
        <v>0</v>
      </c>
      <c r="AO441" s="1818" t="n">
        <v>0</v>
      </c>
      <c r="AP441" s="1818" t="n">
        <v>0</v>
      </c>
      <c r="AQ441" s="1818" t="n">
        <v>0</v>
      </c>
      <c r="AR441" s="1815">
        <f>SUM(AN441,AO441,AP441,AQ441)</f>
        <v/>
      </c>
      <c r="AS441" s="1820" t="n">
        <v>0</v>
      </c>
      <c r="AT441" s="1820" t="n">
        <v>0</v>
      </c>
      <c r="AU441" s="1820" t="n">
        <v>0</v>
      </c>
      <c r="AV441" s="1821" t="n"/>
    </row>
    <row r="442" ht="14.4" customFormat="1" customHeight="1" s="1812">
      <c r="A442" s="1822" t="n"/>
      <c r="B442" s="1814" t="n"/>
      <c r="C442" s="1815" t="n"/>
      <c r="D442" s="1815" t="n"/>
      <c r="E442" s="1815" t="n"/>
      <c r="F442" s="1815" t="n"/>
      <c r="G442" s="1815" t="n"/>
      <c r="H442" s="1815" t="n"/>
      <c r="I442" s="1815" t="n"/>
      <c r="J442" s="1815" t="n"/>
      <c r="K442" s="1815" t="n"/>
      <c r="L442" s="1815" t="n"/>
      <c r="M442" s="1815" t="n"/>
      <c r="N442" s="1815" t="n"/>
      <c r="O442" s="1816" t="n"/>
      <c r="P442" s="1816" t="n"/>
      <c r="Q442" s="1816" t="n"/>
      <c r="R442" s="1816" t="n"/>
      <c r="S442" s="1815" t="n"/>
      <c r="T442" s="1816" t="n"/>
      <c r="U442" s="1816" t="n"/>
      <c r="V442" s="1816" t="n"/>
      <c r="W442" s="1816" t="n"/>
      <c r="X442" s="1815" t="n"/>
      <c r="Y442" s="1816" t="n"/>
      <c r="Z442" s="1816" t="n"/>
      <c r="AA442" s="1816" t="n"/>
      <c r="AB442" s="1816" t="n"/>
      <c r="AC442" s="1815" t="n"/>
      <c r="AD442" s="1816" t="n"/>
      <c r="AE442" s="1816" t="n"/>
      <c r="AF442" s="1816" t="n"/>
      <c r="AG442" s="1816" t="n"/>
      <c r="AH442" s="1815" t="n"/>
      <c r="AI442" s="1816" t="n"/>
      <c r="AJ442" s="1816" t="n"/>
      <c r="AK442" s="1823" t="n"/>
      <c r="AL442" s="1816" t="n"/>
      <c r="AM442" s="1815" t="n"/>
      <c r="AN442" s="1816" t="n"/>
      <c r="AO442" s="1816" t="n"/>
      <c r="AP442" s="1816" t="n"/>
      <c r="AQ442" s="1816" t="n"/>
      <c r="AR442" s="1815" t="n"/>
      <c r="AS442" s="1815" t="n"/>
      <c r="AT442" s="1815" t="n"/>
      <c r="AU442" s="1815" t="n"/>
      <c r="AV442" s="1821" t="n"/>
    </row>
    <row r="443" ht="14.4" customFormat="1" customHeight="1" s="1418">
      <c r="A443" s="1468" t="inlineStr">
        <is>
          <t>Net Debt Issuance (Repayment)</t>
        </is>
      </c>
      <c r="B443" s="1698" t="n"/>
      <c r="C443" s="1529" t="n"/>
      <c r="D443" s="1529" t="n"/>
      <c r="E443" s="1529" t="n"/>
      <c r="F443" s="1529" t="n"/>
      <c r="G443" s="1529" t="n"/>
      <c r="H443" s="1529" t="n"/>
      <c r="I443" s="1529" t="n"/>
      <c r="J443" s="1529" t="n"/>
      <c r="K443" s="1529" t="n"/>
      <c r="L443" s="1529" t="n"/>
      <c r="M443" s="1529" t="n"/>
      <c r="N443" s="1529" t="n"/>
      <c r="O443" s="1420" t="n"/>
      <c r="P443" s="1420" t="n"/>
      <c r="Q443" s="1420" t="n"/>
      <c r="R443" s="1420" t="n"/>
      <c r="S443" s="1529" t="n"/>
      <c r="T443" s="1420" t="n"/>
      <c r="U443" s="1420" t="n"/>
      <c r="V443" s="1420" t="n"/>
      <c r="W443" s="1420" t="n"/>
      <c r="X443" s="1529">
        <f>X605+X606+X607+X608</f>
        <v/>
      </c>
      <c r="Y443" s="1420" t="n"/>
      <c r="Z443" s="1420" t="n"/>
      <c r="AA443" s="1420">
        <f>AA605+AA606+AA607+AA608</f>
        <v/>
      </c>
      <c r="AB443" s="1420">
        <f>AB605+AB606+AB607+AB608</f>
        <v/>
      </c>
      <c r="AC443" s="1529">
        <f>AC605+AC606+AC607+AC608</f>
        <v/>
      </c>
      <c r="AD443" s="1420">
        <f>AD605+AD606+AD607+AD608</f>
        <v/>
      </c>
      <c r="AE443" s="1420">
        <f>AE605+AE606+AE607+AE608</f>
        <v/>
      </c>
      <c r="AF443" s="1420">
        <f>AF605+AF606+AF607+AF608</f>
        <v/>
      </c>
      <c r="AG443" s="1420">
        <f>AG605+AG606+AG607+AG608</f>
        <v/>
      </c>
      <c r="AH443" s="1529">
        <f>AH605+AH606+AH607+AH608</f>
        <v/>
      </c>
      <c r="AI443" s="1420">
        <f>AI605+AI606+AI607+AI608</f>
        <v/>
      </c>
      <c r="AJ443" s="1420">
        <f>AJ605+AJ606+AJ607+AJ608</f>
        <v/>
      </c>
      <c r="AK443" s="1421">
        <f>AK605+AK606+AK607+AK608</f>
        <v/>
      </c>
      <c r="AL443" s="1594" t="n">
        <v>0</v>
      </c>
      <c r="AM443" s="1529">
        <f>AM605+AM606+AM607+AM608</f>
        <v/>
      </c>
      <c r="AN443" s="1594" t="n">
        <v>0</v>
      </c>
      <c r="AO443" s="1594" t="n">
        <v>0</v>
      </c>
      <c r="AP443" s="1594" t="n">
        <v>0</v>
      </c>
      <c r="AQ443" s="1594" t="n">
        <v>0</v>
      </c>
      <c r="AR443" s="1529">
        <f>AR605+AR606+AR607+AR608</f>
        <v/>
      </c>
      <c r="AS443" s="1593" t="n">
        <v>0</v>
      </c>
      <c r="AT443" s="1593" t="n">
        <v>0</v>
      </c>
      <c r="AU443" s="1593" t="n">
        <v>0</v>
      </c>
      <c r="AV443" s="1422" t="n"/>
    </row>
    <row r="444" ht="14.4" customFormat="1" customHeight="1" s="1418">
      <c r="A444" s="1468" t="inlineStr">
        <is>
          <t>Net Share Issuance (Buybacks)</t>
        </is>
      </c>
      <c r="B444" s="1698" t="n"/>
      <c r="C444" s="1529" t="n"/>
      <c r="D444" s="1529" t="n"/>
      <c r="E444" s="1529" t="n"/>
      <c r="F444" s="1529" t="n"/>
      <c r="G444" s="1529" t="n"/>
      <c r="H444" s="1529" t="n"/>
      <c r="I444" s="1529" t="n"/>
      <c r="J444" s="1529" t="n"/>
      <c r="K444" s="1529" t="n"/>
      <c r="L444" s="1529" t="n"/>
      <c r="M444" s="1529" t="n"/>
      <c r="N444" s="1529" t="n"/>
      <c r="O444" s="1420" t="n"/>
      <c r="P444" s="1420" t="n"/>
      <c r="Q444" s="1420" t="n"/>
      <c r="R444" s="1420" t="n"/>
      <c r="S444" s="1529" t="n"/>
      <c r="T444" s="1420" t="n"/>
      <c r="U444" s="1420" t="n"/>
      <c r="V444" s="1420" t="n"/>
      <c r="W444" s="1420" t="n"/>
      <c r="X444" s="1529">
        <f>X611+X612+X614</f>
        <v/>
      </c>
      <c r="Y444" s="1420" t="n"/>
      <c r="Z444" s="1420" t="n"/>
      <c r="AA444" s="1420">
        <f>AA611+AA612+AA614+AA613</f>
        <v/>
      </c>
      <c r="AB444" s="1420">
        <f>AB611+AB612+AB614+AB613</f>
        <v/>
      </c>
      <c r="AC444" s="1529">
        <f>AC611+AC612+AC614+AC613</f>
        <v/>
      </c>
      <c r="AD444" s="1420">
        <f>AD611+AD612+AD614+AD613</f>
        <v/>
      </c>
      <c r="AE444" s="1420">
        <f>AE611+AE612+AE614+AE613</f>
        <v/>
      </c>
      <c r="AF444" s="1420">
        <f>AF611+AF612+AF614+AF613</f>
        <v/>
      </c>
      <c r="AG444" s="1420">
        <f>AG611+AG612+AG614+AG613</f>
        <v/>
      </c>
      <c r="AH444" s="1529">
        <f>AH611+AH612+AH614+AH613</f>
        <v/>
      </c>
      <c r="AI444" s="1420">
        <f>AI611+AI612+AI614+AI613</f>
        <v/>
      </c>
      <c r="AJ444" s="1420">
        <f>AJ611+AJ612+AJ614+AJ613</f>
        <v/>
      </c>
      <c r="AK444" s="1421">
        <f>AK611+AK612+AK614+AK613</f>
        <v/>
      </c>
      <c r="AL444" s="1594" t="n">
        <v>0</v>
      </c>
      <c r="AM444" s="1529">
        <f>AM611+AM612+AM614+AM613</f>
        <v/>
      </c>
      <c r="AN444" s="1594" t="n">
        <v>0</v>
      </c>
      <c r="AO444" s="1594" t="n">
        <v>0</v>
      </c>
      <c r="AP444" s="1594" t="n">
        <v>0</v>
      </c>
      <c r="AQ444" s="1594" t="n">
        <v>0</v>
      </c>
      <c r="AR444" s="1529">
        <f>AR611+AR612+AR614+AR613</f>
        <v/>
      </c>
      <c r="AS444" s="1593" t="n">
        <v>0</v>
      </c>
      <c r="AT444" s="1593" t="n">
        <v>0</v>
      </c>
      <c r="AU444" s="1593" t="n">
        <v>0</v>
      </c>
      <c r="AV444" s="1422" t="n"/>
    </row>
    <row r="445" ht="14.4" customFormat="1" customHeight="1" s="1824">
      <c r="A445" s="1825">
        <f>CONCATENATE("Estimated Share Price for Issuance/Buybacks, ",HP.TradeCurrency)</f>
        <v/>
      </c>
      <c r="B445" s="1826" t="n"/>
      <c r="C445" s="1827" t="n"/>
      <c r="D445" s="1827" t="n"/>
      <c r="E445" s="1827" t="n"/>
      <c r="F445" s="1827" t="n"/>
      <c r="G445" s="1827" t="n"/>
      <c r="H445" s="1827" t="n"/>
      <c r="I445" s="1827" t="n"/>
      <c r="J445" s="1827" t="n"/>
      <c r="K445" s="1827" t="n"/>
      <c r="L445" s="1827" t="n"/>
      <c r="M445" s="1827" t="n"/>
      <c r="N445" s="1827" t="n"/>
      <c r="O445" s="1828" t="n"/>
      <c r="P445" s="1828" t="n"/>
      <c r="Q445" s="1828" t="n"/>
      <c r="R445" s="1828" t="n"/>
      <c r="S445" s="1827" t="n"/>
      <c r="T445" s="1828" t="n"/>
      <c r="U445" s="1828" t="n"/>
      <c r="V445" s="1828" t="n"/>
      <c r="W445" s="1828" t="n"/>
      <c r="X445" s="1827" t="n"/>
      <c r="Y445" s="1828" t="n"/>
      <c r="Z445" s="1828" t="n"/>
      <c r="AA445" s="1828" t="n"/>
      <c r="AB445" s="1828" t="n"/>
      <c r="AC445" s="1827" t="n"/>
      <c r="AD445" s="1828" t="n"/>
      <c r="AE445" s="1828" t="n"/>
      <c r="AF445" s="1828" t="n"/>
      <c r="AG445" s="1828" t="n"/>
      <c r="AH445" s="1827" t="n"/>
      <c r="AI445" s="1828" t="n"/>
      <c r="AJ445" s="1828" t="n"/>
      <c r="AK445" s="1829" t="n"/>
      <c r="AL445" s="1830" t="n">
        <v>82</v>
      </c>
      <c r="AM445" s="1827">
        <f>AVERAGE(AI445,AJ445,AK445,AL445)</f>
        <v/>
      </c>
      <c r="AN445" s="1830" t="n">
        <v>90</v>
      </c>
      <c r="AO445" s="1830" t="n">
        <v>90</v>
      </c>
      <c r="AP445" s="1830" t="n">
        <v>90</v>
      </c>
      <c r="AQ445" s="1830" t="n">
        <v>90</v>
      </c>
      <c r="AR445" s="1827">
        <f>AVERAGE(AN445,AO445,AP445,AQ445)</f>
        <v/>
      </c>
      <c r="AS445" s="1831" t="n">
        <v>99</v>
      </c>
      <c r="AT445" s="1831" t="n">
        <v>109</v>
      </c>
      <c r="AU445" s="1831" t="n">
        <v>120</v>
      </c>
      <c r="AV445" s="1832" t="n"/>
    </row>
    <row r="446" ht="14.4" customFormat="1" customHeight="1" s="1812">
      <c r="A446" s="1833" t="n"/>
      <c r="B446" s="1814" t="n"/>
      <c r="C446" s="1834" t="n"/>
      <c r="D446" s="1834" t="n"/>
      <c r="E446" s="1834" t="n"/>
      <c r="F446" s="1834" t="n"/>
      <c r="G446" s="1834" t="n"/>
      <c r="H446" s="1834" t="n"/>
      <c r="I446" s="1834" t="n"/>
      <c r="J446" s="1834" t="n"/>
      <c r="K446" s="1834" t="n"/>
      <c r="L446" s="1834" t="n"/>
      <c r="M446" s="1834" t="n"/>
      <c r="N446" s="1834" t="n"/>
      <c r="O446" s="1835" t="n"/>
      <c r="P446" s="1835" t="n"/>
      <c r="Q446" s="1835" t="n"/>
      <c r="R446" s="1835" t="n"/>
      <c r="S446" s="1834" t="n"/>
      <c r="T446" s="1835" t="n"/>
      <c r="U446" s="1835" t="n"/>
      <c r="V446" s="1835" t="n"/>
      <c r="W446" s="1835" t="n"/>
      <c r="X446" s="1834" t="n"/>
      <c r="Y446" s="1835" t="n"/>
      <c r="Z446" s="1835" t="n"/>
      <c r="AA446" s="1835" t="n"/>
      <c r="AB446" s="1835" t="n"/>
      <c r="AC446" s="1834" t="n"/>
      <c r="AD446" s="1835" t="n"/>
      <c r="AE446" s="1835" t="n"/>
      <c r="AF446" s="1835" t="n"/>
      <c r="AG446" s="1835" t="n"/>
      <c r="AH446" s="1834" t="n"/>
      <c r="AI446" s="1835" t="n"/>
      <c r="AJ446" s="1835" t="n"/>
      <c r="AK446" s="1836" t="n"/>
      <c r="AL446" s="1835" t="n"/>
      <c r="AM446" s="1834" t="n"/>
      <c r="AN446" s="1835" t="n"/>
      <c r="AO446" s="1835" t="n"/>
      <c r="AP446" s="1835" t="n"/>
      <c r="AQ446" s="1835" t="n"/>
      <c r="AR446" s="1834" t="n"/>
      <c r="AS446" s="1834" t="n"/>
      <c r="AT446" s="1834" t="n"/>
      <c r="AU446" s="1834" t="n"/>
      <c r="AV446" s="1821" t="n"/>
    </row>
    <row r="447" ht="14.4" customFormat="1" customHeight="1" s="1418">
      <c r="A447" s="1468" t="inlineStr">
        <is>
          <t>SBC expense</t>
        </is>
      </c>
      <c r="B447" s="1698" t="n"/>
      <c r="C447" s="1529" t="n"/>
      <c r="D447" s="1529" t="n"/>
      <c r="E447" s="1529" t="n"/>
      <c r="F447" s="1529" t="n"/>
      <c r="G447" s="1529" t="n"/>
      <c r="H447" s="1529" t="n"/>
      <c r="I447" s="1529" t="n"/>
      <c r="J447" s="1529" t="n"/>
      <c r="K447" s="1529" t="n"/>
      <c r="L447" s="1529" t="n"/>
      <c r="M447" s="1529" t="n"/>
      <c r="N447" s="1529" t="n"/>
      <c r="O447" s="1420" t="n"/>
      <c r="P447" s="1420" t="n"/>
      <c r="Q447" s="1420" t="n"/>
      <c r="R447" s="1420" t="n"/>
      <c r="S447" s="1529" t="n"/>
      <c r="T447" s="1420" t="n"/>
      <c r="U447" s="1420" t="n"/>
      <c r="V447" s="1420" t="n"/>
      <c r="W447" s="1420" t="n"/>
      <c r="X447" s="1529">
        <f>X384</f>
        <v/>
      </c>
      <c r="Y447" s="1420" t="n"/>
      <c r="Z447" s="1420" t="n"/>
      <c r="AA447" s="1420">
        <f>AA384</f>
        <v/>
      </c>
      <c r="AB447" s="1420">
        <f>AB384</f>
        <v/>
      </c>
      <c r="AC447" s="1529">
        <f>AC384</f>
        <v/>
      </c>
      <c r="AD447" s="1420">
        <f>AD384</f>
        <v/>
      </c>
      <c r="AE447" s="1420">
        <f>AE384</f>
        <v/>
      </c>
      <c r="AF447" s="1420">
        <f>AF384+AE384+AD384</f>
        <v/>
      </c>
      <c r="AG447" s="1420">
        <f>AG384</f>
        <v/>
      </c>
      <c r="AH447" s="1529">
        <f>AH384</f>
        <v/>
      </c>
      <c r="AI447" s="1420">
        <f>AI384</f>
        <v/>
      </c>
      <c r="AJ447" s="1420">
        <f>AJ384</f>
        <v/>
      </c>
      <c r="AK447" s="1421">
        <f>AK384+AJ384+AI384</f>
        <v/>
      </c>
      <c r="AL447" s="1420">
        <f>AL384</f>
        <v/>
      </c>
      <c r="AM447" s="1529">
        <f>SUM(AI447,AJ447,AK447,AL447)</f>
        <v/>
      </c>
      <c r="AN447" s="1420">
        <f>AN384</f>
        <v/>
      </c>
      <c r="AO447" s="1420">
        <f>AO384</f>
        <v/>
      </c>
      <c r="AP447" s="1420">
        <f>AP384</f>
        <v/>
      </c>
      <c r="AQ447" s="1420">
        <f>AQ384</f>
        <v/>
      </c>
      <c r="AR447" s="1529">
        <f>SUM(AN447,AO447,AP447,AQ447)</f>
        <v/>
      </c>
      <c r="AS447" s="1529">
        <f>AS384</f>
        <v/>
      </c>
      <c r="AT447" s="1529">
        <f>AT384</f>
        <v/>
      </c>
      <c r="AU447" s="1529">
        <f>AU384</f>
        <v/>
      </c>
      <c r="AV447" s="1422" t="n"/>
    </row>
    <row r="448" ht="14.4" customFormat="1" customHeight="1" s="1456">
      <c r="A448" s="1837" t="inlineStr">
        <is>
          <t>SBC expense as % of revenue</t>
        </is>
      </c>
      <c r="B448" s="1693" t="n"/>
      <c r="C448" s="1550" t="n"/>
      <c r="D448" s="1550" t="n"/>
      <c r="E448" s="1550" t="n"/>
      <c r="F448" s="1550" t="n"/>
      <c r="G448" s="1550" t="n"/>
      <c r="H448" s="1550" t="n"/>
      <c r="I448" s="1550" t="n"/>
      <c r="J448" s="1550" t="n"/>
      <c r="K448" s="1550" t="n"/>
      <c r="L448" s="1550" t="n"/>
      <c r="M448" s="1550" t="n"/>
      <c r="N448" s="1550" t="n"/>
      <c r="O448" s="1551" t="n"/>
      <c r="P448" s="1551" t="n"/>
      <c r="Q448" s="1551" t="n"/>
      <c r="R448" s="1551" t="n"/>
      <c r="S448" s="1550" t="n"/>
      <c r="T448" s="1551" t="n"/>
      <c r="U448" s="1551" t="n"/>
      <c r="V448" s="1551" t="n"/>
      <c r="W448" s="1551" t="n"/>
      <c r="X448" s="1550">
        <f>X447/X333</f>
        <v/>
      </c>
      <c r="Y448" s="1551" t="n"/>
      <c r="Z448" s="1551" t="n"/>
      <c r="AA448" s="1551">
        <f>AA447/AA333</f>
        <v/>
      </c>
      <c r="AB448" s="1551">
        <f>AB447/AB333</f>
        <v/>
      </c>
      <c r="AC448" s="1550">
        <f>AC447/AC333</f>
        <v/>
      </c>
      <c r="AD448" s="1551">
        <f>AD447/AD333</f>
        <v/>
      </c>
      <c r="AE448" s="1551">
        <f>AE447/AE333</f>
        <v/>
      </c>
      <c r="AF448" s="1551">
        <f>AF447/(AF333+AE333+AD333)</f>
        <v/>
      </c>
      <c r="AG448" s="1551">
        <f>AG447/AG333</f>
        <v/>
      </c>
      <c r="AH448" s="1550">
        <f>AH447/AH333</f>
        <v/>
      </c>
      <c r="AI448" s="1551">
        <f>AI447/AI333</f>
        <v/>
      </c>
      <c r="AJ448" s="1551">
        <f>AJ447/AJ333</f>
        <v/>
      </c>
      <c r="AK448" s="1553">
        <f>AK447/(AK333+AJ333+AI333)</f>
        <v/>
      </c>
      <c r="AL448" s="1551">
        <f>AL447/AL333</f>
        <v/>
      </c>
      <c r="AM448" s="1550">
        <f>AM447/AM333</f>
        <v/>
      </c>
      <c r="AN448" s="1551">
        <f>AN447/AN333</f>
        <v/>
      </c>
      <c r="AO448" s="1551">
        <f>AO447/AO333</f>
        <v/>
      </c>
      <c r="AP448" s="1551">
        <f>AP447/AP333</f>
        <v/>
      </c>
      <c r="AQ448" s="1551">
        <f>AQ447/AQ333</f>
        <v/>
      </c>
      <c r="AR448" s="1550">
        <f>AR447/AR333</f>
        <v/>
      </c>
      <c r="AS448" s="1550">
        <f>AS447/AS333</f>
        <v/>
      </c>
      <c r="AT448" s="1550">
        <f>AT447/AT333</f>
        <v/>
      </c>
      <c r="AU448" s="1550">
        <f>AU447/AU333</f>
        <v/>
      </c>
      <c r="AV448" s="1463" t="n"/>
    </row>
    <row r="449" ht="14.4" customFormat="1" customHeight="1" s="1418">
      <c r="A449" s="1716" t="n"/>
      <c r="B449" s="1698" t="n"/>
      <c r="C449" s="1529" t="n"/>
      <c r="D449" s="1529" t="n"/>
      <c r="E449" s="1529" t="n"/>
      <c r="F449" s="1529" t="n"/>
      <c r="G449" s="1529" t="n"/>
      <c r="H449" s="1529" t="n"/>
      <c r="I449" s="1529" t="n"/>
      <c r="J449" s="1529" t="n"/>
      <c r="K449" s="1529" t="n"/>
      <c r="L449" s="1529" t="n"/>
      <c r="M449" s="1529" t="n"/>
      <c r="N449" s="1529" t="n"/>
      <c r="O449" s="1420" t="n"/>
      <c r="P449" s="1420" t="n"/>
      <c r="Q449" s="1420" t="n"/>
      <c r="R449" s="1420" t="n"/>
      <c r="S449" s="1529" t="n"/>
      <c r="T449" s="1420" t="n"/>
      <c r="U449" s="1420" t="n"/>
      <c r="V449" s="1420" t="n"/>
      <c r="W449" s="1420" t="n"/>
      <c r="X449" s="1529" t="n"/>
      <c r="Y449" s="1420" t="n"/>
      <c r="Z449" s="1420" t="n"/>
      <c r="AA449" s="1420" t="n"/>
      <c r="AB449" s="1420" t="n"/>
      <c r="AC449" s="1529" t="n"/>
      <c r="AD449" s="1420" t="n"/>
      <c r="AE449" s="1420" t="n"/>
      <c r="AF449" s="1420" t="n"/>
      <c r="AG449" s="1420" t="n"/>
      <c r="AH449" s="1529" t="n"/>
      <c r="AI449" s="1420" t="n"/>
      <c r="AJ449" s="1420" t="n"/>
      <c r="AK449" s="1421" t="n"/>
      <c r="AL449" s="1420" t="n"/>
      <c r="AM449" s="1529" t="n"/>
      <c r="AN449" s="1420" t="n"/>
      <c r="AO449" s="1420" t="n"/>
      <c r="AP449" s="1420" t="n"/>
      <c r="AQ449" s="1420" t="n"/>
      <c r="AR449" s="1529" t="n"/>
      <c r="AS449" s="1529" t="n"/>
      <c r="AT449" s="1529" t="n"/>
      <c r="AU449" s="1529" t="n"/>
      <c r="AV449" s="1422" t="n"/>
    </row>
    <row r="450" hidden="1" outlineLevel="1" ht="14.4" customFormat="1" customHeight="1" s="1418">
      <c r="A450" s="1420" t="inlineStr">
        <is>
          <t>FCF (before WC), Pre Div</t>
        </is>
      </c>
      <c r="B450" s="1698" t="n"/>
      <c r="C450" s="1529" t="n"/>
      <c r="D450" s="1529" t="n"/>
      <c r="E450" s="1529" t="n"/>
      <c r="F450" s="1529" t="n"/>
      <c r="G450" s="1529" t="n"/>
      <c r="H450" s="1529" t="n"/>
      <c r="I450" s="1529" t="n"/>
      <c r="J450" s="1529" t="n"/>
      <c r="K450" s="1529" t="n"/>
      <c r="L450" s="1529" t="n"/>
      <c r="M450" s="1529" t="n"/>
      <c r="N450" s="1529" t="n"/>
      <c r="O450" s="1420" t="n"/>
      <c r="P450" s="1420" t="n"/>
      <c r="Q450" s="1420" t="n"/>
      <c r="R450" s="1420" t="n"/>
      <c r="S450" s="1529" t="n"/>
      <c r="T450" s="1420" t="n"/>
      <c r="U450" s="1420" t="n"/>
      <c r="V450" s="1420" t="n"/>
      <c r="W450" s="1420" t="n"/>
      <c r="X450" s="1529">
        <f>X430+X436</f>
        <v/>
      </c>
      <c r="Y450" s="1420" t="n"/>
      <c r="Z450" s="1420" t="n"/>
      <c r="AA450" s="1420">
        <f>AA430+AA436</f>
        <v/>
      </c>
      <c r="AB450" s="1420">
        <f>AB430+AB436</f>
        <v/>
      </c>
      <c r="AC450" s="1529">
        <f>AC430+AC436</f>
        <v/>
      </c>
      <c r="AD450" s="1420">
        <f>AD430+AD436</f>
        <v/>
      </c>
      <c r="AE450" s="1420">
        <f>AE430+AE436</f>
        <v/>
      </c>
      <c r="AF450" s="1420">
        <f>AF430+AF436</f>
        <v/>
      </c>
      <c r="AG450" s="1420">
        <f>AG430+AG436</f>
        <v/>
      </c>
      <c r="AH450" s="1529">
        <f>AH430+AH436</f>
        <v/>
      </c>
      <c r="AI450" s="1420">
        <f>AI430+AI436</f>
        <v/>
      </c>
      <c r="AJ450" s="1420">
        <f>AJ430+AJ436</f>
        <v/>
      </c>
      <c r="AK450" s="1421">
        <f>AK430+AK436</f>
        <v/>
      </c>
      <c r="AL450" s="1420">
        <f>AL430+AL436</f>
        <v/>
      </c>
      <c r="AM450" s="1529">
        <f>AM430+AM436</f>
        <v/>
      </c>
      <c r="AN450" s="1420">
        <f>AN430+AN436</f>
        <v/>
      </c>
      <c r="AO450" s="1420">
        <f>AO430+AO436</f>
        <v/>
      </c>
      <c r="AP450" s="1420">
        <f>AP430+AP436</f>
        <v/>
      </c>
      <c r="AQ450" s="1420">
        <f>AQ430+AQ436</f>
        <v/>
      </c>
      <c r="AR450" s="1529">
        <f>AR430+AR436</f>
        <v/>
      </c>
      <c r="AS450" s="1529">
        <f>AS430+AS436</f>
        <v/>
      </c>
      <c r="AT450" s="1529">
        <f>AT430+AT436</f>
        <v/>
      </c>
      <c r="AU450" s="1529">
        <f>AU430+AU436</f>
        <v/>
      </c>
      <c r="AV450" s="1420" t="n"/>
    </row>
    <row r="451" hidden="1" outlineLevel="1" ht="14.4" customFormat="1" customHeight="1" s="1418">
      <c r="A451" s="1420" t="inlineStr">
        <is>
          <t>FCF (before WC), Post Div, Pre A/D</t>
        </is>
      </c>
      <c r="B451" s="1698" t="n"/>
      <c r="C451" s="1529" t="n"/>
      <c r="D451" s="1529" t="n"/>
      <c r="E451" s="1529" t="n"/>
      <c r="F451" s="1529" t="n"/>
      <c r="G451" s="1529" t="n"/>
      <c r="H451" s="1529" t="n"/>
      <c r="I451" s="1529" t="n"/>
      <c r="J451" s="1529" t="n"/>
      <c r="K451" s="1529" t="n"/>
      <c r="L451" s="1529" t="n"/>
      <c r="M451" s="1529" t="n"/>
      <c r="N451" s="1529" t="n"/>
      <c r="O451" s="1420" t="n"/>
      <c r="P451" s="1420" t="n"/>
      <c r="Q451" s="1420" t="n"/>
      <c r="R451" s="1420" t="n"/>
      <c r="S451" s="1529" t="n"/>
      <c r="T451" s="1420" t="n"/>
      <c r="U451" s="1420" t="n"/>
      <c r="V451" s="1420" t="n"/>
      <c r="W451" s="1420" t="n"/>
      <c r="X451" s="1529">
        <f>X450+X440</f>
        <v/>
      </c>
      <c r="Y451" s="1420" t="n"/>
      <c r="Z451" s="1420" t="n"/>
      <c r="AA451" s="1420">
        <f>AA450+AA440</f>
        <v/>
      </c>
      <c r="AB451" s="1420">
        <f>AB450+AB440</f>
        <v/>
      </c>
      <c r="AC451" s="1529">
        <f>AC450+AC440</f>
        <v/>
      </c>
      <c r="AD451" s="1420">
        <f>AD450+AD440</f>
        <v/>
      </c>
      <c r="AE451" s="1420">
        <f>AE450+AE440</f>
        <v/>
      </c>
      <c r="AF451" s="1420">
        <f>AF450+AF440</f>
        <v/>
      </c>
      <c r="AG451" s="1420">
        <f>AG450+AG440</f>
        <v/>
      </c>
      <c r="AH451" s="1529">
        <f>AH450+AH440</f>
        <v/>
      </c>
      <c r="AI451" s="1420">
        <f>AI450+AI440</f>
        <v/>
      </c>
      <c r="AJ451" s="1420">
        <f>AJ450+AJ440</f>
        <v/>
      </c>
      <c r="AK451" s="1421">
        <f>AK450+AK440</f>
        <v/>
      </c>
      <c r="AL451" s="1420">
        <f>AL450+AL440</f>
        <v/>
      </c>
      <c r="AM451" s="1529">
        <f>AM450+AM440</f>
        <v/>
      </c>
      <c r="AN451" s="1420">
        <f>AN450+AN440</f>
        <v/>
      </c>
      <c r="AO451" s="1420">
        <f>AO450+AO440</f>
        <v/>
      </c>
      <c r="AP451" s="1420">
        <f>AP450+AP440</f>
        <v/>
      </c>
      <c r="AQ451" s="1420">
        <f>AQ450+AQ440</f>
        <v/>
      </c>
      <c r="AR451" s="1529">
        <f>AR450+AR440</f>
        <v/>
      </c>
      <c r="AS451" s="1529">
        <f>AS450+AS440</f>
        <v/>
      </c>
      <c r="AT451" s="1529">
        <f>AT450+AT440</f>
        <v/>
      </c>
      <c r="AU451" s="1529">
        <f>AU450+AU440</f>
        <v/>
      </c>
      <c r="AV451" s="1420" t="n"/>
    </row>
    <row r="452" hidden="1" outlineLevel="1" ht="14.4" customFormat="1" customHeight="1" s="1418">
      <c r="A452" s="1420" t="inlineStr">
        <is>
          <t>FCF (before WC), Post Div, Post A/D</t>
        </is>
      </c>
      <c r="B452" s="1698" t="n"/>
      <c r="C452" s="1529" t="n"/>
      <c r="D452" s="1529" t="n"/>
      <c r="E452" s="1529" t="n"/>
      <c r="F452" s="1529" t="n"/>
      <c r="G452" s="1529" t="n"/>
      <c r="H452" s="1529" t="n"/>
      <c r="I452" s="1529" t="n"/>
      <c r="J452" s="1529" t="n"/>
      <c r="K452" s="1529" t="n"/>
      <c r="L452" s="1529" t="n"/>
      <c r="M452" s="1529" t="n"/>
      <c r="N452" s="1529" t="n"/>
      <c r="O452" s="1420" t="n"/>
      <c r="P452" s="1420" t="n"/>
      <c r="Q452" s="1420" t="n"/>
      <c r="R452" s="1420" t="n"/>
      <c r="S452" s="1529" t="n"/>
      <c r="T452" s="1420" t="n"/>
      <c r="U452" s="1420" t="n"/>
      <c r="V452" s="1420" t="n"/>
      <c r="W452" s="1420" t="n"/>
      <c r="X452" s="1529">
        <f>X451+X438+X439</f>
        <v/>
      </c>
      <c r="Y452" s="1420" t="n"/>
      <c r="Z452" s="1420" t="n"/>
      <c r="AA452" s="1420">
        <f>AA451+AA438+AA439</f>
        <v/>
      </c>
      <c r="AB452" s="1420">
        <f>AB451+AB438+AB439</f>
        <v/>
      </c>
      <c r="AC452" s="1529">
        <f>AC451+AC438+AC439</f>
        <v/>
      </c>
      <c r="AD452" s="1420">
        <f>AD451+AD438+AD439</f>
        <v/>
      </c>
      <c r="AE452" s="1420">
        <f>AE451+AE438+AE439</f>
        <v/>
      </c>
      <c r="AF452" s="1420">
        <f>AF451+AF438+AF439</f>
        <v/>
      </c>
      <c r="AG452" s="1420">
        <f>AG451+AG438+AG439</f>
        <v/>
      </c>
      <c r="AH452" s="1529">
        <f>AH451+AH438+AH439</f>
        <v/>
      </c>
      <c r="AI452" s="1420">
        <f>AI451+AI438+AI439</f>
        <v/>
      </c>
      <c r="AJ452" s="1420">
        <f>AJ451+AJ438+AJ439</f>
        <v/>
      </c>
      <c r="AK452" s="1421">
        <f>AK451+AK438+AK439</f>
        <v/>
      </c>
      <c r="AL452" s="1420">
        <f>AL451+AL438+AL439</f>
        <v/>
      </c>
      <c r="AM452" s="1529">
        <f>AM451+AM438+AM439</f>
        <v/>
      </c>
      <c r="AN452" s="1420">
        <f>AN451+AN438+AN439</f>
        <v/>
      </c>
      <c r="AO452" s="1420">
        <f>AO451+AO438+AO439</f>
        <v/>
      </c>
      <c r="AP452" s="1420">
        <f>AP451+AP438+AP439</f>
        <v/>
      </c>
      <c r="AQ452" s="1420">
        <f>AQ451+AQ438+AQ439</f>
        <v/>
      </c>
      <c r="AR452" s="1529">
        <f>AR451+AR438+AR439</f>
        <v/>
      </c>
      <c r="AS452" s="1529">
        <f>AS451+AS438+AS439</f>
        <v/>
      </c>
      <c r="AT452" s="1529">
        <f>AT451+AT438+AT439</f>
        <v/>
      </c>
      <c r="AU452" s="1529">
        <f>AU451+AU438+AU439</f>
        <v/>
      </c>
      <c r="AV452" s="1420" t="n"/>
    </row>
    <row r="453" hidden="1" outlineLevel="1" ht="14.4" customFormat="1" customHeight="1" s="1418">
      <c r="A453" s="1536" t="inlineStr">
        <is>
          <t>FCF (before WC), Post Div, Debt, Buyback, A/D</t>
        </is>
      </c>
      <c r="B453" s="1695" t="n"/>
      <c r="C453" s="1535" t="n"/>
      <c r="D453" s="1535" t="n"/>
      <c r="E453" s="1535" t="n"/>
      <c r="F453" s="1535" t="n"/>
      <c r="G453" s="1535" t="n"/>
      <c r="H453" s="1535" t="n"/>
      <c r="I453" s="1535" t="n"/>
      <c r="J453" s="1535" t="n"/>
      <c r="K453" s="1535" t="n"/>
      <c r="L453" s="1535" t="n"/>
      <c r="M453" s="1535" t="n"/>
      <c r="N453" s="1535" t="n"/>
      <c r="O453" s="1536" t="n"/>
      <c r="P453" s="1536" t="n"/>
      <c r="Q453" s="1536" t="n"/>
      <c r="R453" s="1536" t="n"/>
      <c r="S453" s="1535" t="n"/>
      <c r="T453" s="1536" t="n"/>
      <c r="U453" s="1536" t="n"/>
      <c r="V453" s="1536" t="n"/>
      <c r="W453" s="1536" t="n"/>
      <c r="X453" s="1535">
        <f>X452+X443+X444</f>
        <v/>
      </c>
      <c r="Y453" s="1536" t="n"/>
      <c r="Z453" s="1536" t="n"/>
      <c r="AA453" s="1536">
        <f>AA452+AA443+AA444</f>
        <v/>
      </c>
      <c r="AB453" s="1536">
        <f>AB452+AB443+AB444</f>
        <v/>
      </c>
      <c r="AC453" s="1535">
        <f>AC452+AC443+AC444</f>
        <v/>
      </c>
      <c r="AD453" s="1536">
        <f>AD452+AD443+AD444</f>
        <v/>
      </c>
      <c r="AE453" s="1536">
        <f>AE452+AE443+AE444</f>
        <v/>
      </c>
      <c r="AF453" s="1536">
        <f>AF452+AF443+AF444</f>
        <v/>
      </c>
      <c r="AG453" s="1536">
        <f>AG452+AG443+AG444</f>
        <v/>
      </c>
      <c r="AH453" s="1535">
        <f>AH452+AH443+AH444</f>
        <v/>
      </c>
      <c r="AI453" s="1536">
        <f>AI452+AI443+AI444</f>
        <v/>
      </c>
      <c r="AJ453" s="1536">
        <f>AJ452+AJ443+AJ444</f>
        <v/>
      </c>
      <c r="AK453" s="1674">
        <f>AK452+AK443+AK444</f>
        <v/>
      </c>
      <c r="AL453" s="1536">
        <f>AL452+AL443+AL444</f>
        <v/>
      </c>
      <c r="AM453" s="1535">
        <f>AM452+AM443+AM444</f>
        <v/>
      </c>
      <c r="AN453" s="1536">
        <f>AN452+AN443+AN444</f>
        <v/>
      </c>
      <c r="AO453" s="1536">
        <f>AO452+AO443+AO444</f>
        <v/>
      </c>
      <c r="AP453" s="1536">
        <f>AP452+AP443+AP444</f>
        <v/>
      </c>
      <c r="AQ453" s="1536">
        <f>AQ452+AQ443+AQ444</f>
        <v/>
      </c>
      <c r="AR453" s="1535">
        <f>AR452+AR443+AR444</f>
        <v/>
      </c>
      <c r="AS453" s="1535">
        <f>AS452+AS443+AS444</f>
        <v/>
      </c>
      <c r="AT453" s="1535">
        <f>AT452+AT443+AT444</f>
        <v/>
      </c>
      <c r="AU453" s="1535">
        <f>AU452+AU443+AU444</f>
        <v/>
      </c>
      <c r="AV453" s="1420" t="n"/>
    </row>
    <row r="454" collapsed="1" ht="14.4" customFormat="1" customHeight="1" s="1418">
      <c r="A454" s="1420" t="inlineStr">
        <is>
          <t>FCF, Pre Div</t>
        </is>
      </c>
      <c r="B454" s="1698" t="n"/>
      <c r="C454" s="1529" t="n"/>
      <c r="D454" s="1529" t="n"/>
      <c r="E454" s="1529" t="n"/>
      <c r="F454" s="1529" t="n"/>
      <c r="G454" s="1529" t="n"/>
      <c r="H454" s="1529" t="n"/>
      <c r="I454" s="1529" t="n"/>
      <c r="J454" s="1529" t="n"/>
      <c r="K454" s="1529" t="n"/>
      <c r="L454" s="1529" t="n"/>
      <c r="M454" s="1529" t="n"/>
      <c r="N454" s="1529" t="n"/>
      <c r="O454" s="1420" t="n"/>
      <c r="P454" s="1420" t="n"/>
      <c r="Q454" s="1420" t="n"/>
      <c r="R454" s="1420" t="n"/>
      <c r="S454" s="1529" t="n"/>
      <c r="T454" s="1420" t="n"/>
      <c r="U454" s="1420" t="n"/>
      <c r="V454" s="1420" t="n"/>
      <c r="W454" s="1420" t="n"/>
      <c r="X454" s="1529">
        <f>X432+X436</f>
        <v/>
      </c>
      <c r="Y454" s="1420" t="n"/>
      <c r="Z454" s="1420" t="n"/>
      <c r="AA454" s="1420">
        <f>AA432+AA436</f>
        <v/>
      </c>
      <c r="AB454" s="1420">
        <f>AB432+AB436</f>
        <v/>
      </c>
      <c r="AC454" s="1529">
        <f>AC432+AC436</f>
        <v/>
      </c>
      <c r="AD454" s="1420">
        <f>AD432+AD436</f>
        <v/>
      </c>
      <c r="AE454" s="1420">
        <f>AE432+AE436</f>
        <v/>
      </c>
      <c r="AF454" s="1420">
        <f>AF432+AF436</f>
        <v/>
      </c>
      <c r="AG454" s="1420">
        <f>AG432+AG436</f>
        <v/>
      </c>
      <c r="AH454" s="1529">
        <f>AH432+AH436</f>
        <v/>
      </c>
      <c r="AI454" s="1420">
        <f>AI432+AI436</f>
        <v/>
      </c>
      <c r="AJ454" s="1420">
        <f>AJ432+AJ436</f>
        <v/>
      </c>
      <c r="AK454" s="1421">
        <f>AK432+AK436</f>
        <v/>
      </c>
      <c r="AL454" s="1420">
        <f>AL432+AL436</f>
        <v/>
      </c>
      <c r="AM454" s="1529">
        <f>AM432+AM436</f>
        <v/>
      </c>
      <c r="AN454" s="1420">
        <f>AN432+AN436</f>
        <v/>
      </c>
      <c r="AO454" s="1420">
        <f>AO432+AO436</f>
        <v/>
      </c>
      <c r="AP454" s="1420">
        <f>AP432+AP436</f>
        <v/>
      </c>
      <c r="AQ454" s="1420">
        <f>AQ432+AQ436</f>
        <v/>
      </c>
      <c r="AR454" s="1529">
        <f>AR432+AR436</f>
        <v/>
      </c>
      <c r="AS454" s="1529">
        <f>AS432+AS436</f>
        <v/>
      </c>
      <c r="AT454" s="1529">
        <f>AT432+AT436</f>
        <v/>
      </c>
      <c r="AU454" s="1529">
        <f>AU432+AU436</f>
        <v/>
      </c>
      <c r="AV454" s="1420" t="n"/>
    </row>
    <row r="455" ht="14.4" customFormat="1" customHeight="1" s="1418">
      <c r="A455" s="1420" t="inlineStr">
        <is>
          <t>FCF, Post Div, Pre A/D</t>
        </is>
      </c>
      <c r="B455" s="1698" t="n"/>
      <c r="C455" s="1529" t="n"/>
      <c r="D455" s="1529" t="n"/>
      <c r="E455" s="1529" t="n"/>
      <c r="F455" s="1529" t="n"/>
      <c r="G455" s="1529" t="n"/>
      <c r="H455" s="1529" t="n"/>
      <c r="I455" s="1529" t="n"/>
      <c r="J455" s="1529" t="n"/>
      <c r="K455" s="1529" t="n"/>
      <c r="L455" s="1529" t="n"/>
      <c r="M455" s="1529" t="n"/>
      <c r="N455" s="1529" t="n"/>
      <c r="O455" s="1420" t="n"/>
      <c r="P455" s="1420" t="n"/>
      <c r="Q455" s="1420" t="n"/>
      <c r="R455" s="1420" t="n"/>
      <c r="S455" s="1529" t="n"/>
      <c r="T455" s="1420" t="n"/>
      <c r="U455" s="1420" t="n"/>
      <c r="V455" s="1420" t="n"/>
      <c r="W455" s="1420" t="n"/>
      <c r="X455" s="1529">
        <f>X454+X440</f>
        <v/>
      </c>
      <c r="Y455" s="1420" t="n"/>
      <c r="Z455" s="1420" t="n"/>
      <c r="AA455" s="1420">
        <f>AA454+AA440</f>
        <v/>
      </c>
      <c r="AB455" s="1420">
        <f>AB454+AB440</f>
        <v/>
      </c>
      <c r="AC455" s="1529">
        <f>AC454+AC440</f>
        <v/>
      </c>
      <c r="AD455" s="1420">
        <f>AD454+AD440</f>
        <v/>
      </c>
      <c r="AE455" s="1420">
        <f>AE454+AE440</f>
        <v/>
      </c>
      <c r="AF455" s="1420">
        <f>AF454+AF440</f>
        <v/>
      </c>
      <c r="AG455" s="1420">
        <f>AG454+AG440</f>
        <v/>
      </c>
      <c r="AH455" s="1529">
        <f>AH454+AH440</f>
        <v/>
      </c>
      <c r="AI455" s="1420">
        <f>AI454+AI440</f>
        <v/>
      </c>
      <c r="AJ455" s="1420">
        <f>AJ454+AJ440</f>
        <v/>
      </c>
      <c r="AK455" s="1421">
        <f>AK454+AK440</f>
        <v/>
      </c>
      <c r="AL455" s="1420">
        <f>AL454+AL440</f>
        <v/>
      </c>
      <c r="AM455" s="1529">
        <f>AM454+AM440</f>
        <v/>
      </c>
      <c r="AN455" s="1420">
        <f>AN454+AN440</f>
        <v/>
      </c>
      <c r="AO455" s="1420">
        <f>AO454+AO440</f>
        <v/>
      </c>
      <c r="AP455" s="1420">
        <f>AP454+AP440</f>
        <v/>
      </c>
      <c r="AQ455" s="1420">
        <f>AQ454+AQ440</f>
        <v/>
      </c>
      <c r="AR455" s="1529">
        <f>AR454+AR440</f>
        <v/>
      </c>
      <c r="AS455" s="1529">
        <f>AS454+AS440</f>
        <v/>
      </c>
      <c r="AT455" s="1529">
        <f>AT454+AT440</f>
        <v/>
      </c>
      <c r="AU455" s="1529">
        <f>AU454+AU440</f>
        <v/>
      </c>
      <c r="AV455" s="1420" t="n"/>
    </row>
    <row r="456" ht="14.4" customFormat="1" customHeight="1" s="1418">
      <c r="A456" s="1420" t="inlineStr">
        <is>
          <t>FCF, Post Div, Post A/D</t>
        </is>
      </c>
      <c r="B456" s="1698" t="n"/>
      <c r="C456" s="1529" t="n"/>
      <c r="D456" s="1529" t="n"/>
      <c r="E456" s="1529" t="n"/>
      <c r="F456" s="1529" t="n"/>
      <c r="G456" s="1529" t="n"/>
      <c r="H456" s="1529" t="n"/>
      <c r="I456" s="1529" t="n"/>
      <c r="J456" s="1529" t="n"/>
      <c r="K456" s="1529" t="n"/>
      <c r="L456" s="1529" t="n"/>
      <c r="M456" s="1529" t="n"/>
      <c r="N456" s="1529" t="n"/>
      <c r="O456" s="1420" t="n"/>
      <c r="P456" s="1420" t="n"/>
      <c r="Q456" s="1420" t="n"/>
      <c r="R456" s="1420" t="n"/>
      <c r="S456" s="1529" t="n"/>
      <c r="T456" s="1420" t="n"/>
      <c r="U456" s="1420" t="n"/>
      <c r="V456" s="1420" t="n"/>
      <c r="W456" s="1420" t="n"/>
      <c r="X456" s="1529">
        <f>X455+X438+X439</f>
        <v/>
      </c>
      <c r="Y456" s="1420" t="n"/>
      <c r="Z456" s="1420" t="n"/>
      <c r="AA456" s="1420">
        <f>AA455+AA438+AA439</f>
        <v/>
      </c>
      <c r="AB456" s="1420">
        <f>AB455+AB438+AB439</f>
        <v/>
      </c>
      <c r="AC456" s="1529">
        <f>AC455+AC438+AC439</f>
        <v/>
      </c>
      <c r="AD456" s="1420">
        <f>AD455+AD438+AD439</f>
        <v/>
      </c>
      <c r="AE456" s="1420">
        <f>AE455+AE438+AE439</f>
        <v/>
      </c>
      <c r="AF456" s="1420">
        <f>AF455+AF438+AF439</f>
        <v/>
      </c>
      <c r="AG456" s="1420">
        <f>AG455+AG438+AG439</f>
        <v/>
      </c>
      <c r="AH456" s="1529">
        <f>AH455+AH438+AH439</f>
        <v/>
      </c>
      <c r="AI456" s="1420">
        <f>AI455+AI438+AI439</f>
        <v/>
      </c>
      <c r="AJ456" s="1420">
        <f>AJ455+AJ438+AJ439</f>
        <v/>
      </c>
      <c r="AK456" s="1421">
        <f>AK455+AK438+AK439</f>
        <v/>
      </c>
      <c r="AL456" s="1420">
        <f>AL455+AL438+AL439</f>
        <v/>
      </c>
      <c r="AM456" s="1529">
        <f>AM455+AM438+AM439</f>
        <v/>
      </c>
      <c r="AN456" s="1420">
        <f>AN455+AN438+AN439</f>
        <v/>
      </c>
      <c r="AO456" s="1420">
        <f>AO455+AO438+AO439</f>
        <v/>
      </c>
      <c r="AP456" s="1420">
        <f>AP455+AP438+AP439</f>
        <v/>
      </c>
      <c r="AQ456" s="1420">
        <f>AQ455+AQ438+AQ439</f>
        <v/>
      </c>
      <c r="AR456" s="1529">
        <f>AR455+AR438+AR439</f>
        <v/>
      </c>
      <c r="AS456" s="1529">
        <f>AS455+AS438+AS439</f>
        <v/>
      </c>
      <c r="AT456" s="1529">
        <f>AT455+AT438+AT439</f>
        <v/>
      </c>
      <c r="AU456" s="1529">
        <f>AU455+AU438+AU439</f>
        <v/>
      </c>
      <c r="AV456" s="1420" t="n"/>
    </row>
    <row r="457" ht="14.4" customFormat="1" customHeight="1" s="1418">
      <c r="A457" s="1536" t="inlineStr">
        <is>
          <t>FCF, Post Div, Debt, Buyback, A/D</t>
        </is>
      </c>
      <c r="B457" s="1695" t="n"/>
      <c r="C457" s="1535" t="n"/>
      <c r="D457" s="1535" t="n"/>
      <c r="E457" s="1535" t="n"/>
      <c r="F457" s="1535" t="n"/>
      <c r="G457" s="1535" t="n"/>
      <c r="H457" s="1535" t="n"/>
      <c r="I457" s="1535" t="n"/>
      <c r="J457" s="1535" t="n"/>
      <c r="K457" s="1535" t="n"/>
      <c r="L457" s="1535" t="n"/>
      <c r="M457" s="1535" t="n"/>
      <c r="N457" s="1535" t="n"/>
      <c r="O457" s="1536" t="n"/>
      <c r="P457" s="1536" t="n"/>
      <c r="Q457" s="1536" t="n"/>
      <c r="R457" s="1536" t="n"/>
      <c r="S457" s="1535" t="n"/>
      <c r="T457" s="1536" t="n"/>
      <c r="U457" s="1536" t="n"/>
      <c r="V457" s="1536" t="n"/>
      <c r="W457" s="1536" t="n"/>
      <c r="X457" s="1535">
        <f>X456+X443+X444</f>
        <v/>
      </c>
      <c r="Y457" s="1536" t="n"/>
      <c r="Z457" s="1536" t="n"/>
      <c r="AA457" s="1536">
        <f>AA456+AA443+AA444</f>
        <v/>
      </c>
      <c r="AB457" s="1536">
        <f>AB456+AB443+AB444</f>
        <v/>
      </c>
      <c r="AC457" s="1535">
        <f>AC456+AC443+AC444</f>
        <v/>
      </c>
      <c r="AD457" s="1536">
        <f>AD456+AD443+AD444</f>
        <v/>
      </c>
      <c r="AE457" s="1536">
        <f>AE456+AE443+AE444</f>
        <v/>
      </c>
      <c r="AF457" s="1536">
        <f>AF456+AF443+AF444</f>
        <v/>
      </c>
      <c r="AG457" s="1536">
        <f>AG456+AG443+AG444</f>
        <v/>
      </c>
      <c r="AH457" s="1535">
        <f>AH456+AH443+AH444</f>
        <v/>
      </c>
      <c r="AI457" s="1536">
        <f>AI456+AI443+AI444</f>
        <v/>
      </c>
      <c r="AJ457" s="1536">
        <f>AJ456+AJ443+AJ444</f>
        <v/>
      </c>
      <c r="AK457" s="1674">
        <f>AK456+AK443+AK444</f>
        <v/>
      </c>
      <c r="AL457" s="1536">
        <f>AL456+AL443+AL444</f>
        <v/>
      </c>
      <c r="AM457" s="1535">
        <f>AM456+AM443+AM444</f>
        <v/>
      </c>
      <c r="AN457" s="1536">
        <f>AN456+AN443+AN444</f>
        <v/>
      </c>
      <c r="AO457" s="1536">
        <f>AO456+AO443+AO444</f>
        <v/>
      </c>
      <c r="AP457" s="1536">
        <f>AP456+AP443+AP444</f>
        <v/>
      </c>
      <c r="AQ457" s="1536">
        <f>AQ456+AQ443+AQ444</f>
        <v/>
      </c>
      <c r="AR457" s="1535">
        <f>AR456+AR443+AR444</f>
        <v/>
      </c>
      <c r="AS457" s="1535">
        <f>AS456+AS443+AS444</f>
        <v/>
      </c>
      <c r="AT457" s="1535">
        <f>AT456+AT443+AT444</f>
        <v/>
      </c>
      <c r="AU457" s="1535">
        <f>AU456+AU443+AU444</f>
        <v/>
      </c>
      <c r="AV457" s="1420" t="n"/>
    </row>
    <row r="458" ht="14.4" customFormat="1" customHeight="1" s="1418">
      <c r="A458" s="1420" t="n"/>
      <c r="B458" s="1698" t="n"/>
      <c r="C458" s="1529" t="n"/>
      <c r="D458" s="1529" t="n"/>
      <c r="E458" s="1529" t="n"/>
      <c r="F458" s="1529" t="n"/>
      <c r="G458" s="1529" t="n"/>
      <c r="H458" s="1529" t="n"/>
      <c r="I458" s="1529" t="n"/>
      <c r="J458" s="1529" t="n"/>
      <c r="K458" s="1529" t="n"/>
      <c r="L458" s="1529" t="n"/>
      <c r="M458" s="1529" t="n"/>
      <c r="N458" s="1529" t="n"/>
      <c r="O458" s="1420" t="n"/>
      <c r="P458" s="1420" t="n"/>
      <c r="Q458" s="1420" t="n"/>
      <c r="R458" s="1420" t="n"/>
      <c r="S458" s="1529" t="n"/>
      <c r="T458" s="1420" t="n"/>
      <c r="U458" s="1420" t="n"/>
      <c r="V458" s="1420" t="n"/>
      <c r="W458" s="1420" t="n"/>
      <c r="X458" s="1529" t="n"/>
      <c r="Y458" s="1420" t="n"/>
      <c r="Z458" s="1420" t="n"/>
      <c r="AA458" s="1420" t="n"/>
      <c r="AB458" s="1420" t="n"/>
      <c r="AC458" s="1529" t="n"/>
      <c r="AD458" s="1420" t="n"/>
      <c r="AE458" s="1420" t="n"/>
      <c r="AF458" s="1420" t="n"/>
      <c r="AG458" s="1420" t="n"/>
      <c r="AH458" s="1529" t="n"/>
      <c r="AI458" s="1420" t="n"/>
      <c r="AJ458" s="1420" t="n"/>
      <c r="AK458" s="1421" t="n"/>
      <c r="AL458" s="1420" t="n"/>
      <c r="AM458" s="1529" t="n"/>
      <c r="AN458" s="1420" t="n"/>
      <c r="AO458" s="1420" t="n"/>
      <c r="AP458" s="1420" t="n"/>
      <c r="AQ458" s="1420" t="n"/>
      <c r="AR458" s="1529" t="n"/>
      <c r="AS458" s="1529" t="n"/>
      <c r="AT458" s="1529" t="n"/>
      <c r="AU458" s="1529" t="n"/>
      <c r="AV458" s="1422" t="n"/>
    </row>
    <row r="459" ht="14.4" customFormat="1" customHeight="1" s="1418">
      <c r="A459" s="1530" t="inlineStr">
        <is>
          <t>Balance Sheet Summary</t>
        </is>
      </c>
      <c r="B459" s="1531" t="n"/>
      <c r="C459" s="1531" t="n"/>
      <c r="D459" s="1531" t="n"/>
      <c r="E459" s="1531" t="n"/>
      <c r="F459" s="1531" t="n"/>
      <c r="G459" s="1531" t="n"/>
      <c r="H459" s="1531" t="n"/>
      <c r="I459" s="1531" t="n"/>
      <c r="J459" s="1531" t="n"/>
      <c r="K459" s="1531" t="n"/>
      <c r="L459" s="1531" t="n"/>
      <c r="M459" s="1531" t="n"/>
      <c r="N459" s="1531" t="n"/>
      <c r="O459" s="1531" t="n"/>
      <c r="P459" s="1531" t="n"/>
      <c r="Q459" s="1531" t="n"/>
      <c r="R459" s="1531" t="n"/>
      <c r="S459" s="1531" t="n"/>
      <c r="T459" s="1531" t="n"/>
      <c r="U459" s="1531" t="n"/>
      <c r="V459" s="1531" t="n"/>
      <c r="W459" s="1531" t="n"/>
      <c r="X459" s="1531" t="n"/>
      <c r="Y459" s="1531" t="n"/>
      <c r="Z459" s="1531" t="n"/>
      <c r="AA459" s="1531" t="n"/>
      <c r="AB459" s="1531" t="n"/>
      <c r="AC459" s="1531" t="n"/>
      <c r="AD459" s="1531" t="n"/>
      <c r="AE459" s="1531" t="n"/>
      <c r="AF459" s="1531" t="n"/>
      <c r="AG459" s="1531" t="n"/>
      <c r="AH459" s="1531" t="n"/>
      <c r="AI459" s="1531" t="n"/>
      <c r="AJ459" s="1531" t="n"/>
      <c r="AK459" s="1533" t="n"/>
      <c r="AL459" s="1531" t="n"/>
      <c r="AM459" s="1531" t="n"/>
      <c r="AN459" s="1531" t="n"/>
      <c r="AO459" s="1531" t="n"/>
      <c r="AP459" s="1531" t="n"/>
      <c r="AQ459" s="1531" t="n"/>
      <c r="AR459" s="1531" t="n"/>
      <c r="AS459" s="1531" t="n"/>
      <c r="AT459" s="1531" t="n"/>
      <c r="AU459" s="1531" t="n"/>
      <c r="AV459" s="1422" t="n"/>
    </row>
    <row r="460" ht="14.4" customFormat="1" customHeight="1" s="1418">
      <c r="A460" s="1422" t="inlineStr">
        <is>
          <t>Cash</t>
        </is>
      </c>
      <c r="B460" s="1698" t="n"/>
      <c r="C460" s="1529" t="n"/>
      <c r="D460" s="1529" t="n"/>
      <c r="E460" s="1529" t="n"/>
      <c r="F460" s="1529" t="n"/>
      <c r="G460" s="1529" t="n"/>
      <c r="H460" s="1529" t="n"/>
      <c r="I460" s="1529" t="n"/>
      <c r="J460" s="1529" t="n"/>
      <c r="K460" s="1529" t="n"/>
      <c r="L460" s="1529" t="n"/>
      <c r="M460" s="1529" t="n"/>
      <c r="N460" s="1529" t="n"/>
      <c r="O460" s="1420" t="n"/>
      <c r="P460" s="1420" t="n"/>
      <c r="Q460" s="1420" t="n"/>
      <c r="R460" s="1420" t="n"/>
      <c r="S460" s="1529" t="n"/>
      <c r="T460" s="1420" t="n"/>
      <c r="U460" s="1420" t="n"/>
      <c r="V460" s="1420" t="n"/>
      <c r="W460" s="1420" t="n"/>
      <c r="X460" s="1529" t="n"/>
      <c r="Y460" s="1420" t="n"/>
      <c r="Z460" s="1420" t="n"/>
      <c r="AA460" s="1420" t="n"/>
      <c r="AB460" s="1422">
        <f>AB669+AB670+AB677+AB678+AB671</f>
        <v/>
      </c>
      <c r="AC460" s="1540">
        <f>AC669+AC670+AC677+AC678+AC671</f>
        <v/>
      </c>
      <c r="AD460" s="1420" t="n"/>
      <c r="AE460" s="1420" t="n"/>
      <c r="AF460" s="1422">
        <f>AF669+AF670+AF677+AF678+AF671</f>
        <v/>
      </c>
      <c r="AG460" s="1422">
        <f>AG669+AG670+AG677+AG678+AG671</f>
        <v/>
      </c>
      <c r="AH460" s="1540">
        <f>AH669+AH670+AH677+AH678+AH671</f>
        <v/>
      </c>
      <c r="AI460" s="1420">
        <f>AI669+AI670+AI677+AI678+AI671</f>
        <v/>
      </c>
      <c r="AJ460" s="1420">
        <f>AJ669+AJ670+AJ677+AJ678+AJ671</f>
        <v/>
      </c>
      <c r="AK460" s="1541">
        <f>AK669+AK670+AK677+AK678+AK671</f>
        <v/>
      </c>
      <c r="AL460" s="1422">
        <f>AL669+AL670+AL677+AL678+AL671</f>
        <v/>
      </c>
      <c r="AM460" s="1540">
        <f>AM669+AM670+AM677+AM678+AM671</f>
        <v/>
      </c>
      <c r="AN460" s="1422">
        <f>AN669+AN670+AN677+AN678+AN671</f>
        <v/>
      </c>
      <c r="AO460" s="1422">
        <f>AO669+AO670+AO677+AO678+AO671</f>
        <v/>
      </c>
      <c r="AP460" s="1422">
        <f>AP669+AP670+AP677+AP678+AP671</f>
        <v/>
      </c>
      <c r="AQ460" s="1422">
        <f>AQ669+AQ670+AQ677+AQ678+AQ671</f>
        <v/>
      </c>
      <c r="AR460" s="1540">
        <f>AR669+AR670+AR677+AR678+AR671</f>
        <v/>
      </c>
      <c r="AS460" s="1540">
        <f>AS669+AS670+AS677+AS678+AS671</f>
        <v/>
      </c>
      <c r="AT460" s="1540">
        <f>AT669+AT670+AT677+AT678+AT671</f>
        <v/>
      </c>
      <c r="AU460" s="1540">
        <f>AU669+AU670+AU677+AU678+AU671</f>
        <v/>
      </c>
      <c r="AV460" s="1422" t="n"/>
    </row>
    <row r="461" ht="14.4" customFormat="1" customHeight="1" s="1418">
      <c r="A461" s="1539" t="inlineStr">
        <is>
          <t>ST Debt</t>
        </is>
      </c>
      <c r="B461" s="1698" t="n"/>
      <c r="C461" s="1529" t="n"/>
      <c r="D461" s="1529" t="n"/>
      <c r="E461" s="1529" t="n"/>
      <c r="F461" s="1529" t="n"/>
      <c r="G461" s="1529" t="n"/>
      <c r="H461" s="1529" t="n"/>
      <c r="I461" s="1529" t="n"/>
      <c r="J461" s="1529" t="n"/>
      <c r="K461" s="1529" t="n"/>
      <c r="L461" s="1529" t="n"/>
      <c r="M461" s="1529" t="n"/>
      <c r="N461" s="1529" t="n"/>
      <c r="O461" s="1420" t="n"/>
      <c r="P461" s="1420" t="n"/>
      <c r="Q461" s="1420" t="n"/>
      <c r="R461" s="1420" t="n"/>
      <c r="S461" s="1529" t="n"/>
      <c r="T461" s="1420" t="n"/>
      <c r="U461" s="1420" t="n"/>
      <c r="V461" s="1420" t="n"/>
      <c r="W461" s="1420" t="n"/>
      <c r="X461" s="1529" t="n"/>
      <c r="Y461" s="1420" t="n"/>
      <c r="Z461" s="1420" t="n"/>
      <c r="AA461" s="1420" t="n"/>
      <c r="AB461" s="1422">
        <f>AB697+AB700</f>
        <v/>
      </c>
      <c r="AC461" s="1540">
        <f>AC697+AC700</f>
        <v/>
      </c>
      <c r="AD461" s="1420" t="n"/>
      <c r="AE461" s="1420" t="n"/>
      <c r="AF461" s="1422">
        <f>AF697+AF700</f>
        <v/>
      </c>
      <c r="AG461" s="1422">
        <f>AG697+AG700</f>
        <v/>
      </c>
      <c r="AH461" s="1540">
        <f>AH697+AH700</f>
        <v/>
      </c>
      <c r="AI461" s="1420">
        <f>AI697+AI700</f>
        <v/>
      </c>
      <c r="AJ461" s="1420">
        <f>AJ697+AJ700</f>
        <v/>
      </c>
      <c r="AK461" s="1541">
        <f>AK697+AK700</f>
        <v/>
      </c>
      <c r="AL461" s="1420">
        <f>AL463-AL462</f>
        <v/>
      </c>
      <c r="AM461" s="1529">
        <f>AM697+AM700</f>
        <v/>
      </c>
      <c r="AN461" s="1420">
        <f>AN463-AN462</f>
        <v/>
      </c>
      <c r="AO461" s="1420">
        <f>AO463-AO462</f>
        <v/>
      </c>
      <c r="AP461" s="1420">
        <f>AP463-AP462</f>
        <v/>
      </c>
      <c r="AQ461" s="1420">
        <f>AQ463-AQ462</f>
        <v/>
      </c>
      <c r="AR461" s="1529">
        <f>AR697+AR700</f>
        <v/>
      </c>
      <c r="AS461" s="1529">
        <f>AS463-AS462</f>
        <v/>
      </c>
      <c r="AT461" s="1529">
        <f>AT463-AT462</f>
        <v/>
      </c>
      <c r="AU461" s="1529">
        <f>AU463-AU462</f>
        <v/>
      </c>
      <c r="AV461" s="1422" t="n"/>
    </row>
    <row r="462" ht="14.4" customFormat="1" customHeight="1" s="1418">
      <c r="A462" s="1539" t="inlineStr">
        <is>
          <t>LT Debt</t>
        </is>
      </c>
      <c r="B462" s="1698" t="n"/>
      <c r="C462" s="1529" t="n"/>
      <c r="D462" s="1529" t="n"/>
      <c r="E462" s="1529" t="n"/>
      <c r="F462" s="1529" t="n"/>
      <c r="G462" s="1529" t="n"/>
      <c r="H462" s="1529" t="n"/>
      <c r="I462" s="1529" t="n"/>
      <c r="J462" s="1529" t="n"/>
      <c r="K462" s="1529" t="n"/>
      <c r="L462" s="1529" t="n"/>
      <c r="M462" s="1529" t="n"/>
      <c r="N462" s="1529" t="n"/>
      <c r="O462" s="1420" t="n"/>
      <c r="P462" s="1420" t="n"/>
      <c r="Q462" s="1420" t="n"/>
      <c r="R462" s="1420" t="n"/>
      <c r="S462" s="1529" t="n"/>
      <c r="T462" s="1420" t="n"/>
      <c r="U462" s="1420" t="n"/>
      <c r="V462" s="1420" t="n"/>
      <c r="W462" s="1420" t="n"/>
      <c r="X462" s="1529" t="n"/>
      <c r="Y462" s="1420" t="n"/>
      <c r="Z462" s="1420" t="n"/>
      <c r="AA462" s="1420" t="n"/>
      <c r="AB462" s="1422">
        <f>AB705+AB709</f>
        <v/>
      </c>
      <c r="AC462" s="1540">
        <f>AC705+AC709</f>
        <v/>
      </c>
      <c r="AD462" s="1420" t="n"/>
      <c r="AE462" s="1420" t="n"/>
      <c r="AF462" s="1422">
        <f>AF705+AF709</f>
        <v/>
      </c>
      <c r="AG462" s="1422">
        <f>AG705+AG709</f>
        <v/>
      </c>
      <c r="AH462" s="1540">
        <f>AH705+AH709</f>
        <v/>
      </c>
      <c r="AI462" s="1420">
        <f>AI705+AI709</f>
        <v/>
      </c>
      <c r="AJ462" s="1420">
        <f>AJ705+AJ709</f>
        <v/>
      </c>
      <c r="AK462" s="1541">
        <f>AK705+AK709</f>
        <v/>
      </c>
      <c r="AL462" s="1420">
        <f>MAX(0,AK462+AL443)</f>
        <v/>
      </c>
      <c r="AM462" s="1529">
        <f>AM705+AM709</f>
        <v/>
      </c>
      <c r="AN462" s="1420">
        <f>MAX(0,AM462+AN443)</f>
        <v/>
      </c>
      <c r="AO462" s="1420">
        <f>MAX(0,AN462+AO443)</f>
        <v/>
      </c>
      <c r="AP462" s="1420">
        <f>MAX(0,AO462+AP443)</f>
        <v/>
      </c>
      <c r="AQ462" s="1420">
        <f>MAX(0,AP462+AQ443)</f>
        <v/>
      </c>
      <c r="AR462" s="1529">
        <f>AR705+AR709</f>
        <v/>
      </c>
      <c r="AS462" s="1529">
        <f>MAX(0,AR462+AS443)</f>
        <v/>
      </c>
      <c r="AT462" s="1529">
        <f>MAX(0,AS462+AT443)</f>
        <v/>
      </c>
      <c r="AU462" s="1529">
        <f>MAX(0,AT462+AU443)</f>
        <v/>
      </c>
      <c r="AV462" s="1422" t="n"/>
    </row>
    <row r="463" ht="14.4" customFormat="1" customHeight="1" s="1418">
      <c r="A463" s="1838" t="inlineStr">
        <is>
          <t>Debt</t>
        </is>
      </c>
      <c r="B463" s="1839" t="n"/>
      <c r="C463" s="1577" t="n"/>
      <c r="D463" s="1577" t="n"/>
      <c r="E463" s="1577" t="n"/>
      <c r="F463" s="1577" t="n"/>
      <c r="G463" s="1577" t="n"/>
      <c r="H463" s="1577" t="n"/>
      <c r="I463" s="1577" t="n"/>
      <c r="J463" s="1577" t="n"/>
      <c r="K463" s="1577" t="n"/>
      <c r="L463" s="1577" t="n"/>
      <c r="M463" s="1577" t="n"/>
      <c r="N463" s="1577" t="n"/>
      <c r="O463" s="1578" t="n"/>
      <c r="P463" s="1578" t="n"/>
      <c r="Q463" s="1578" t="n"/>
      <c r="R463" s="1578" t="n"/>
      <c r="S463" s="1577" t="n"/>
      <c r="T463" s="1578" t="n"/>
      <c r="U463" s="1578" t="n"/>
      <c r="V463" s="1578" t="n"/>
      <c r="W463" s="1578" t="n"/>
      <c r="X463" s="1577" t="n"/>
      <c r="Y463" s="1578" t="n"/>
      <c r="Z463" s="1578" t="n"/>
      <c r="AA463" s="1578" t="n"/>
      <c r="AB463" s="1838">
        <f>AB697+AB700+AB705+AB709</f>
        <v/>
      </c>
      <c r="AC463" s="1840">
        <f>AC697+AC700+AC705+AC709</f>
        <v/>
      </c>
      <c r="AD463" s="1578" t="n"/>
      <c r="AE463" s="1578" t="n"/>
      <c r="AF463" s="1838">
        <f>AF697+AF700+AF705+AF709</f>
        <v/>
      </c>
      <c r="AG463" s="1838">
        <f>AG697+AG700+AG705+AG709</f>
        <v/>
      </c>
      <c r="AH463" s="1840">
        <f>AH697+AH700+AH705+AH709</f>
        <v/>
      </c>
      <c r="AI463" s="1578">
        <f>AI697+AI700+AI705+AI709</f>
        <v/>
      </c>
      <c r="AJ463" s="1578">
        <f>AJ697+AJ700+AJ705+AJ709</f>
        <v/>
      </c>
      <c r="AK463" s="1841">
        <f>AK697+AK700+AK705+AK709</f>
        <v/>
      </c>
      <c r="AL463" s="1578">
        <f>AK463+AL443</f>
        <v/>
      </c>
      <c r="AM463" s="1577">
        <f>AM697+AM700+AM705+AM709</f>
        <v/>
      </c>
      <c r="AN463" s="1578">
        <f>AM463+AN443</f>
        <v/>
      </c>
      <c r="AO463" s="1578">
        <f>AN463+AO443</f>
        <v/>
      </c>
      <c r="AP463" s="1578">
        <f>AO463+AP443</f>
        <v/>
      </c>
      <c r="AQ463" s="1578">
        <f>AP463+AQ443</f>
        <v/>
      </c>
      <c r="AR463" s="1577">
        <f>AR697+AR700+AR705+AR709</f>
        <v/>
      </c>
      <c r="AS463" s="1577">
        <f>AR463+AS443</f>
        <v/>
      </c>
      <c r="AT463" s="1577">
        <f>AS463+AT443</f>
        <v/>
      </c>
      <c r="AU463" s="1577">
        <f>AT463+AU443</f>
        <v/>
      </c>
      <c r="AV463" s="1422" t="n"/>
    </row>
    <row r="464" ht="14.4" customFormat="1" customHeight="1" s="1418">
      <c r="A464" s="1422" t="inlineStr">
        <is>
          <t>Operating Lease Liabilities</t>
        </is>
      </c>
      <c r="B464" s="1698" t="n"/>
      <c r="C464" s="1529" t="n"/>
      <c r="D464" s="1529" t="n"/>
      <c r="E464" s="1529" t="n"/>
      <c r="F464" s="1529" t="n"/>
      <c r="G464" s="1529" t="n"/>
      <c r="H464" s="1529" t="n"/>
      <c r="I464" s="1529" t="n"/>
      <c r="J464" s="1529" t="n"/>
      <c r="K464" s="1529" t="n"/>
      <c r="L464" s="1529" t="n"/>
      <c r="M464" s="1529" t="n"/>
      <c r="N464" s="1529" t="n"/>
      <c r="O464" s="1420" t="n"/>
      <c r="P464" s="1420" t="n"/>
      <c r="Q464" s="1420" t="n"/>
      <c r="R464" s="1420" t="n"/>
      <c r="S464" s="1529" t="n"/>
      <c r="T464" s="1420" t="n"/>
      <c r="U464" s="1420" t="n"/>
      <c r="V464" s="1420" t="n"/>
      <c r="W464" s="1420" t="n"/>
      <c r="X464" s="1529" t="n"/>
      <c r="Y464" s="1420" t="n"/>
      <c r="Z464" s="1420" t="n"/>
      <c r="AA464" s="1420" t="n"/>
      <c r="AB464" s="1422">
        <f>AB699+AB708</f>
        <v/>
      </c>
      <c r="AC464" s="1540">
        <f>AC699+AC708</f>
        <v/>
      </c>
      <c r="AD464" s="1420" t="n"/>
      <c r="AE464" s="1420" t="n"/>
      <c r="AF464" s="1422">
        <f>AF699+AF708</f>
        <v/>
      </c>
      <c r="AG464" s="1422">
        <f>AG699+AG708</f>
        <v/>
      </c>
      <c r="AH464" s="1540">
        <f>AH699+AH708</f>
        <v/>
      </c>
      <c r="AI464" s="1420">
        <f>AI699+AI708</f>
        <v/>
      </c>
      <c r="AJ464" s="1420">
        <f>AJ699+AJ708</f>
        <v/>
      </c>
      <c r="AK464" s="1541">
        <f>AK699+AK708</f>
        <v/>
      </c>
      <c r="AL464" s="1422">
        <f>AL699+AL708</f>
        <v/>
      </c>
      <c r="AM464" s="1540">
        <f>AM699+AM708</f>
        <v/>
      </c>
      <c r="AN464" s="1422">
        <f>AN699+AN708</f>
        <v/>
      </c>
      <c r="AO464" s="1422">
        <f>AO699+AO708</f>
        <v/>
      </c>
      <c r="AP464" s="1422">
        <f>AP699+AP708</f>
        <v/>
      </c>
      <c r="AQ464" s="1422">
        <f>AQ699+AQ708</f>
        <v/>
      </c>
      <c r="AR464" s="1540">
        <f>AR699+AR708</f>
        <v/>
      </c>
      <c r="AS464" s="1540">
        <f>AS699+AS708</f>
        <v/>
      </c>
      <c r="AT464" s="1540">
        <f>AT699+AT708</f>
        <v/>
      </c>
      <c r="AU464" s="1540">
        <f>AU699+AU708</f>
        <v/>
      </c>
      <c r="AV464" s="1422" t="n"/>
    </row>
    <row r="465" ht="14.4" customFormat="1" customHeight="1" s="1418">
      <c r="A465" s="1422" t="inlineStr">
        <is>
          <t>Net Debt</t>
        </is>
      </c>
      <c r="B465" s="1698" t="n"/>
      <c r="C465" s="1529" t="n"/>
      <c r="D465" s="1529" t="n"/>
      <c r="E465" s="1529" t="n"/>
      <c r="F465" s="1529" t="n"/>
      <c r="G465" s="1529" t="n"/>
      <c r="H465" s="1529" t="n"/>
      <c r="I465" s="1529" t="n"/>
      <c r="J465" s="1529" t="n"/>
      <c r="K465" s="1529" t="n"/>
      <c r="L465" s="1529" t="n"/>
      <c r="M465" s="1529" t="n"/>
      <c r="N465" s="1529" t="n"/>
      <c r="O465" s="1420" t="n"/>
      <c r="P465" s="1420" t="n"/>
      <c r="Q465" s="1420" t="n"/>
      <c r="R465" s="1420" t="n"/>
      <c r="S465" s="1529" t="n"/>
      <c r="T465" s="1420" t="n"/>
      <c r="U465" s="1420" t="n"/>
      <c r="V465" s="1420" t="n"/>
      <c r="W465" s="1420" t="n"/>
      <c r="X465" s="1529" t="n"/>
      <c r="Y465" s="1420" t="n"/>
      <c r="Z465" s="1420" t="n"/>
      <c r="AA465" s="1420" t="n"/>
      <c r="AB465" s="1422">
        <f>AB463+AB464-AB460</f>
        <v/>
      </c>
      <c r="AC465" s="1540">
        <f>AC463+AC464-AC460</f>
        <v/>
      </c>
      <c r="AD465" s="1420" t="n"/>
      <c r="AE465" s="1420" t="n"/>
      <c r="AF465" s="1422">
        <f>AF463+AF464-AF460</f>
        <v/>
      </c>
      <c r="AG465" s="1422">
        <f>AG463+AG464-AG460</f>
        <v/>
      </c>
      <c r="AH465" s="1540">
        <f>AH463+AH464-AH460</f>
        <v/>
      </c>
      <c r="AI465" s="1420">
        <f>AI463+AI464-AI460</f>
        <v/>
      </c>
      <c r="AJ465" s="1420">
        <f>AJ463+AJ464-AJ460</f>
        <v/>
      </c>
      <c r="AK465" s="1541">
        <f>AK463+AK464-AK460</f>
        <v/>
      </c>
      <c r="AL465" s="1420">
        <f>AL463+AL464-AL460</f>
        <v/>
      </c>
      <c r="AM465" s="1529">
        <f>AM463+AM464-AM460</f>
        <v/>
      </c>
      <c r="AN465" s="1420">
        <f>AN463+AN464-AN460</f>
        <v/>
      </c>
      <c r="AO465" s="1420">
        <f>AO463+AO464-AO460</f>
        <v/>
      </c>
      <c r="AP465" s="1420">
        <f>AP463+AP464-AP460</f>
        <v/>
      </c>
      <c r="AQ465" s="1420">
        <f>AQ463+AQ464-AQ460</f>
        <v/>
      </c>
      <c r="AR465" s="1529">
        <f>AR463+AR464-AR460</f>
        <v/>
      </c>
      <c r="AS465" s="1529">
        <f>AS463+AS464-AS460</f>
        <v/>
      </c>
      <c r="AT465" s="1529">
        <f>AT463+AT464-AT460</f>
        <v/>
      </c>
      <c r="AU465" s="1529">
        <f>AU463+AU464-AU460</f>
        <v/>
      </c>
      <c r="AV465" s="1422" t="n"/>
    </row>
    <row r="466" ht="14.4" customFormat="1" customHeight="1" s="1418">
      <c r="A466" s="1420" t="n"/>
      <c r="B466" s="1698" t="n"/>
      <c r="C466" s="1529" t="n"/>
      <c r="D466" s="1529" t="n"/>
      <c r="E466" s="1529" t="n"/>
      <c r="F466" s="1529" t="n"/>
      <c r="G466" s="1529" t="n"/>
      <c r="H466" s="1529" t="n"/>
      <c r="I466" s="1529" t="n"/>
      <c r="J466" s="1529" t="n"/>
      <c r="K466" s="1529" t="n"/>
      <c r="L466" s="1529" t="n"/>
      <c r="M466" s="1529" t="n"/>
      <c r="N466" s="1529" t="n"/>
      <c r="O466" s="1420" t="n"/>
      <c r="P466" s="1420" t="n"/>
      <c r="Q466" s="1420" t="n"/>
      <c r="R466" s="1420" t="n"/>
      <c r="S466" s="1529" t="n"/>
      <c r="T466" s="1420" t="n"/>
      <c r="U466" s="1420" t="n"/>
      <c r="V466" s="1420" t="n"/>
      <c r="W466" s="1420" t="n"/>
      <c r="X466" s="1529" t="n"/>
      <c r="Y466" s="1420" t="n"/>
      <c r="Z466" s="1420" t="n"/>
      <c r="AA466" s="1420" t="n"/>
      <c r="AB466" s="1420" t="n"/>
      <c r="AC466" s="1529" t="n"/>
      <c r="AD466" s="1420" t="n"/>
      <c r="AE466" s="1420" t="n"/>
      <c r="AF466" s="1420" t="n"/>
      <c r="AG466" s="1420" t="n"/>
      <c r="AH466" s="1529" t="n"/>
      <c r="AI466" s="1420" t="n"/>
      <c r="AJ466" s="1420" t="n"/>
      <c r="AK466" s="1421" t="n"/>
      <c r="AL466" s="1420" t="n"/>
      <c r="AM466" s="1529" t="n"/>
      <c r="AN466" s="1420" t="n"/>
      <c r="AO466" s="1420" t="n"/>
      <c r="AP466" s="1420" t="n"/>
      <c r="AQ466" s="1420" t="n"/>
      <c r="AR466" s="1529" t="n"/>
      <c r="AS466" s="1529" t="n"/>
      <c r="AT466" s="1529" t="n"/>
      <c r="AU466" s="1529" t="n"/>
      <c r="AV466" s="1422" t="n"/>
    </row>
    <row r="467" ht="14.4" customFormat="1" customHeight="1" s="1418">
      <c r="A467" s="1422" t="inlineStr">
        <is>
          <t>Interest Expense</t>
        </is>
      </c>
      <c r="B467" s="1698" t="n"/>
      <c r="C467" s="1469" t="n"/>
      <c r="D467" s="1469" t="n"/>
      <c r="E467" s="1469" t="n"/>
      <c r="F467" s="1469" t="n"/>
      <c r="G467" s="1469" t="n"/>
      <c r="H467" s="1469" t="n"/>
      <c r="I467" s="1469" t="n"/>
      <c r="J467" s="1469" t="n"/>
      <c r="K467" s="1469" t="n"/>
      <c r="L467" s="1469" t="n"/>
      <c r="M467" s="1469" t="n"/>
      <c r="N467" s="1469" t="n"/>
      <c r="O467" s="1470" t="n"/>
      <c r="P467" s="1470" t="n"/>
      <c r="Q467" s="1470" t="n"/>
      <c r="R467" s="1470" t="n"/>
      <c r="S467" s="1469" t="n"/>
      <c r="T467" s="1470" t="n"/>
      <c r="U467" s="1470" t="n"/>
      <c r="V467" s="1470" t="n"/>
      <c r="W467" s="1470" t="n"/>
      <c r="X467" s="1469" t="n"/>
      <c r="Y467" s="1470" t="n"/>
      <c r="Z467" s="1470" t="n"/>
      <c r="AA467" s="1470" t="n"/>
      <c r="AB467" s="1470" t="n"/>
      <c r="AC467" s="1469" t="n"/>
      <c r="AD467" s="1470" t="n"/>
      <c r="AE467" s="1470" t="n"/>
      <c r="AF467" s="1470" t="n"/>
      <c r="AG467" s="1470" t="n"/>
      <c r="AH467" s="1469" t="n"/>
      <c r="AI467" s="1470" t="n"/>
      <c r="AJ467" s="1470" t="n"/>
      <c r="AK467" s="1471" t="n"/>
      <c r="AL467" s="1470">
        <f>MAX(0,AL468*AVERAGE(AK463,AL463)*AL3/AM3)</f>
        <v/>
      </c>
      <c r="AM467" s="1469">
        <f>IF(OR(ISBLANK(AI467),ISBLANK(AJ467),ISBLANK(AK467),ISBLANK(AL467)),"n/a",SUM(AI467,AJ467,AK467,AL467))</f>
        <v/>
      </c>
      <c r="AN467" s="1470">
        <f>MAX(0,AN468*AVERAGE(AM463,AN463)*AN3/AR3)</f>
        <v/>
      </c>
      <c r="AO467" s="1470">
        <f>MAX(0,AO468*AVERAGE(AN463,AO463)*AO3/AR3)</f>
        <v/>
      </c>
      <c r="AP467" s="1470">
        <f>MAX(0,AP468*AVERAGE(AO463,AP463)*AP3/AR3)</f>
        <v/>
      </c>
      <c r="AQ467" s="1470">
        <f>MAX(0,AQ468*AVERAGE(AP463,AQ463)*AQ3/AR3)</f>
        <v/>
      </c>
      <c r="AR467" s="1469">
        <f>IF(OR(ISBLANK(AN467),ISBLANK(AO467),ISBLANK(AP467),ISBLANK(AQ467)),"n/a",SUM(AN467,AO467,AP467,AQ467))</f>
        <v/>
      </c>
      <c r="AS467" s="1469">
        <f>MAX(0,AS468*AVERAGE(AR463,AS463))</f>
        <v/>
      </c>
      <c r="AT467" s="1469">
        <f>MAX(0,AT468*AVERAGE(AS463,AT463))</f>
        <v/>
      </c>
      <c r="AU467" s="1469">
        <f>MAX(0,AU468*AVERAGE(AT463,AU463))</f>
        <v/>
      </c>
      <c r="AV467" s="1422" t="n"/>
    </row>
    <row r="468" ht="14.4" customFormat="1" customHeight="1" s="1418">
      <c r="A468" s="1446" t="inlineStr">
        <is>
          <t>Effective Interest Rate on Debt</t>
        </is>
      </c>
      <c r="B468" s="1695" t="n"/>
      <c r="C468" s="1656" t="n"/>
      <c r="D468" s="1656" t="n"/>
      <c r="E468" s="1656" t="n"/>
      <c r="F468" s="1656" t="n"/>
      <c r="G468" s="1656" t="n"/>
      <c r="H468" s="1656" t="n"/>
      <c r="I468" s="1656" t="n"/>
      <c r="J468" s="1656" t="n"/>
      <c r="K468" s="1656" t="n"/>
      <c r="L468" s="1656" t="n"/>
      <c r="M468" s="1656" t="n"/>
      <c r="N468" s="1656" t="n"/>
      <c r="O468" s="1657" t="n"/>
      <c r="P468" s="1657" t="n"/>
      <c r="Q468" s="1657" t="n"/>
      <c r="R468" s="1657" t="n"/>
      <c r="S468" s="1656" t="n"/>
      <c r="T468" s="1657" t="n"/>
      <c r="U468" s="1657" t="n"/>
      <c r="V468" s="1657" t="n"/>
      <c r="W468" s="1657" t="n"/>
      <c r="X468" s="1656" t="n"/>
      <c r="Y468" s="1657" t="n"/>
      <c r="Z468" s="1657" t="n"/>
      <c r="AA468" s="1657" t="n"/>
      <c r="AB468" s="1657" t="n"/>
      <c r="AC468" s="1656" t="n"/>
      <c r="AD468" s="1657" t="n"/>
      <c r="AE468" s="1657" t="n"/>
      <c r="AF468" s="1657" t="n"/>
      <c r="AG468" s="1657" t="n"/>
      <c r="AH468" s="1656" t="n"/>
      <c r="AI468" s="1657" t="n"/>
      <c r="AJ468" s="1657" t="n"/>
      <c r="AK468" s="1658" t="n"/>
      <c r="AL468" s="1746" t="n">
        <v>0.11</v>
      </c>
      <c r="AM468" s="1656">
        <f>IFERROR(AM467/AVERAGE(AI463,AJ463,AK463,AL463),"n/a")</f>
        <v/>
      </c>
      <c r="AN468" s="1746" t="n">
        <v>0.13</v>
      </c>
      <c r="AO468" s="1746" t="n">
        <v>0.13</v>
      </c>
      <c r="AP468" s="1746" t="n">
        <v>0.13</v>
      </c>
      <c r="AQ468" s="1746" t="n">
        <v>0.13</v>
      </c>
      <c r="AR468" s="1656">
        <f>IFERROR(AR467/AVERAGE(AN463,AO463,AP463,AQ463),"n/a")</f>
        <v/>
      </c>
      <c r="AS468" s="1747" t="n">
        <v>0.13</v>
      </c>
      <c r="AT468" s="1747" t="n">
        <v>0.13</v>
      </c>
      <c r="AU468" s="1747" t="n">
        <v>0.13</v>
      </c>
      <c r="AV468" s="1422" t="n"/>
    </row>
    <row r="469" ht="14.4" customFormat="1" customHeight="1" s="1418">
      <c r="A469" s="1420" t="inlineStr">
        <is>
          <t>Interest Income</t>
        </is>
      </c>
      <c r="B469" s="1698" t="n"/>
      <c r="C469" s="1469" t="n"/>
      <c r="D469" s="1469" t="n"/>
      <c r="E469" s="1469" t="n"/>
      <c r="F469" s="1469" t="n"/>
      <c r="G469" s="1469" t="n"/>
      <c r="H469" s="1469" t="n"/>
      <c r="I469" s="1469" t="n"/>
      <c r="J469" s="1469" t="n"/>
      <c r="K469" s="1469" t="n"/>
      <c r="L469" s="1469" t="n"/>
      <c r="M469" s="1469" t="n"/>
      <c r="N469" s="1469" t="n"/>
      <c r="O469" s="1470" t="n"/>
      <c r="P469" s="1470" t="n"/>
      <c r="Q469" s="1470" t="n"/>
      <c r="R469" s="1470" t="n"/>
      <c r="S469" s="1469" t="n"/>
      <c r="T469" s="1470" t="n"/>
      <c r="U469" s="1470" t="n"/>
      <c r="V469" s="1470" t="n"/>
      <c r="W469" s="1470" t="n"/>
      <c r="X469" s="1469" t="n"/>
      <c r="Y469" s="1470" t="n"/>
      <c r="Z469" s="1470" t="n"/>
      <c r="AA469" s="1470" t="n"/>
      <c r="AB469" s="1470" t="n"/>
      <c r="AC469" s="1469" t="n"/>
      <c r="AD469" s="1470" t="n"/>
      <c r="AE469" s="1470" t="n"/>
      <c r="AF469" s="1470" t="n"/>
      <c r="AG469" s="1470" t="n"/>
      <c r="AH469" s="1469" t="n"/>
      <c r="AI469" s="1470" t="n"/>
      <c r="AJ469" s="1470" t="n"/>
      <c r="AK469" s="1471" t="n"/>
      <c r="AL469" s="1470">
        <f>MAX(0,AL470*AK460*AL3/AM3)</f>
        <v/>
      </c>
      <c r="AM469" s="1469">
        <f>IF(OR(ISBLANK(AI469),ISBLANK(AJ469),ISBLANK(AK469),ISBLANK(AL469)),"n/a",SUM(AI469,AJ469,AK469,AL469))</f>
        <v/>
      </c>
      <c r="AN469" s="1470">
        <f>MAX(0,AN470*AM460*AN3/AR3)</f>
        <v/>
      </c>
      <c r="AO469" s="1470">
        <f>MAX(0,AO470*AN460*AO3/AR3)</f>
        <v/>
      </c>
      <c r="AP469" s="1470">
        <f>MAX(0,AP470*AO460*AP3/AR3)</f>
        <v/>
      </c>
      <c r="AQ469" s="1470">
        <f>MAX(0,AQ470*AP460*AQ3/AR3)</f>
        <v/>
      </c>
      <c r="AR469" s="1469">
        <f>IF(OR(ISBLANK(AN469),ISBLANK(AO469),ISBLANK(AP469),ISBLANK(AQ469)),"n/a",SUM(AN469,AO469,AP469,AQ469))</f>
        <v/>
      </c>
      <c r="AS469" s="1469">
        <f>MAX(0,AS470*AR460)</f>
        <v/>
      </c>
      <c r="AT469" s="1469">
        <f>MAX(0,AT470*AS460)</f>
        <v/>
      </c>
      <c r="AU469" s="1469">
        <f>MAX(0,AU470*AT460)</f>
        <v/>
      </c>
      <c r="AV469" s="1422" t="n"/>
    </row>
    <row r="470" ht="14.4" customFormat="1" customHeight="1" s="1418">
      <c r="A470" s="1536" t="inlineStr">
        <is>
          <t>Effective Interest Rate on Cash</t>
        </is>
      </c>
      <c r="B470" s="1695" t="n"/>
      <c r="C470" s="1656" t="n"/>
      <c r="D470" s="1656" t="n"/>
      <c r="E470" s="1656" t="n"/>
      <c r="F470" s="1656" t="n"/>
      <c r="G470" s="1656" t="n"/>
      <c r="H470" s="1656" t="n"/>
      <c r="I470" s="1656" t="n"/>
      <c r="J470" s="1656" t="n"/>
      <c r="K470" s="1656" t="n"/>
      <c r="L470" s="1656" t="n"/>
      <c r="M470" s="1656" t="n"/>
      <c r="N470" s="1656" t="n"/>
      <c r="O470" s="1657" t="n"/>
      <c r="P470" s="1657" t="n"/>
      <c r="Q470" s="1657" t="n"/>
      <c r="R470" s="1657" t="n"/>
      <c r="S470" s="1656" t="n"/>
      <c r="T470" s="1657" t="n"/>
      <c r="U470" s="1657" t="n"/>
      <c r="V470" s="1657" t="n"/>
      <c r="W470" s="1657" t="n"/>
      <c r="X470" s="1656" t="n"/>
      <c r="Y470" s="1657" t="n"/>
      <c r="Z470" s="1657" t="n"/>
      <c r="AA470" s="1657" t="n"/>
      <c r="AB470" s="1657" t="n"/>
      <c r="AC470" s="1656" t="n"/>
      <c r="AD470" s="1657" t="n"/>
      <c r="AE470" s="1657" t="n"/>
      <c r="AF470" s="1657" t="n"/>
      <c r="AG470" s="1657" t="n"/>
      <c r="AH470" s="1656" t="n"/>
      <c r="AI470" s="1657" t="n"/>
      <c r="AJ470" s="1657" t="n"/>
      <c r="AK470" s="1658" t="n"/>
      <c r="AL470" s="1746" t="n">
        <v>0.005</v>
      </c>
      <c r="AM470" s="1656">
        <f>IFERROR(AM469/AVERAGE(AI460,AJ460,AK460,AL460),"n/a")</f>
        <v/>
      </c>
      <c r="AN470" s="1746" t="n">
        <v>0.005</v>
      </c>
      <c r="AO470" s="1746" t="n">
        <v>0.005</v>
      </c>
      <c r="AP470" s="1746" t="n">
        <v>0.005</v>
      </c>
      <c r="AQ470" s="1746" t="n">
        <v>0.005</v>
      </c>
      <c r="AR470" s="1656">
        <f>IFERROR(AR469/AVERAGE(AN460,AO460,AP460,AQ460),"n/a")</f>
        <v/>
      </c>
      <c r="AS470" s="1747" t="n">
        <v>0.005</v>
      </c>
      <c r="AT470" s="1747" t="n">
        <v>0.005</v>
      </c>
      <c r="AU470" s="1747" t="n">
        <v>0.005</v>
      </c>
      <c r="AV470" s="1422" t="n"/>
    </row>
    <row r="471" hidden="1" outlineLevel="1" ht="14.4" customFormat="1" customHeight="1" s="1418">
      <c r="A471" s="1420" t="inlineStr">
        <is>
          <t>Net Interest Expense (Income)</t>
        </is>
      </c>
      <c r="B471" s="1698" t="n"/>
      <c r="C471" s="1469" t="n"/>
      <c r="D471" s="1469" t="n"/>
      <c r="E471" s="1469" t="n"/>
      <c r="F471" s="1469" t="n"/>
      <c r="G471" s="1469" t="n"/>
      <c r="H471" s="1469" t="n"/>
      <c r="I471" s="1469" t="n"/>
      <c r="J471" s="1469" t="n"/>
      <c r="K471" s="1469" t="n"/>
      <c r="L471" s="1469" t="n"/>
      <c r="M471" s="1469" t="n"/>
      <c r="N471" s="1469" t="n"/>
      <c r="O471" s="1470" t="n"/>
      <c r="P471" s="1470" t="n"/>
      <c r="Q471" s="1470" t="n"/>
      <c r="R471" s="1470" t="n"/>
      <c r="S471" s="1469" t="n"/>
      <c r="T471" s="1470" t="n"/>
      <c r="U471" s="1470" t="n"/>
      <c r="V471" s="1470" t="n"/>
      <c r="W471" s="1470" t="n"/>
      <c r="X471" s="1469">
        <f>X369</f>
        <v/>
      </c>
      <c r="Y471" s="1470" t="n"/>
      <c r="Z471" s="1470" t="n"/>
      <c r="AA471" s="1470">
        <f>AA369</f>
        <v/>
      </c>
      <c r="AB471" s="1470">
        <f>AB369</f>
        <v/>
      </c>
      <c r="AC471" s="1469">
        <f>AC369</f>
        <v/>
      </c>
      <c r="AD471" s="1470">
        <f>AD369</f>
        <v/>
      </c>
      <c r="AE471" s="1470">
        <f>AE369</f>
        <v/>
      </c>
      <c r="AF471" s="1470">
        <f>AF369</f>
        <v/>
      </c>
      <c r="AG471" s="1470">
        <f>AG369</f>
        <v/>
      </c>
      <c r="AH471" s="1469">
        <f>AH369</f>
        <v/>
      </c>
      <c r="AI471" s="1470">
        <f>AI369</f>
        <v/>
      </c>
      <c r="AJ471" s="1470">
        <f>AJ369</f>
        <v/>
      </c>
      <c r="AK471" s="1471">
        <f>AK369</f>
        <v/>
      </c>
      <c r="AL471" s="1470">
        <f>IFERROR(AL467-AL469,"n/a")</f>
        <v/>
      </c>
      <c r="AM471" s="1469">
        <f>SUM(AI471,AJ471,AK471,AL471)</f>
        <v/>
      </c>
      <c r="AN471" s="1470">
        <f>IFERROR(AN467-AN469,"n/a")</f>
        <v/>
      </c>
      <c r="AO471" s="1470">
        <f>IFERROR(AO467-AO469,"n/a")</f>
        <v/>
      </c>
      <c r="AP471" s="1470">
        <f>IFERROR(AP467-AP469,"n/a")</f>
        <v/>
      </c>
      <c r="AQ471" s="1470">
        <f>IFERROR(AQ467-AQ469,"n/a")</f>
        <v/>
      </c>
      <c r="AR471" s="1469">
        <f>SUM(AN471,AO471,AP471,AQ471)</f>
        <v/>
      </c>
      <c r="AS471" s="1469">
        <f>IFERROR(AS467-AS469,"n/a")</f>
        <v/>
      </c>
      <c r="AT471" s="1469">
        <f>IFERROR(AT467-AT469,"n/a")</f>
        <v/>
      </c>
      <c r="AU471" s="1469">
        <f>IFERROR(AU467-AU469,"n/a")</f>
        <v/>
      </c>
      <c r="AV471" s="1422" t="n"/>
    </row>
    <row r="472" hidden="1" outlineLevel="1" ht="14.4" customFormat="1" customHeight="1" s="1418">
      <c r="A472" s="1536" t="inlineStr">
        <is>
          <t>Effective Net Interest Rate on Debt</t>
        </is>
      </c>
      <c r="B472" s="1695" t="n"/>
      <c r="C472" s="1656" t="n"/>
      <c r="D472" s="1656" t="n"/>
      <c r="E472" s="1656" t="n"/>
      <c r="F472" s="1656" t="n"/>
      <c r="G472" s="1656" t="n"/>
      <c r="H472" s="1656" t="n"/>
      <c r="I472" s="1656" t="n"/>
      <c r="J472" s="1656" t="n"/>
      <c r="K472" s="1656" t="n"/>
      <c r="L472" s="1656" t="n"/>
      <c r="M472" s="1656" t="n"/>
      <c r="N472" s="1656" t="n"/>
      <c r="O472" s="1657" t="n"/>
      <c r="P472" s="1657" t="n"/>
      <c r="Q472" s="1657" t="n"/>
      <c r="R472" s="1657" t="n"/>
      <c r="S472" s="1656" t="n"/>
      <c r="T472" s="1657" t="n"/>
      <c r="U472" s="1657" t="n"/>
      <c r="V472" s="1657" t="n"/>
      <c r="W472" s="1657" t="n"/>
      <c r="X472" s="1656" t="n"/>
      <c r="Y472" s="1657" t="n"/>
      <c r="Z472" s="1657" t="n"/>
      <c r="AA472" s="1657" t="n"/>
      <c r="AB472" s="1657" t="n"/>
      <c r="AC472" s="1656" t="n"/>
      <c r="AD472" s="1657" t="n"/>
      <c r="AE472" s="1657" t="n"/>
      <c r="AF472" s="1657" t="n"/>
      <c r="AG472" s="1657">
        <f>IFERROR(IF(AG471/AVERAGE(AF463,AG463)&lt;0,"n/a",AG471/AVERAGE(AF463,AG463)*AH3/AG3),"n/a")</f>
        <v/>
      </c>
      <c r="AH472" s="1656">
        <f>IFERROR(IF(AH471/AVERAGE(AC463,AH463)&lt;0,"n/a",AH471/AVERAGE(AC463,AH463)),"n/a")</f>
        <v/>
      </c>
      <c r="AI472" s="1657">
        <f>IFERROR(IF(AI471/AVERAGE(AH463,AI463)&lt;0,"n/a",AI471/AVERAGE(AH463,AI463)*AM3/AI3),"n/a")</f>
        <v/>
      </c>
      <c r="AJ472" s="1657">
        <f>IFERROR(IF(AJ471/AVERAGE(AI463,AJ463)&lt;0,"n/a",AJ471/AVERAGE(AI463,AJ463)*AM3/AJ3),"n/a")</f>
        <v/>
      </c>
      <c r="AK472" s="1658">
        <f>IFERROR(IF(AK471/AVERAGE(AJ463,AK463)&lt;0,"n/a",AK471/AVERAGE(AJ463,AK463)*AM3/AK3),"n/a")</f>
        <v/>
      </c>
      <c r="AL472" s="1657">
        <f>IFERROR(IF(AL471/AVERAGE(AK463,AL463)&lt;0,"n/a",AL471/AVERAGE(AK463,AL463)*AM3/AL3),"n/a")</f>
        <v/>
      </c>
      <c r="AM472" s="1656">
        <f>IFERROR(IF(AM471/AVERAGE(AI463,AJ463,AK463,AL463)&lt;0,"n/a",AM471/AVERAGE(AI463,AJ463,AK463,AL463)),"n/a")</f>
        <v/>
      </c>
      <c r="AN472" s="1657">
        <f>IFERROR(IF(AN471/AVERAGE(AM463,AN463)&lt;0,"n/a",AN471/AVERAGE(AM463,AN463)*AR3/AN3),"n/a")</f>
        <v/>
      </c>
      <c r="AO472" s="1657">
        <f>IFERROR(IF(AO471/AVERAGE(AN463,AO463)&lt;0,"n/a",AO471/AVERAGE(AN463,AO463)*AR3/AO3),"n/a")</f>
        <v/>
      </c>
      <c r="AP472" s="1657">
        <f>IFERROR(IF(AP471/AVERAGE(AO463,AP463)&lt;0,"n/a",AP471/AVERAGE(AO463,AP463)*AR3/AP3),"n/a")</f>
        <v/>
      </c>
      <c r="AQ472" s="1657">
        <f>IFERROR(IF(AQ471/AVERAGE(AP463,AQ463)&lt;0,"n/a",AQ471/AVERAGE(AP463,AQ463)*AR3/AQ3),"n/a")</f>
        <v/>
      </c>
      <c r="AR472" s="1656">
        <f>IFERROR(IF(AR471/AVERAGE(AN463,AO463,AP463,AQ463)&lt;0,"n/a",AR471/AVERAGE(AN463,AO463,AP463,AQ463)),"n/a")</f>
        <v/>
      </c>
      <c r="AS472" s="1656">
        <f>IFERROR(IF(AS471/AVERAGE(AR463,AS463)&lt;0,"n/a",AS471/AVERAGE(AR463,AS463)),"n/a")</f>
        <v/>
      </c>
      <c r="AT472" s="1656">
        <f>IFERROR(IF(AT471/AVERAGE(AS463,AT463)&lt;0,"n/a",AT471/AVERAGE(AS463,AT463)),"n/a")</f>
        <v/>
      </c>
      <c r="AU472" s="1656">
        <f>IFERROR(IF(AU471/AVERAGE(AT463,AU463)&lt;0,"n/a",AU471/AVERAGE(AT463,AU463)),"n/a")</f>
        <v/>
      </c>
      <c r="AV472" s="1422" t="n"/>
    </row>
    <row r="473" collapsed="1" ht="14.4" customFormat="1" customHeight="1" s="1418">
      <c r="A473" s="1536" t="n"/>
      <c r="B473" s="1695" t="n"/>
      <c r="C473" s="1656" t="n"/>
      <c r="D473" s="1656" t="n"/>
      <c r="E473" s="1656" t="n"/>
      <c r="F473" s="1656" t="n"/>
      <c r="G473" s="1656" t="n"/>
      <c r="H473" s="1656" t="n"/>
      <c r="I473" s="1656" t="n"/>
      <c r="J473" s="1656" t="n"/>
      <c r="K473" s="1656" t="n"/>
      <c r="L473" s="1656" t="n"/>
      <c r="M473" s="1656" t="n"/>
      <c r="N473" s="1656" t="n"/>
      <c r="O473" s="1657" t="n"/>
      <c r="P473" s="1657" t="n"/>
      <c r="Q473" s="1657" t="n"/>
      <c r="R473" s="1657" t="n"/>
      <c r="S473" s="1656" t="n"/>
      <c r="T473" s="1657" t="n"/>
      <c r="U473" s="1657" t="n"/>
      <c r="V473" s="1657" t="n"/>
      <c r="W473" s="1657" t="n"/>
      <c r="X473" s="1656" t="n"/>
      <c r="Y473" s="1657" t="n"/>
      <c r="Z473" s="1657" t="n"/>
      <c r="AA473" s="1657" t="n"/>
      <c r="AB473" s="1657" t="n"/>
      <c r="AC473" s="1656" t="n"/>
      <c r="AD473" s="1657" t="n"/>
      <c r="AE473" s="1657" t="n"/>
      <c r="AF473" s="1657" t="n"/>
      <c r="AG473" s="1657" t="n"/>
      <c r="AH473" s="1656" t="n"/>
      <c r="AI473" s="1657" t="n"/>
      <c r="AJ473" s="1657" t="n"/>
      <c r="AK473" s="1658" t="n"/>
      <c r="AL473" s="1657" t="n"/>
      <c r="AM473" s="1656" t="n"/>
      <c r="AN473" s="1657" t="n"/>
      <c r="AO473" s="1657" t="n"/>
      <c r="AP473" s="1657" t="n"/>
      <c r="AQ473" s="1657" t="n"/>
      <c r="AR473" s="1656" t="n"/>
      <c r="AS473" s="1656" t="n"/>
      <c r="AT473" s="1656" t="n"/>
      <c r="AU473" s="1656" t="n"/>
      <c r="AV473" s="1422" t="n"/>
    </row>
    <row r="474" ht="14.4" customFormat="1" customHeight="1" s="1418">
      <c r="A474" s="1536" t="inlineStr">
        <is>
          <t>EBITDA / Net Interest Expense</t>
        </is>
      </c>
      <c r="B474" s="1695" t="n"/>
      <c r="C474" s="1842" t="n"/>
      <c r="D474" s="1842" t="n"/>
      <c r="E474" s="1842" t="n"/>
      <c r="F474" s="1842" t="n"/>
      <c r="G474" s="1842" t="n"/>
      <c r="H474" s="1842" t="n"/>
      <c r="I474" s="1842" t="n"/>
      <c r="J474" s="1842" t="n"/>
      <c r="K474" s="1842" t="n"/>
      <c r="L474" s="1842" t="n"/>
      <c r="M474" s="1842" t="n"/>
      <c r="N474" s="1842" t="n"/>
      <c r="O474" s="1843" t="n"/>
      <c r="P474" s="1843" t="n"/>
      <c r="Q474" s="1843" t="n"/>
      <c r="R474" s="1843" t="n"/>
      <c r="S474" s="1842" t="n"/>
      <c r="T474" s="1843" t="n"/>
      <c r="U474" s="1843" t="n"/>
      <c r="V474" s="1843" t="n"/>
      <c r="W474" s="1843" t="n"/>
      <c r="X474" s="1842">
        <f>IFERROR(IF(OR(X364&lt;0,X471&lt;0),"n/a",X364/X471),"n/a")</f>
        <v/>
      </c>
      <c r="Y474" s="1843" t="n"/>
      <c r="Z474" s="1843" t="n"/>
      <c r="AA474" s="1843">
        <f>IFERROR(IF(OR(AA364&lt;0,AA471&lt;0),"n/a",AA364/AA471),"n/a")</f>
        <v/>
      </c>
      <c r="AB474" s="1843">
        <f>IFERROR(IF(OR(AB364&lt;0,AB471&lt;0),"n/a",AB364/AB471),"n/a")</f>
        <v/>
      </c>
      <c r="AC474" s="1842">
        <f>IFERROR(IF(OR(AC364&lt;0,AC471&lt;0),"n/a",AC364/AC471),"n/a")</f>
        <v/>
      </c>
      <c r="AD474" s="1843">
        <f>IFERROR(IF(OR(AD364&lt;0,AD471&lt;0),"n/a",AD364/AD471),"n/a")</f>
        <v/>
      </c>
      <c r="AE474" s="1843">
        <f>IFERROR(IF(OR(AE364&lt;0,AE471&lt;0),"n/a",AE364/AE471),"n/a")</f>
        <v/>
      </c>
      <c r="AF474" s="1843">
        <f>IFERROR(IF(OR(AF364&lt;0,AF471&lt;0),"n/a",AF364/AF471),"n/a")</f>
        <v/>
      </c>
      <c r="AG474" s="1843">
        <f>IFERROR(IF(OR(AG364&lt;0,AG471&lt;0),"n/a",AG364/AG471),"n/a")</f>
        <v/>
      </c>
      <c r="AH474" s="1842">
        <f>IFERROR(IF(OR(AH364&lt;0,AH471&lt;0),"n/a",AH364/AH471),"n/a")</f>
        <v/>
      </c>
      <c r="AI474" s="1843">
        <f>IFERROR(IF(OR(AI364&lt;0,AI471&lt;0),"n/a",AI364/AI471),"n/a")</f>
        <v/>
      </c>
      <c r="AJ474" s="1843">
        <f>IFERROR(IF(OR(AJ364&lt;0,AJ471&lt;0),"n/a",AJ364/AJ471),"n/a")</f>
        <v/>
      </c>
      <c r="AK474" s="1844">
        <f>IFERROR(IF(OR(AK364&lt;0,AK471&lt;0),"n/a",AK364/AK471),"n/a")</f>
        <v/>
      </c>
      <c r="AL474" s="1843">
        <f>IFERROR(IF(OR(AL364&lt;0,AL471&lt;0),"n/a",AL364/AL471),"n/a")</f>
        <v/>
      </c>
      <c r="AM474" s="1842">
        <f>IFERROR(IF(OR(AM364&lt;0,AM471&lt;0),"n/a",AM364/AM471),"n/a")</f>
        <v/>
      </c>
      <c r="AN474" s="1843">
        <f>IFERROR(IF(OR(AN364&lt;0,AN471&lt;0),"n/a",AN364/AN471),"n/a")</f>
        <v/>
      </c>
      <c r="AO474" s="1843">
        <f>IFERROR(IF(OR(AO364&lt;0,AO471&lt;0),"n/a",AO364/AO471),"n/a")</f>
        <v/>
      </c>
      <c r="AP474" s="1843">
        <f>IFERROR(IF(OR(AP364&lt;0,AP471&lt;0),"n/a",AP364/AP471),"n/a")</f>
        <v/>
      </c>
      <c r="AQ474" s="1843">
        <f>IFERROR(IF(OR(AQ364&lt;0,AQ471&lt;0),"n/a",AQ364/AQ471),"n/a")</f>
        <v/>
      </c>
      <c r="AR474" s="1842">
        <f>IFERROR(IF(OR(AR364&lt;0,AR471&lt;0),"n/a",AR364/AR471),"n/a")</f>
        <v/>
      </c>
      <c r="AS474" s="1842">
        <f>IFERROR(IF(OR(AS364&lt;0,AS471&lt;0),"n/a",AS364/AS471),"n/a")</f>
        <v/>
      </c>
      <c r="AT474" s="1842">
        <f>IFERROR(IF(OR(AT364&lt;0,AT471&lt;0),"n/a",AT364/AT471),"n/a")</f>
        <v/>
      </c>
      <c r="AU474" s="1842">
        <f>IFERROR(IF(OR(AU364&lt;0,AU471&lt;0),"n/a",AU364/AU471),"n/a")</f>
        <v/>
      </c>
      <c r="AV474" s="1422" t="n"/>
    </row>
    <row r="475" ht="14.4" customFormat="1" customHeight="1" s="1845">
      <c r="A475" s="1846" t="inlineStr">
        <is>
          <t>Net Debt / EBITDA</t>
        </is>
      </c>
      <c r="B475" s="1847" t="n"/>
      <c r="C475" s="1842" t="n"/>
      <c r="D475" s="1842" t="n"/>
      <c r="E475" s="1842" t="n"/>
      <c r="F475" s="1842" t="n"/>
      <c r="G475" s="1842" t="n"/>
      <c r="H475" s="1842" t="n"/>
      <c r="I475" s="1842" t="n"/>
      <c r="J475" s="1842" t="n"/>
      <c r="K475" s="1842" t="n"/>
      <c r="L475" s="1842" t="n"/>
      <c r="M475" s="1842" t="n"/>
      <c r="N475" s="1842" t="n"/>
      <c r="O475" s="1843" t="n"/>
      <c r="P475" s="1848" t="n"/>
      <c r="Q475" s="1843" t="n"/>
      <c r="R475" s="1843" t="n"/>
      <c r="S475" s="1842" t="n"/>
      <c r="T475" s="1843" t="n"/>
      <c r="U475" s="1848" t="n"/>
      <c r="V475" s="1843" t="n"/>
      <c r="W475" s="1843" t="n"/>
      <c r="X475" s="1842" t="n"/>
      <c r="Y475" s="1843" t="n"/>
      <c r="Z475" s="1848" t="n"/>
      <c r="AA475" s="1843" t="n"/>
      <c r="AB475" s="1843" t="n"/>
      <c r="AC475" s="1849">
        <f>IF(AC465&lt;0,"n/a",AC465/AC364)</f>
        <v/>
      </c>
      <c r="AD475" s="1843" t="n"/>
      <c r="AE475" s="1848" t="n"/>
      <c r="AF475" s="1843" t="n"/>
      <c r="AG475" s="1843" t="n"/>
      <c r="AH475" s="1849">
        <f>IF(AH465&lt;0,"n/a",AH465/AH364)</f>
        <v/>
      </c>
      <c r="AI475" s="1843" t="n"/>
      <c r="AJ475" s="1848" t="n"/>
      <c r="AK475" s="1844" t="n"/>
      <c r="AL475" s="1848" t="n"/>
      <c r="AM475" s="1842">
        <f>IF(AM465&lt;0,"n/a",AM465/AM364)</f>
        <v/>
      </c>
      <c r="AN475" s="1848" t="n"/>
      <c r="AO475" s="1848" t="n"/>
      <c r="AP475" s="1848" t="n"/>
      <c r="AQ475" s="1848" t="n"/>
      <c r="AR475" s="1842">
        <f>IF(AR465&lt;0,"n/a",AR465/AR364)</f>
        <v/>
      </c>
      <c r="AS475" s="1842">
        <f>IF(AS465&lt;0,"n/a",AS465/AS364)</f>
        <v/>
      </c>
      <c r="AT475" s="1842">
        <f>IF(AT465&lt;0,"n/a",AT465/AT364)</f>
        <v/>
      </c>
      <c r="AU475" s="1842">
        <f>IF(AU465&lt;0,"n/a",AU465/AU364)</f>
        <v/>
      </c>
      <c r="AV475" s="1850" t="n"/>
    </row>
    <row r="476" ht="14.4" customFormat="1" customHeight="1" s="1845">
      <c r="A476" s="1846" t="inlineStr">
        <is>
          <t>Net Debt / Cash Flow</t>
        </is>
      </c>
      <c r="B476" s="1847" t="n"/>
      <c r="C476" s="1842" t="n"/>
      <c r="D476" s="1842" t="n"/>
      <c r="E476" s="1842" t="n"/>
      <c r="F476" s="1842" t="n"/>
      <c r="G476" s="1842" t="n"/>
      <c r="H476" s="1842" t="n"/>
      <c r="I476" s="1842" t="n"/>
      <c r="J476" s="1842" t="n"/>
      <c r="K476" s="1842" t="n"/>
      <c r="L476" s="1842" t="n"/>
      <c r="M476" s="1842" t="n"/>
      <c r="N476" s="1842" t="n"/>
      <c r="O476" s="1843" t="n"/>
      <c r="P476" s="1848" t="n"/>
      <c r="Q476" s="1843" t="n"/>
      <c r="R476" s="1843" t="n"/>
      <c r="S476" s="1842" t="n"/>
      <c r="T476" s="1843" t="n"/>
      <c r="U476" s="1848" t="n"/>
      <c r="V476" s="1843" t="n"/>
      <c r="W476" s="1843" t="n"/>
      <c r="X476" s="1842" t="n"/>
      <c r="Y476" s="1843" t="n"/>
      <c r="Z476" s="1848" t="n"/>
      <c r="AA476" s="1843" t="n"/>
      <c r="AB476" s="1843" t="n"/>
      <c r="AC476" s="1849">
        <f>IF(AC465&lt;0,"n/a",AC465/AC432)</f>
        <v/>
      </c>
      <c r="AD476" s="1843" t="n"/>
      <c r="AE476" s="1848" t="n"/>
      <c r="AF476" s="1843" t="n"/>
      <c r="AG476" s="1843" t="n"/>
      <c r="AH476" s="1849">
        <f>IF(AH465&lt;0,"n/a",AH465/AH432)</f>
        <v/>
      </c>
      <c r="AI476" s="1843" t="n"/>
      <c r="AJ476" s="1848" t="n"/>
      <c r="AK476" s="1844" t="n"/>
      <c r="AL476" s="1848" t="n"/>
      <c r="AM476" s="1842">
        <f>IF(AM465&lt;0,"n/a",AM465/AM432)</f>
        <v/>
      </c>
      <c r="AN476" s="1848" t="n"/>
      <c r="AO476" s="1848" t="n"/>
      <c r="AP476" s="1848" t="n"/>
      <c r="AQ476" s="1848" t="n"/>
      <c r="AR476" s="1842">
        <f>IF(AR465&lt;0,"n/a",AR465/AR432)</f>
        <v/>
      </c>
      <c r="AS476" s="1842">
        <f>IF(AS465&lt;0,"n/a",AS465/AS432)</f>
        <v/>
      </c>
      <c r="AT476" s="1842">
        <f>IF(AT465&lt;0,"n/a",AT465/AT432)</f>
        <v/>
      </c>
      <c r="AU476" s="1842">
        <f>IF(AU465&lt;0,"n/a",AU465/AU432)</f>
        <v/>
      </c>
      <c r="AV476" s="1850" t="n"/>
    </row>
    <row r="477" ht="14.4" customHeight="1" s="877">
      <c r="A477" s="329" t="n"/>
      <c r="B477" s="329" t="n"/>
      <c r="C477" s="1561" t="n"/>
      <c r="D477" s="1561" t="n"/>
      <c r="E477" s="1561" t="n"/>
      <c r="F477" s="1561" t="n"/>
      <c r="G477" s="1561" t="n"/>
      <c r="H477" s="1561" t="n"/>
      <c r="I477" s="1561" t="n"/>
      <c r="J477" s="1561" t="n"/>
      <c r="K477" s="1561" t="n"/>
      <c r="L477" s="1561" t="n"/>
      <c r="M477" s="1561" t="n"/>
      <c r="N477" s="1561" t="n"/>
      <c r="O477" s="1562" t="n"/>
      <c r="P477" s="1562" t="n"/>
      <c r="Q477" s="1562" t="n"/>
      <c r="R477" s="1562" t="n"/>
      <c r="S477" s="1561" t="n"/>
      <c r="T477" s="1562" t="n"/>
      <c r="U477" s="1562" t="n"/>
      <c r="V477" s="1562" t="n"/>
      <c r="W477" s="1562" t="n"/>
      <c r="X477" s="1561" t="n"/>
      <c r="Y477" s="1562" t="n"/>
      <c r="Z477" s="1562" t="n"/>
      <c r="AA477" s="1562" t="n"/>
      <c r="AB477" s="1562" t="n"/>
      <c r="AC477" s="1561" t="n"/>
      <c r="AD477" s="1562" t="n"/>
      <c r="AE477" s="1562" t="n"/>
      <c r="AF477" s="1562" t="n"/>
      <c r="AG477" s="1562" t="n"/>
      <c r="AH477" s="1561" t="n"/>
      <c r="AI477" s="1562" t="n"/>
      <c r="AJ477" s="1562" t="n"/>
      <c r="AK477" s="1563" t="n"/>
      <c r="AL477" s="1562" t="n"/>
      <c r="AM477" s="1561" t="n"/>
      <c r="AN477" s="1562" t="n"/>
      <c r="AO477" s="1562" t="n"/>
      <c r="AP477" s="1562" t="n"/>
      <c r="AQ477" s="1562" t="n"/>
      <c r="AR477" s="1561" t="n"/>
      <c r="AS477" s="1561" t="n"/>
      <c r="AT477" s="1561" t="n"/>
      <c r="AU477" s="1561" t="n"/>
      <c r="AV477" s="787" t="n"/>
    </row>
    <row r="478" ht="14.4" customFormat="1" customHeight="1" s="1418">
      <c r="A478" s="1530" t="inlineStr">
        <is>
          <t>Valuation</t>
        </is>
      </c>
      <c r="B478" s="1531" t="n"/>
      <c r="C478" s="1531" t="n"/>
      <c r="D478" s="1531" t="n"/>
      <c r="E478" s="1531" t="n"/>
      <c r="F478" s="1531" t="n"/>
      <c r="G478" s="1531" t="n"/>
      <c r="H478" s="1531" t="n"/>
      <c r="I478" s="1531" t="n"/>
      <c r="J478" s="1531" t="n"/>
      <c r="K478" s="1531" t="n"/>
      <c r="L478" s="1531" t="n"/>
      <c r="M478" s="1531" t="n"/>
      <c r="N478" s="1531" t="n"/>
      <c r="O478" s="1531" t="n"/>
      <c r="P478" s="1531" t="n"/>
      <c r="Q478" s="1531" t="n"/>
      <c r="R478" s="1531" t="n"/>
      <c r="S478" s="1531" t="n"/>
      <c r="T478" s="1531" t="n"/>
      <c r="U478" s="1531" t="n"/>
      <c r="V478" s="1531" t="n"/>
      <c r="W478" s="1531" t="n"/>
      <c r="X478" s="1531" t="n"/>
      <c r="Y478" s="1531" t="n"/>
      <c r="Z478" s="1531" t="n"/>
      <c r="AA478" s="1531" t="n"/>
      <c r="AB478" s="1531" t="n"/>
      <c r="AC478" s="1531" t="n"/>
      <c r="AD478" s="1531" t="n"/>
      <c r="AE478" s="1531" t="n"/>
      <c r="AF478" s="1531" t="n"/>
      <c r="AG478" s="1531" t="n"/>
      <c r="AH478" s="1531" t="n"/>
      <c r="AI478" s="1531" t="n"/>
      <c r="AJ478" s="1531" t="n"/>
      <c r="AK478" s="1533" t="n"/>
      <c r="AL478" s="1531" t="n"/>
      <c r="AM478" s="1531" t="n"/>
      <c r="AN478" s="1531" t="n"/>
      <c r="AO478" s="1531" t="n"/>
      <c r="AP478" s="1531" t="n"/>
      <c r="AQ478" s="1531" t="n"/>
      <c r="AR478" s="1531" t="n"/>
      <c r="AS478" s="1531" t="n"/>
      <c r="AT478" s="1531" t="n"/>
      <c r="AU478" s="1531" t="n"/>
      <c r="AV478" s="1422" t="n"/>
    </row>
    <row r="479" ht="14.4" customFormat="1" customHeight="1" s="1851">
      <c r="A479" s="1852">
        <f>"Stock Price (Reporting Cur.) - "&amp;MO.ValuationToggle&amp;", "&amp;MO.ReportCurrency</f>
        <v/>
      </c>
      <c r="B479" s="1853" t="inlineStr">
        <is>
          <t>EoP</t>
        </is>
      </c>
      <c r="C479" s="1854" t="n"/>
      <c r="D479" s="1854" t="n"/>
      <c r="E479" s="1854" t="n"/>
      <c r="F479" s="1854" t="n"/>
      <c r="G479" s="1854" t="n"/>
      <c r="H479" s="1854" t="n"/>
      <c r="I479" s="1854" t="n"/>
      <c r="J479" s="1854" t="n"/>
      <c r="K479" s="1854" t="n"/>
      <c r="L479" s="1854" t="n"/>
      <c r="M479" s="1854" t="n"/>
      <c r="N479" s="1854" t="n"/>
      <c r="O479" s="1855" t="n"/>
      <c r="P479" s="1855" t="n"/>
      <c r="Q479" s="1855" t="n"/>
      <c r="R479" s="1855" t="n"/>
      <c r="S479" s="1854" t="n"/>
      <c r="T479" s="1855" t="n"/>
      <c r="U479" s="1855" t="n"/>
      <c r="V479" s="1855" t="n"/>
      <c r="W479" s="1855" t="n"/>
      <c r="X479" s="1854" t="n"/>
      <c r="Y479" s="1855" t="n"/>
      <c r="Z479" s="1855" t="n"/>
      <c r="AA479" s="1855" t="n"/>
      <c r="AB479" s="1855" t="n"/>
      <c r="AC479" s="1854" t="n"/>
      <c r="AD479" s="1855" t="n"/>
      <c r="AE479" s="1855" t="n"/>
      <c r="AF479" s="1855" t="n"/>
      <c r="AG479" s="1855" t="n"/>
      <c r="AH479" s="1854" t="n"/>
      <c r="AI479" s="1855">
        <f>IF(MO.ValuationToggle="EoP",INDEX(MO_VA_StockPrice_TradingCurrency,1,COLUMN())/INDEX(MO_VA_FX_EoP,1,COLUMN()),INDEX(MO_VA_StockPrice_TradingCurrency,1,COLUMN())/INDEX(MO_VA_FX_Average,1,COLUMN()))</f>
        <v/>
      </c>
      <c r="AJ479" s="1855">
        <f>IF(MO.ValuationToggle="EoP",INDEX(MO_VA_StockPrice_TradingCurrency,1,COLUMN())/INDEX(MO_VA_FX_EoP,1,COLUMN()),INDEX(MO_VA_StockPrice_TradingCurrency,1,COLUMN())/INDEX(MO_VA_FX_Average,1,COLUMN()))</f>
        <v/>
      </c>
      <c r="AK479" s="1856">
        <f>IF(MO.ValuationToggle="EoP",INDEX(MO_VA_StockPrice_TradingCurrency,1,COLUMN())/INDEX(MO_VA_FX_EoP,1,COLUMN()),INDEX(MO_VA_StockPrice_TradingCurrency,1,COLUMN())/INDEX(MO_VA_FX_Average,1,COLUMN()))</f>
        <v/>
      </c>
      <c r="AL479" s="1855">
        <f>IF(MO.ValuationToggle="EoP",INDEX(MO_VA_StockPrice_TradingCurrency,1,COLUMN())/INDEX(MO_VA_FX_EoP,1,COLUMN()),INDEX(MO_VA_StockPrice_TradingCurrency,1,COLUMN())/INDEX(MO_VA_FX_Average,1,COLUMN()))</f>
        <v/>
      </c>
      <c r="AM479" s="1854">
        <f>IF(MO.ValuationToggle="EoP",INDEX(MO_VA_StockPrice_TradingCurrency,1,COLUMN())/INDEX(MO_VA_FX_EoP,1,COLUMN()),INDEX(MO_VA_StockPrice_TradingCurrency,1,COLUMN())/INDEX(MO_VA_FX_Average,1,COLUMN()))</f>
        <v/>
      </c>
      <c r="AN479" s="1855">
        <f>IF(MO.ValuationToggle="EoP",INDEX(MO_VA_StockPrice_TradingCurrency,1,COLUMN())/INDEX(MO_VA_FX_EoP,1,COLUMN()),INDEX(MO_VA_StockPrice_TradingCurrency,1,COLUMN())/INDEX(MO_VA_FX_Average,1,COLUMN()))</f>
        <v/>
      </c>
      <c r="AO479" s="1855">
        <f>IF(MO.ValuationToggle="EoP",INDEX(MO_VA_StockPrice_TradingCurrency,1,COLUMN())/INDEX(MO_VA_FX_EoP,1,COLUMN()),INDEX(MO_VA_StockPrice_TradingCurrency,1,COLUMN())/INDEX(MO_VA_FX_Average,1,COLUMN()))</f>
        <v/>
      </c>
      <c r="AP479" s="1855">
        <f>IF(MO.ValuationToggle="EoP",INDEX(MO_VA_StockPrice_TradingCurrency,1,COLUMN())/INDEX(MO_VA_FX_EoP,1,COLUMN()),INDEX(MO_VA_StockPrice_TradingCurrency,1,COLUMN())/INDEX(MO_VA_FX_Average,1,COLUMN()))</f>
        <v/>
      </c>
      <c r="AQ479" s="1855">
        <f>IF(MO.ValuationToggle="EoP",INDEX(MO_VA_StockPrice_TradingCurrency,1,COLUMN())/INDEX(MO_VA_FX_EoP,1,COLUMN()),INDEX(MO_VA_StockPrice_TradingCurrency,1,COLUMN())/INDEX(MO_VA_FX_Average,1,COLUMN()))</f>
        <v/>
      </c>
      <c r="AR479" s="1854">
        <f>IF(MO.ValuationToggle="EoP",INDEX(MO_VA_StockPrice_TradingCurrency,1,COLUMN())/INDEX(MO_VA_FX_EoP,1,COLUMN()),INDEX(MO_VA_StockPrice_TradingCurrency,1,COLUMN())/INDEX(MO_VA_FX_Average,1,COLUMN()))</f>
        <v/>
      </c>
      <c r="AS479" s="1854">
        <f>IF(MO.ValuationToggle="EoP",INDEX(MO_VA_StockPrice_TradingCurrency,1,COLUMN())/INDEX(MO_VA_FX_EoP,1,COLUMN()),INDEX(MO_VA_StockPrice_TradingCurrency,1,COLUMN())/INDEX(MO_VA_FX_Average,1,COLUMN()))</f>
        <v/>
      </c>
      <c r="AT479" s="1854">
        <f>IF(MO.ValuationToggle="EoP",INDEX(MO_VA_StockPrice_TradingCurrency,1,COLUMN())/INDEX(MO_VA_FX_EoP,1,COLUMN()),INDEX(MO_VA_StockPrice_TradingCurrency,1,COLUMN())/INDEX(MO_VA_FX_Average,1,COLUMN()))</f>
        <v/>
      </c>
      <c r="AU479" s="1854">
        <f>IF(MO.ValuationToggle="EoP",INDEX(MO_VA_StockPrice_TradingCurrency,1,COLUMN())/INDEX(MO_VA_FX_EoP,1,COLUMN()),INDEX(MO_VA_StockPrice_TradingCurrency,1,COLUMN())/INDEX(MO_VA_FX_Average,1,COLUMN()))</f>
        <v/>
      </c>
      <c r="AV479" s="1857" t="n"/>
    </row>
    <row r="480" ht="14.4" customFormat="1" customHeight="1" s="1418">
      <c r="A480" s="1422">
        <f>"Market Cap - "&amp;MO.ValuationToggle</f>
        <v/>
      </c>
      <c r="B480" s="1698" t="n"/>
      <c r="C480" s="1529" t="n"/>
      <c r="D480" s="1529" t="n"/>
      <c r="E480" s="1529" t="n"/>
      <c r="F480" s="1529" t="n"/>
      <c r="G480" s="1529" t="n"/>
      <c r="H480" s="1529" t="n"/>
      <c r="I480" s="1529" t="n"/>
      <c r="J480" s="1529" t="n"/>
      <c r="K480" s="1529" t="n"/>
      <c r="L480" s="1529" t="n"/>
      <c r="M480" s="1529" t="n"/>
      <c r="N480" s="1529" t="n"/>
      <c r="O480" s="1420" t="n"/>
      <c r="P480" s="1420" t="n"/>
      <c r="Q480" s="1420" t="n"/>
      <c r="R480" s="1420" t="n"/>
      <c r="S480" s="1529" t="n"/>
      <c r="T480" s="1420" t="n"/>
      <c r="U480" s="1420" t="n"/>
      <c r="V480" s="1420" t="n"/>
      <c r="W480" s="1420" t="n"/>
      <c r="X480" s="1529" t="n"/>
      <c r="Y480" s="1420" t="n"/>
      <c r="Z480" s="1420" t="n"/>
      <c r="AA480" s="1420" t="n"/>
      <c r="AB480" s="1420" t="n"/>
      <c r="AC480" s="1529" t="n"/>
      <c r="AD480" s="1420" t="n"/>
      <c r="AE480" s="1420" t="n"/>
      <c r="AF480" s="1420" t="n"/>
      <c r="AG480" s="1420" t="n"/>
      <c r="AH480" s="1529" t="n"/>
      <c r="AI480" s="1420">
        <f>INDEX(MO_VA_StockPrice,0,COLUMN())*INDEX(MO_SCA_ShareCount_EoP_Diluted,0,COLUMN())</f>
        <v/>
      </c>
      <c r="AJ480" s="1420">
        <f>INDEX(MO_VA_StockPrice,0,COLUMN())*INDEX(MO_SCA_ShareCount_EoP_Diluted,0,COLUMN())</f>
        <v/>
      </c>
      <c r="AK480" s="1421">
        <f>INDEX(MO_VA_StockPrice,0,COLUMN())*INDEX(MO_SCA_ShareCount_EoP_Diluted,0,COLUMN())</f>
        <v/>
      </c>
      <c r="AL480" s="1420">
        <f>INDEX(MO_VA_StockPrice,0,COLUMN())*INDEX(MO_SCA_ShareCount_EoP_Diluted,0,COLUMN())</f>
        <v/>
      </c>
      <c r="AM480" s="1529">
        <f>INDEX(MO_VA_StockPrice,0,COLUMN())*INDEX(MO_SCA_ShareCount_EoP_Diluted,0,COLUMN())</f>
        <v/>
      </c>
      <c r="AN480" s="1420">
        <f>INDEX(MO_VA_StockPrice,0,COLUMN())*INDEX(MO_SCA_ShareCount_EoP_Diluted,0,COLUMN())</f>
        <v/>
      </c>
      <c r="AO480" s="1420">
        <f>INDEX(MO_VA_StockPrice,0,COLUMN())*INDEX(MO_SCA_ShareCount_EoP_Diluted,0,COLUMN())</f>
        <v/>
      </c>
      <c r="AP480" s="1420">
        <f>INDEX(MO_VA_StockPrice,0,COLUMN())*INDEX(MO_SCA_ShareCount_EoP_Diluted,0,COLUMN())</f>
        <v/>
      </c>
      <c r="AQ480" s="1420">
        <f>INDEX(MO_VA_StockPrice,0,COLUMN())*INDEX(MO_SCA_ShareCount_EoP_Diluted,0,COLUMN())</f>
        <v/>
      </c>
      <c r="AR480" s="1529">
        <f>INDEX(MO_VA_StockPrice,0,COLUMN())*INDEX(MO_SCA_ShareCount_EoP_Diluted,0,COLUMN())</f>
        <v/>
      </c>
      <c r="AS480" s="1529">
        <f>INDEX(MO_VA_StockPrice,0,COLUMN())*INDEX(MO_SCA_ShareCount_EoP_Diluted,0,COLUMN())</f>
        <v/>
      </c>
      <c r="AT480" s="1529">
        <f>INDEX(MO_VA_StockPrice,0,COLUMN())*INDEX(MO_SCA_ShareCount_EoP_Diluted,0,COLUMN())</f>
        <v/>
      </c>
      <c r="AU480" s="1529">
        <f>INDEX(MO_VA_StockPrice,0,COLUMN())*INDEX(MO_SCA_ShareCount_EoP_Diluted,0,COLUMN())</f>
        <v/>
      </c>
      <c r="AV480" s="1422" t="n"/>
    </row>
    <row r="481" ht="14.4" customFormat="1" customHeight="1" s="1418">
      <c r="A481" s="1422">
        <f>"Enterprise Value - "&amp;MO.ValuationToggle</f>
        <v/>
      </c>
      <c r="B481" s="1698" t="n"/>
      <c r="C481" s="1529" t="n"/>
      <c r="D481" s="1529" t="n"/>
      <c r="E481" s="1529" t="n"/>
      <c r="F481" s="1529" t="n"/>
      <c r="G481" s="1529" t="n"/>
      <c r="H481" s="1529" t="n"/>
      <c r="I481" s="1529" t="n"/>
      <c r="J481" s="1529" t="n"/>
      <c r="K481" s="1529" t="n"/>
      <c r="L481" s="1529" t="n"/>
      <c r="M481" s="1529" t="n"/>
      <c r="N481" s="1529" t="n"/>
      <c r="O481" s="1420" t="n"/>
      <c r="P481" s="1420" t="n"/>
      <c r="Q481" s="1420" t="n"/>
      <c r="R481" s="1420" t="n"/>
      <c r="S481" s="1529" t="n"/>
      <c r="T481" s="1420" t="n"/>
      <c r="U481" s="1420" t="n"/>
      <c r="V481" s="1420" t="n"/>
      <c r="W481" s="1420" t="n"/>
      <c r="X481" s="1529" t="n"/>
      <c r="Y481" s="1420" t="n"/>
      <c r="Z481" s="1420" t="n"/>
      <c r="AA481" s="1420" t="n"/>
      <c r="AB481" s="1420" t="n"/>
      <c r="AC481" s="1529" t="n"/>
      <c r="AD481" s="1420" t="n"/>
      <c r="AE481" s="1420" t="n"/>
      <c r="AF481" s="1420" t="n"/>
      <c r="AG481" s="1420" t="n"/>
      <c r="AH481" s="1529" t="n"/>
      <c r="AI481" s="1420">
        <f>AI465+AI480+AI498+AI499+AI500</f>
        <v/>
      </c>
      <c r="AJ481" s="1420">
        <f>AJ465+AJ480+AJ498+AJ499+AJ500</f>
        <v/>
      </c>
      <c r="AK481" s="1421">
        <f>AK465+AK480+AK498+AK499+AK500</f>
        <v/>
      </c>
      <c r="AL481" s="1420">
        <f>AL465+AL480+AL498+AL499+AL500</f>
        <v/>
      </c>
      <c r="AM481" s="1529">
        <f>AM465+AM480+AM498+AM499+AM500</f>
        <v/>
      </c>
      <c r="AN481" s="1420">
        <f>AN465+AN480+AN498+AN499+AN500</f>
        <v/>
      </c>
      <c r="AO481" s="1420">
        <f>AO465+AO480+AO498+AO499+AO500</f>
        <v/>
      </c>
      <c r="AP481" s="1420">
        <f>AP465+AP480+AP498+AP499+AP500</f>
        <v/>
      </c>
      <c r="AQ481" s="1420">
        <f>AQ465+AQ480+AQ498+AQ499+AQ500</f>
        <v/>
      </c>
      <c r="AR481" s="1529">
        <f>AR465+AR480+AR498+AR499+AR500</f>
        <v/>
      </c>
      <c r="AS481" s="1529">
        <f>AS465+AS480+AS498+AS499+AS500</f>
        <v/>
      </c>
      <c r="AT481" s="1529">
        <f>AT465+AT480+AT498+AT499+AT500</f>
        <v/>
      </c>
      <c r="AU481" s="1529">
        <f>AU465+AU480+AU498+AU499+AU500</f>
        <v/>
      </c>
      <c r="AV481" s="1422" t="n"/>
    </row>
    <row r="482" ht="14.4" customFormat="1" customHeight="1" s="1858">
      <c r="A482" s="1859" t="n"/>
      <c r="B482" s="1860" t="n"/>
      <c r="C482" s="1861" t="n"/>
      <c r="D482" s="1861" t="n"/>
      <c r="E482" s="1861" t="n"/>
      <c r="F482" s="1861" t="n"/>
      <c r="G482" s="1861" t="n"/>
      <c r="H482" s="1861" t="n"/>
      <c r="I482" s="1861" t="n"/>
      <c r="J482" s="1861" t="n"/>
      <c r="K482" s="1861" t="n"/>
      <c r="L482" s="1861" t="n"/>
      <c r="M482" s="1861" t="n"/>
      <c r="N482" s="1861" t="n"/>
      <c r="O482" s="1862" t="n"/>
      <c r="P482" s="1863" t="n"/>
      <c r="Q482" s="1862" t="n"/>
      <c r="R482" s="1862" t="n"/>
      <c r="S482" s="1861" t="n"/>
      <c r="T482" s="1862" t="n"/>
      <c r="U482" s="1863" t="n"/>
      <c r="V482" s="1862" t="n"/>
      <c r="W482" s="1862" t="n"/>
      <c r="X482" s="1861" t="n"/>
      <c r="Y482" s="1862" t="n"/>
      <c r="Z482" s="1863" t="n"/>
      <c r="AA482" s="1862" t="n"/>
      <c r="AB482" s="1862" t="n"/>
      <c r="AC482" s="1861" t="n"/>
      <c r="AD482" s="1862" t="n"/>
      <c r="AE482" s="1863" t="n"/>
      <c r="AF482" s="1862" t="n"/>
      <c r="AG482" s="1862" t="n"/>
      <c r="AH482" s="1861" t="n"/>
      <c r="AI482" s="1862" t="n"/>
      <c r="AJ482" s="1863" t="n"/>
      <c r="AK482" s="1864" t="n"/>
      <c r="AL482" s="1863" t="n"/>
      <c r="AM482" s="1861" t="n"/>
      <c r="AN482" s="1863" t="n"/>
      <c r="AO482" s="1863" t="n"/>
      <c r="AP482" s="1863" t="n"/>
      <c r="AQ482" s="1863" t="n"/>
      <c r="AR482" s="1861" t="n"/>
      <c r="AS482" s="1861" t="n"/>
      <c r="AT482" s="1861" t="n"/>
      <c r="AU482" s="1861" t="n"/>
      <c r="AV482" s="1865" t="n"/>
    </row>
    <row r="483" ht="14.4" customFormat="1" customHeight="1" s="1858">
      <c r="A483" s="1866">
        <f>"P/E - "&amp;MO.ValuationToggle</f>
        <v/>
      </c>
      <c r="B483" s="1860" t="n"/>
      <c r="C483" s="1861" t="n"/>
      <c r="D483" s="1861" t="n"/>
      <c r="E483" s="1861" t="n"/>
      <c r="F483" s="1861" t="n"/>
      <c r="G483" s="1861" t="n"/>
      <c r="H483" s="1861" t="n"/>
      <c r="I483" s="1861" t="n"/>
      <c r="J483" s="1861" t="n"/>
      <c r="K483" s="1861" t="n"/>
      <c r="L483" s="1861" t="n"/>
      <c r="M483" s="1861" t="n"/>
      <c r="N483" s="1861" t="n"/>
      <c r="O483" s="1862" t="n"/>
      <c r="P483" s="1863" t="n"/>
      <c r="Q483" s="1862" t="n"/>
      <c r="R483" s="1862" t="n"/>
      <c r="S483" s="1861" t="n"/>
      <c r="T483" s="1862" t="n"/>
      <c r="U483" s="1863" t="n"/>
      <c r="V483" s="1862" t="n"/>
      <c r="W483" s="1862" t="n"/>
      <c r="X483" s="1861" t="n"/>
      <c r="Y483" s="1862" t="n"/>
      <c r="Z483" s="1863" t="n"/>
      <c r="AA483" s="1862" t="n"/>
      <c r="AB483" s="1862" t="n"/>
      <c r="AC483" s="1861" t="n"/>
      <c r="AD483" s="1862" t="n"/>
      <c r="AE483" s="1863" t="n"/>
      <c r="AF483" s="1862" t="n"/>
      <c r="AG483" s="1862" t="n"/>
      <c r="AH483" s="1861" t="n"/>
      <c r="AI483" s="1862" t="n"/>
      <c r="AJ483" s="1863" t="n"/>
      <c r="AK483" s="1864" t="n"/>
      <c r="AL483" s="1863" t="n"/>
      <c r="AM483" s="1861">
        <f>AM479/AM401</f>
        <v/>
      </c>
      <c r="AN483" s="1863" t="n"/>
      <c r="AO483" s="1863" t="n"/>
      <c r="AP483" s="1863" t="n"/>
      <c r="AQ483" s="1863" t="n"/>
      <c r="AR483" s="1861">
        <f>AR479/AR401</f>
        <v/>
      </c>
      <c r="AS483" s="1861">
        <f>AS479/AS401</f>
        <v/>
      </c>
      <c r="AT483" s="1861">
        <f>AT479/AT401</f>
        <v/>
      </c>
      <c r="AU483" s="1861">
        <f>AU479/AU401</f>
        <v/>
      </c>
      <c r="AV483" s="1865" t="n"/>
    </row>
    <row r="484" ht="14.4" customFormat="1" customHeight="1" s="1858">
      <c r="A484" s="1866">
        <f>"EV/EBITDA - "&amp;MO.ValuationToggle</f>
        <v/>
      </c>
      <c r="B484" s="1860" t="n"/>
      <c r="C484" s="1861" t="n"/>
      <c r="D484" s="1861" t="n"/>
      <c r="E484" s="1861" t="n"/>
      <c r="F484" s="1861" t="n"/>
      <c r="G484" s="1861" t="n"/>
      <c r="H484" s="1861" t="n"/>
      <c r="I484" s="1861" t="n"/>
      <c r="J484" s="1861" t="n"/>
      <c r="K484" s="1861" t="n"/>
      <c r="L484" s="1861" t="n"/>
      <c r="M484" s="1861" t="n"/>
      <c r="N484" s="1861" t="n"/>
      <c r="O484" s="1862" t="n"/>
      <c r="P484" s="1863" t="n"/>
      <c r="Q484" s="1862" t="n"/>
      <c r="R484" s="1862" t="n"/>
      <c r="S484" s="1861" t="n"/>
      <c r="T484" s="1862" t="n"/>
      <c r="U484" s="1863" t="n"/>
      <c r="V484" s="1862" t="n"/>
      <c r="W484" s="1862" t="n"/>
      <c r="X484" s="1861" t="n"/>
      <c r="Y484" s="1862" t="n"/>
      <c r="Z484" s="1863" t="n"/>
      <c r="AA484" s="1862" t="n"/>
      <c r="AB484" s="1862" t="n"/>
      <c r="AC484" s="1861" t="n"/>
      <c r="AD484" s="1862" t="n"/>
      <c r="AE484" s="1863" t="n"/>
      <c r="AF484" s="1862" t="n"/>
      <c r="AG484" s="1862" t="n"/>
      <c r="AH484" s="1861" t="n"/>
      <c r="AI484" s="1862" t="n"/>
      <c r="AJ484" s="1863" t="n"/>
      <c r="AK484" s="1864" t="n"/>
      <c r="AL484" s="1863" t="n"/>
      <c r="AM484" s="1861">
        <f>IFERROR(AM481/AM364,"n/a")</f>
        <v/>
      </c>
      <c r="AN484" s="1863" t="n"/>
      <c r="AO484" s="1863" t="n"/>
      <c r="AP484" s="1863" t="n"/>
      <c r="AQ484" s="1863" t="n"/>
      <c r="AR484" s="1861">
        <f>IFERROR(AR481/AR364,"n/a")</f>
        <v/>
      </c>
      <c r="AS484" s="1861">
        <f>IFERROR(AS481/AS364,"n/a")</f>
        <v/>
      </c>
      <c r="AT484" s="1861">
        <f>IFERROR(AT481/AT364,"n/a")</f>
        <v/>
      </c>
      <c r="AU484" s="1861">
        <f>IFERROR(AU481/AU364,"n/a")</f>
        <v/>
      </c>
      <c r="AV484" s="1865" t="n"/>
    </row>
    <row r="485" ht="14.4" customFormat="1" customHeight="1" s="1858">
      <c r="A485" s="1866">
        <f>"P/CF - "&amp;MO.ValuationToggle</f>
        <v/>
      </c>
      <c r="B485" s="1860" t="n"/>
      <c r="C485" s="1861" t="n"/>
      <c r="D485" s="1861" t="n"/>
      <c r="E485" s="1861" t="n"/>
      <c r="F485" s="1861" t="n"/>
      <c r="G485" s="1861" t="n"/>
      <c r="H485" s="1861" t="n"/>
      <c r="I485" s="1861" t="n"/>
      <c r="J485" s="1861" t="n"/>
      <c r="K485" s="1861" t="n"/>
      <c r="L485" s="1861" t="n"/>
      <c r="M485" s="1861" t="n"/>
      <c r="N485" s="1861" t="n"/>
      <c r="O485" s="1862" t="n"/>
      <c r="P485" s="1863" t="n"/>
      <c r="Q485" s="1862" t="n"/>
      <c r="R485" s="1862" t="n"/>
      <c r="S485" s="1861" t="n"/>
      <c r="T485" s="1862" t="n"/>
      <c r="U485" s="1863" t="n"/>
      <c r="V485" s="1862" t="n"/>
      <c r="W485" s="1862" t="n"/>
      <c r="X485" s="1861" t="n"/>
      <c r="Y485" s="1862" t="n"/>
      <c r="Z485" s="1863" t="n"/>
      <c r="AA485" s="1862" t="n"/>
      <c r="AB485" s="1862" t="n"/>
      <c r="AC485" s="1861" t="n"/>
      <c r="AD485" s="1862" t="n"/>
      <c r="AE485" s="1863" t="n"/>
      <c r="AF485" s="1862" t="n"/>
      <c r="AG485" s="1862" t="n"/>
      <c r="AH485" s="1861" t="n"/>
      <c r="AI485" s="1862" t="n"/>
      <c r="AJ485" s="1863" t="n"/>
      <c r="AK485" s="1864" t="n"/>
      <c r="AL485" s="1863" t="n"/>
      <c r="AM485" s="1861">
        <f>IFERROR(AM479/AM434,"n/a")</f>
        <v/>
      </c>
      <c r="AN485" s="1863" t="n"/>
      <c r="AO485" s="1863" t="n"/>
      <c r="AP485" s="1863" t="n"/>
      <c r="AQ485" s="1863" t="n"/>
      <c r="AR485" s="1861">
        <f>IFERROR(AR479/AR434,"n/a")</f>
        <v/>
      </c>
      <c r="AS485" s="1861">
        <f>IFERROR(AS479/AS434,"n/a")</f>
        <v/>
      </c>
      <c r="AT485" s="1861">
        <f>IFERROR(AT479/AT434,"n/a")</f>
        <v/>
      </c>
      <c r="AU485" s="1861">
        <f>IFERROR(AU479/AU434,"n/a")</f>
        <v/>
      </c>
      <c r="AV485" s="1865" t="n"/>
    </row>
    <row r="486" ht="14.4" customFormat="1" customHeight="1" s="1432">
      <c r="A486" s="1473">
        <f>"FCF Yield % to "&amp;MO.ValuationToggle&amp;" Market Cap"</f>
        <v/>
      </c>
      <c r="B486" s="1474" t="n"/>
      <c r="C486" s="1475" t="n"/>
      <c r="D486" s="1475" t="n"/>
      <c r="E486" s="1475" t="n"/>
      <c r="F486" s="1475" t="n"/>
      <c r="G486" s="1475" t="n"/>
      <c r="H486" s="1475" t="n"/>
      <c r="I486" s="1475" t="n"/>
      <c r="J486" s="1475" t="n"/>
      <c r="K486" s="1475" t="n"/>
      <c r="L486" s="1475" t="n"/>
      <c r="M486" s="1475" t="n"/>
      <c r="N486" s="1475" t="n"/>
      <c r="O486" s="1476" t="n"/>
      <c r="P486" s="1476" t="n"/>
      <c r="Q486" s="1476" t="n"/>
      <c r="R486" s="1476" t="n"/>
      <c r="S486" s="1475" t="n"/>
      <c r="T486" s="1476" t="n"/>
      <c r="U486" s="1476" t="n"/>
      <c r="V486" s="1476" t="n"/>
      <c r="W486" s="1476" t="n"/>
      <c r="X486" s="1475" t="n"/>
      <c r="Y486" s="1476" t="n"/>
      <c r="Z486" s="1476" t="n"/>
      <c r="AA486" s="1476" t="n"/>
      <c r="AB486" s="1476" t="n"/>
      <c r="AC486" s="1475" t="n"/>
      <c r="AD486" s="1476" t="n"/>
      <c r="AE486" s="1476" t="n"/>
      <c r="AF486" s="1476" t="n"/>
      <c r="AG486" s="1476" t="n"/>
      <c r="AH486" s="1475" t="n"/>
      <c r="AI486" s="1476" t="n"/>
      <c r="AJ486" s="1476" t="n"/>
      <c r="AK486" s="1527" t="n"/>
      <c r="AL486" s="1476" t="n"/>
      <c r="AM486" s="1475">
        <f>IFERROR(AM454/AM480,"n/a")</f>
        <v/>
      </c>
      <c r="AN486" s="1476" t="n"/>
      <c r="AO486" s="1476" t="n"/>
      <c r="AP486" s="1476" t="n"/>
      <c r="AQ486" s="1476" t="n"/>
      <c r="AR486" s="1475">
        <f>IFERROR(AR454/AR480,"n/a")</f>
        <v/>
      </c>
      <c r="AS486" s="1475">
        <f>IFERROR(AS454/AS480,"n/a")</f>
        <v/>
      </c>
      <c r="AT486" s="1475">
        <f>IFERROR(AT454/AT480,"n/a")</f>
        <v/>
      </c>
      <c r="AU486" s="1475">
        <f>IFERROR(AU454/AU480,"n/a")</f>
        <v/>
      </c>
      <c r="AV486" s="1437" t="n"/>
    </row>
    <row r="487" ht="14.4" customFormat="1" customHeight="1" s="1432">
      <c r="A487" s="1473">
        <f>"FCF Yield % to "&amp;MO.ValuationToggle&amp;" Enterprise Value"</f>
        <v/>
      </c>
      <c r="B487" s="1474" t="n"/>
      <c r="C487" s="1475" t="n"/>
      <c r="D487" s="1475" t="n"/>
      <c r="E487" s="1475" t="n"/>
      <c r="F487" s="1475" t="n"/>
      <c r="G487" s="1475" t="n"/>
      <c r="H487" s="1475" t="n"/>
      <c r="I487" s="1475" t="n"/>
      <c r="J487" s="1475" t="n"/>
      <c r="K487" s="1475" t="n"/>
      <c r="L487" s="1475" t="n"/>
      <c r="M487" s="1475" t="n"/>
      <c r="N487" s="1475" t="n"/>
      <c r="O487" s="1476" t="n"/>
      <c r="P487" s="1476" t="n"/>
      <c r="Q487" s="1476" t="n"/>
      <c r="R487" s="1476" t="n"/>
      <c r="S487" s="1475" t="n"/>
      <c r="T487" s="1476" t="n"/>
      <c r="U487" s="1476" t="n"/>
      <c r="V487" s="1476" t="n"/>
      <c r="W487" s="1476" t="n"/>
      <c r="X487" s="1475" t="n"/>
      <c r="Y487" s="1476" t="n"/>
      <c r="Z487" s="1476" t="n"/>
      <c r="AA487" s="1476" t="n"/>
      <c r="AB487" s="1476" t="n"/>
      <c r="AC487" s="1475" t="n"/>
      <c r="AD487" s="1476" t="n"/>
      <c r="AE487" s="1476" t="n"/>
      <c r="AF487" s="1476" t="n"/>
      <c r="AG487" s="1476" t="n"/>
      <c r="AH487" s="1475" t="n"/>
      <c r="AI487" s="1476" t="n"/>
      <c r="AJ487" s="1476" t="n"/>
      <c r="AK487" s="1527" t="n"/>
      <c r="AL487" s="1476" t="n"/>
      <c r="AM487" s="1475">
        <f>IFERROR(AM454/AM481,"n/a")</f>
        <v/>
      </c>
      <c r="AN487" s="1476" t="n"/>
      <c r="AO487" s="1476" t="n"/>
      <c r="AP487" s="1476" t="n"/>
      <c r="AQ487" s="1476" t="n"/>
      <c r="AR487" s="1475">
        <f>IFERROR(AR454/AR481,"n/a")</f>
        <v/>
      </c>
      <c r="AS487" s="1475">
        <f>IFERROR(AS454/AS481,"n/a")</f>
        <v/>
      </c>
      <c r="AT487" s="1475">
        <f>IFERROR(AT454/AT481,"n/a")</f>
        <v/>
      </c>
      <c r="AU487" s="1475">
        <f>IFERROR(AU454/AU481,"n/a")</f>
        <v/>
      </c>
      <c r="AV487" s="1437" t="n"/>
    </row>
    <row r="488" hidden="1" outlineLevel="1" ht="14.4" customFormat="1" customHeight="1" s="1432">
      <c r="A488" s="1571" t="n"/>
      <c r="B488" s="1474" t="n"/>
      <c r="C488" s="1475" t="n"/>
      <c r="D488" s="1475" t="n"/>
      <c r="E488" s="1475" t="n"/>
      <c r="F488" s="1475" t="n"/>
      <c r="G488" s="1475" t="n"/>
      <c r="H488" s="1475" t="n"/>
      <c r="I488" s="1475" t="n"/>
      <c r="J488" s="1475" t="n"/>
      <c r="K488" s="1475" t="n"/>
      <c r="L488" s="1475" t="n"/>
      <c r="M488" s="1475" t="n"/>
      <c r="N488" s="1475" t="n"/>
      <c r="O488" s="1476" t="n"/>
      <c r="P488" s="1476" t="n"/>
      <c r="Q488" s="1476" t="n"/>
      <c r="R488" s="1476" t="n"/>
      <c r="S488" s="1475" t="n"/>
      <c r="T488" s="1476" t="n"/>
      <c r="U488" s="1476" t="n"/>
      <c r="V488" s="1476" t="n"/>
      <c r="W488" s="1476" t="n"/>
      <c r="X488" s="1475" t="n"/>
      <c r="Y488" s="1476" t="n"/>
      <c r="Z488" s="1476" t="n"/>
      <c r="AA488" s="1476" t="n"/>
      <c r="AB488" s="1476" t="n"/>
      <c r="AC488" s="1475" t="n"/>
      <c r="AD488" s="1476" t="n"/>
      <c r="AE488" s="1476" t="n"/>
      <c r="AF488" s="1476" t="n"/>
      <c r="AG488" s="1476" t="n"/>
      <c r="AH488" s="1475" t="n"/>
      <c r="AI488" s="1476" t="n"/>
      <c r="AJ488" s="1476" t="n"/>
      <c r="AK488" s="1527" t="n"/>
      <c r="AL488" s="1476" t="n"/>
      <c r="AM488" s="1475" t="n"/>
      <c r="AN488" s="1476" t="n"/>
      <c r="AO488" s="1476" t="n"/>
      <c r="AP488" s="1476" t="n"/>
      <c r="AQ488" s="1476" t="n"/>
      <c r="AR488" s="1475" t="n"/>
      <c r="AS488" s="1475" t="n"/>
      <c r="AT488" s="1475" t="n"/>
      <c r="AU488" s="1475" t="n"/>
      <c r="AV488" s="1437" t="n"/>
    </row>
    <row r="489" hidden="1" outlineLevel="1" ht="14.4" customFormat="1" customHeight="1" s="1867">
      <c r="A489" s="1868">
        <f>"Stock High, "&amp;HP.TradeCurrency</f>
        <v/>
      </c>
      <c r="B489" s="1869" t="n"/>
      <c r="C489" s="1870" t="n"/>
      <c r="D489" s="1870" t="n"/>
      <c r="E489" s="1870" t="n"/>
      <c r="F489" s="1870" t="n"/>
      <c r="G489" s="1870" t="n"/>
      <c r="H489" s="1870" t="n"/>
      <c r="I489" s="1870" t="n"/>
      <c r="J489" s="1870" t="n"/>
      <c r="K489" s="1870" t="n"/>
      <c r="L489" s="1870" t="n"/>
      <c r="M489" s="1870" t="n"/>
      <c r="N489" s="1870" t="n"/>
      <c r="O489" s="1871" t="n"/>
      <c r="P489" s="1871" t="n"/>
      <c r="Q489" s="1871" t="n"/>
      <c r="R489" s="1871" t="n"/>
      <c r="S489" s="1870" t="n"/>
      <c r="T489" s="1871" t="n"/>
      <c r="U489" s="1871" t="n"/>
      <c r="V489" s="1871" t="n"/>
      <c r="W489" s="1871" t="n"/>
      <c r="X489" s="1870" t="n"/>
      <c r="Y489" s="1871" t="n"/>
      <c r="Z489" s="1871" t="n"/>
      <c r="AA489" s="1871" t="n"/>
      <c r="AB489" s="1871" t="n"/>
      <c r="AC489" s="1870" t="n"/>
      <c r="AD489" s="1871" t="n"/>
      <c r="AE489" s="1871" t="n"/>
      <c r="AF489" s="1871" t="n"/>
      <c r="AG489" s="1871" t="n"/>
      <c r="AH489" s="1870" t="n"/>
      <c r="AI489" s="1871">
        <f>IF(INDEX(MO_SNA_IsHistoricalPeriod,1,COLUMN())=FALSE,0,INDEX(MO_SPT_StockHigh,1,COLUMN()))</f>
        <v/>
      </c>
      <c r="AJ489" s="1871">
        <f>IF(INDEX(MO_SNA_IsHistoricalPeriod,1,COLUMN())=FALSE,0,INDEX(MO_SPT_StockHigh,1,COLUMN()))</f>
        <v/>
      </c>
      <c r="AK489" s="1872">
        <f>IF(INDEX(MO_SNA_IsHistoricalPeriod,1,COLUMN())=FALSE,0,INDEX(MO_SPT_StockHigh,1,COLUMN()))</f>
        <v/>
      </c>
      <c r="AL489" s="1871">
        <f>IF(INDEX(MO_SNA_IsHistoricalPeriod,1,COLUMN())=FALSE,0,INDEX(MO_SPT_StockHigh,1,COLUMN()))</f>
        <v/>
      </c>
      <c r="AM489" s="1873">
        <f>IF(INDEX(MO_SNA_IsHistoricalPeriod,1,COLUMN())=FALSE,0,INDEX(MO_SPT_StockHigh,1,COLUMN()))</f>
        <v/>
      </c>
      <c r="AN489" s="1871">
        <f>IF(INDEX(MO_SNA_IsHistoricalPeriod,1,COLUMN())=FALSE,0,INDEX(MO_SPT_StockHigh,1,COLUMN()))</f>
        <v/>
      </c>
      <c r="AO489" s="1871">
        <f>IF(INDEX(MO_SNA_IsHistoricalPeriod,1,COLUMN())=FALSE,0,INDEX(MO_SPT_StockHigh,1,COLUMN()))</f>
        <v/>
      </c>
      <c r="AP489" s="1871">
        <f>IF(INDEX(MO_SNA_IsHistoricalPeriod,1,COLUMN())=FALSE,0,INDEX(MO_SPT_StockHigh,1,COLUMN()))</f>
        <v/>
      </c>
      <c r="AQ489" s="1871">
        <f>IF(INDEX(MO_SNA_IsHistoricalPeriod,1,COLUMN())=FALSE,0,INDEX(MO_SPT_StockHigh,1,COLUMN()))</f>
        <v/>
      </c>
      <c r="AR489" s="1873">
        <f>IF(INDEX(MO_SNA_IsHistoricalPeriod,1,COLUMN())=FALSE,0,INDEX(MO_SPT_StockHigh,1,COLUMN()))</f>
        <v/>
      </c>
      <c r="AS489" s="1873">
        <f>IF(INDEX(MO_SNA_IsHistoricalPeriod,1,COLUMN())=FALSE,0,INDEX(MO_SPT_StockHigh,1,COLUMN()))</f>
        <v/>
      </c>
      <c r="AT489" s="1873">
        <f>IF(INDEX(MO_SNA_IsHistoricalPeriod,1,COLUMN())=FALSE,0,INDEX(MO_SPT_StockHigh,1,COLUMN()))</f>
        <v/>
      </c>
      <c r="AU489" s="1873">
        <f>IF(INDEX(MO_SNA_IsHistoricalPeriod,1,COLUMN())=FALSE,0,INDEX(MO_SPT_StockHigh,1,COLUMN()))</f>
        <v/>
      </c>
      <c r="AV489" s="1874" t="n"/>
    </row>
    <row r="490" hidden="1" outlineLevel="1" ht="14.4" customFormat="1" customHeight="1" s="1867">
      <c r="A490" s="1868">
        <f>"Stock Low, "&amp;HP.TradeCurrency</f>
        <v/>
      </c>
      <c r="B490" s="1869" t="n"/>
      <c r="C490" s="1870" t="n"/>
      <c r="D490" s="1870" t="n"/>
      <c r="E490" s="1870" t="n"/>
      <c r="F490" s="1870" t="n"/>
      <c r="G490" s="1870" t="n"/>
      <c r="H490" s="1870" t="n"/>
      <c r="I490" s="1870" t="n"/>
      <c r="J490" s="1870" t="n"/>
      <c r="K490" s="1870" t="n"/>
      <c r="L490" s="1870" t="n"/>
      <c r="M490" s="1870" t="n"/>
      <c r="N490" s="1870" t="n"/>
      <c r="O490" s="1871" t="n"/>
      <c r="P490" s="1871" t="n"/>
      <c r="Q490" s="1871" t="n"/>
      <c r="R490" s="1871" t="n"/>
      <c r="S490" s="1870" t="n"/>
      <c r="T490" s="1871" t="n"/>
      <c r="U490" s="1871" t="n"/>
      <c r="V490" s="1871" t="n"/>
      <c r="W490" s="1871" t="n"/>
      <c r="X490" s="1870" t="n"/>
      <c r="Y490" s="1871" t="n"/>
      <c r="Z490" s="1871" t="n"/>
      <c r="AA490" s="1871" t="n"/>
      <c r="AB490" s="1871" t="n"/>
      <c r="AC490" s="1870" t="n"/>
      <c r="AD490" s="1871" t="n"/>
      <c r="AE490" s="1871" t="n"/>
      <c r="AF490" s="1871" t="n"/>
      <c r="AG490" s="1871" t="n"/>
      <c r="AH490" s="1870" t="n"/>
      <c r="AI490" s="1871">
        <f>IF(INDEX(MO_SNA_IsHistoricalPeriod,1,COLUMN())=FALSE,0,INDEX(MO_SPT_StockLow,1,COLUMN()))</f>
        <v/>
      </c>
      <c r="AJ490" s="1871">
        <f>IF(INDEX(MO_SNA_IsHistoricalPeriod,1,COLUMN())=FALSE,0,INDEX(MO_SPT_StockLow,1,COLUMN()))</f>
        <v/>
      </c>
      <c r="AK490" s="1872">
        <f>IF(INDEX(MO_SNA_IsHistoricalPeriod,1,COLUMN())=FALSE,0,INDEX(MO_SPT_StockLow,1,COLUMN()))</f>
        <v/>
      </c>
      <c r="AL490" s="1871">
        <f>IF(INDEX(MO_SNA_IsHistoricalPeriod,1,COLUMN())=FALSE,0,INDEX(MO_SPT_StockLow,1,COLUMN()))</f>
        <v/>
      </c>
      <c r="AM490" s="1873">
        <f>IF(INDEX(MO_SNA_IsHistoricalPeriod,1,COLUMN())=FALSE,0,INDEX(MO_SPT_StockLow,1,COLUMN()))</f>
        <v/>
      </c>
      <c r="AN490" s="1871">
        <f>IF(INDEX(MO_SNA_IsHistoricalPeriod,1,COLUMN())=FALSE,0,INDEX(MO_SPT_StockLow,1,COLUMN()))</f>
        <v/>
      </c>
      <c r="AO490" s="1871">
        <f>IF(INDEX(MO_SNA_IsHistoricalPeriod,1,COLUMN())=FALSE,0,INDEX(MO_SPT_StockLow,1,COLUMN()))</f>
        <v/>
      </c>
      <c r="AP490" s="1871">
        <f>IF(INDEX(MO_SNA_IsHistoricalPeriod,1,COLUMN())=FALSE,0,INDEX(MO_SPT_StockLow,1,COLUMN()))</f>
        <v/>
      </c>
      <c r="AQ490" s="1871">
        <f>IF(INDEX(MO_SNA_IsHistoricalPeriod,1,COLUMN())=FALSE,0,INDEX(MO_SPT_StockLow,1,COLUMN()))</f>
        <v/>
      </c>
      <c r="AR490" s="1873">
        <f>IF(INDEX(MO_SNA_IsHistoricalPeriod,1,COLUMN())=FALSE,0,INDEX(MO_SPT_StockLow,1,COLUMN()))</f>
        <v/>
      </c>
      <c r="AS490" s="1873">
        <f>IF(INDEX(MO_SNA_IsHistoricalPeriod,1,COLUMN())=FALSE,0,INDEX(MO_SPT_StockLow,1,COLUMN()))</f>
        <v/>
      </c>
      <c r="AT490" s="1873">
        <f>IF(INDEX(MO_SNA_IsHistoricalPeriod,1,COLUMN())=FALSE,0,INDEX(MO_SPT_StockLow,1,COLUMN()))</f>
        <v/>
      </c>
      <c r="AU490" s="1873">
        <f>IF(INDEX(MO_SNA_IsHistoricalPeriod,1,COLUMN())=FALSE,0,INDEX(MO_SPT_StockLow,1,COLUMN()))</f>
        <v/>
      </c>
      <c r="AV490" s="1874" t="n"/>
    </row>
    <row r="491" hidden="1" outlineLevel="1" ht="14.4" customFormat="1" customHeight="1" s="1867">
      <c r="A491" s="1868">
        <f>"Stock Average, "&amp;HP.TradeCurrency</f>
        <v/>
      </c>
      <c r="B491" s="1869" t="n"/>
      <c r="C491" s="1870" t="n"/>
      <c r="D491" s="1870" t="n"/>
      <c r="E491" s="1870" t="n"/>
      <c r="F491" s="1870" t="n"/>
      <c r="G491" s="1870" t="n"/>
      <c r="H491" s="1870" t="n"/>
      <c r="I491" s="1870" t="n"/>
      <c r="J491" s="1870" t="n"/>
      <c r="K491" s="1870" t="n"/>
      <c r="L491" s="1870" t="n"/>
      <c r="M491" s="1870" t="n"/>
      <c r="N491" s="1870" t="n"/>
      <c r="O491" s="1871" t="n"/>
      <c r="P491" s="1871" t="n"/>
      <c r="Q491" s="1871" t="n"/>
      <c r="R491" s="1871" t="n"/>
      <c r="S491" s="1870" t="n"/>
      <c r="T491" s="1871" t="n"/>
      <c r="U491" s="1871" t="n"/>
      <c r="V491" s="1871" t="n"/>
      <c r="W491" s="1871" t="n"/>
      <c r="X491" s="1870" t="n"/>
      <c r="Y491" s="1871" t="n"/>
      <c r="Z491" s="1871" t="n"/>
      <c r="AA491" s="1871" t="n"/>
      <c r="AB491" s="1871" t="n"/>
      <c r="AC491" s="1870" t="n"/>
      <c r="AD491" s="1871" t="n"/>
      <c r="AE491" s="1871" t="n"/>
      <c r="AF491" s="1871" t="n"/>
      <c r="AG491" s="1871" t="n"/>
      <c r="AH491" s="1870" t="n"/>
      <c r="AI491" s="1871">
        <f>IF(INDEX(MO_SNA_IsHistoricalPeriod,1,COLUMN())=FALSE,0,INDEX(MO_SPT_StockAverage,1,COLUMN()))</f>
        <v/>
      </c>
      <c r="AJ491" s="1871">
        <f>IF(INDEX(MO_SNA_IsHistoricalPeriod,1,COLUMN())=FALSE,0,INDEX(MO_SPT_StockAverage,1,COLUMN()))</f>
        <v/>
      </c>
      <c r="AK491" s="1872">
        <f>IF(INDEX(MO_SNA_IsHistoricalPeriod,1,COLUMN())=FALSE,0,INDEX(MO_SPT_StockAverage,1,COLUMN()))</f>
        <v/>
      </c>
      <c r="AL491" s="1871">
        <f>IF(INDEX(MO_SNA_IsHistoricalPeriod,1,COLUMN())=FALSE,0,INDEX(MO_SPT_StockAverage,1,COLUMN()))</f>
        <v/>
      </c>
      <c r="AM491" s="1873">
        <f>IF(INDEX(MO_SNA_IsHistoricalPeriod,1,COLUMN())=FALSE,0,INDEX(MO_SPT_StockAverage,1,COLUMN()))</f>
        <v/>
      </c>
      <c r="AN491" s="1871">
        <f>IF(INDEX(MO_SNA_IsHistoricalPeriod,1,COLUMN())=FALSE,0,INDEX(MO_SPT_StockAverage,1,COLUMN()))</f>
        <v/>
      </c>
      <c r="AO491" s="1871">
        <f>IF(INDEX(MO_SNA_IsHistoricalPeriod,1,COLUMN())=FALSE,0,INDEX(MO_SPT_StockAverage,1,COLUMN()))</f>
        <v/>
      </c>
      <c r="AP491" s="1871">
        <f>IF(INDEX(MO_SNA_IsHistoricalPeriod,1,COLUMN())=FALSE,0,INDEX(MO_SPT_StockAverage,1,COLUMN()))</f>
        <v/>
      </c>
      <c r="AQ491" s="1871">
        <f>IF(INDEX(MO_SNA_IsHistoricalPeriod,1,COLUMN())=FALSE,0,INDEX(MO_SPT_StockAverage,1,COLUMN()))</f>
        <v/>
      </c>
      <c r="AR491" s="1873">
        <f>IF(INDEX(MO_SNA_IsHistoricalPeriod,1,COLUMN())=FALSE,0,INDEX(MO_SPT_StockAverage,1,COLUMN()))</f>
        <v/>
      </c>
      <c r="AS491" s="1873">
        <f>IF(INDEX(MO_SNA_IsHistoricalPeriod,1,COLUMN())=FALSE,0,INDEX(MO_SPT_StockAverage,1,COLUMN()))</f>
        <v/>
      </c>
      <c r="AT491" s="1873">
        <f>IF(INDEX(MO_SNA_IsHistoricalPeriod,1,COLUMN())=FALSE,0,INDEX(MO_SPT_StockAverage,1,COLUMN()))</f>
        <v/>
      </c>
      <c r="AU491" s="1873">
        <f>IF(INDEX(MO_SNA_IsHistoricalPeriod,1,COLUMN())=FALSE,0,INDEX(MO_SPT_StockAverage,1,COLUMN()))</f>
        <v/>
      </c>
      <c r="AV491" s="1874" t="n"/>
    </row>
    <row r="492" hidden="1" outlineLevel="1" ht="14.4" customFormat="1" customHeight="1" s="1867">
      <c r="A492" s="1868">
        <f>"Stock EoP, "&amp;HP.TradeCurrency</f>
        <v/>
      </c>
      <c r="B492" s="1869" t="n"/>
      <c r="C492" s="1875" t="n"/>
      <c r="D492" s="1875" t="n"/>
      <c r="E492" s="1875" t="n"/>
      <c r="F492" s="1875" t="n"/>
      <c r="G492" s="1875" t="n"/>
      <c r="H492" s="1875" t="n"/>
      <c r="I492" s="1875" t="n"/>
      <c r="J492" s="1875" t="n"/>
      <c r="K492" s="1875" t="n"/>
      <c r="L492" s="1875" t="n"/>
      <c r="M492" s="1875" t="n"/>
      <c r="N492" s="1875" t="n"/>
      <c r="O492" s="1876" t="n"/>
      <c r="P492" s="1876" t="n"/>
      <c r="Q492" s="1876" t="n"/>
      <c r="R492" s="1876" t="n"/>
      <c r="S492" s="1875" t="n"/>
      <c r="T492" s="1876" t="n"/>
      <c r="U492" s="1876" t="n"/>
      <c r="V492" s="1876" t="n"/>
      <c r="W492" s="1876" t="n"/>
      <c r="X492" s="1875" t="n"/>
      <c r="Y492" s="1876" t="n"/>
      <c r="Z492" s="1876" t="n"/>
      <c r="AA492" s="1876" t="n"/>
      <c r="AB492" s="1876" t="n"/>
      <c r="AC492" s="1875" t="n"/>
      <c r="AD492" s="1876" t="n"/>
      <c r="AE492" s="1876" t="n"/>
      <c r="AF492" s="1876" t="n"/>
      <c r="AG492" s="1876" t="n"/>
      <c r="AH492" s="1875" t="n"/>
      <c r="AI492" s="1876">
        <f>IF(INDEX(MO_SNA_IsHistoricalPeriod,1,COLUMN())=FALSE,MO.LastPrice,INDEX(MO_SPT_StockEoP,1,COLUMN()))</f>
        <v/>
      </c>
      <c r="AJ492" s="1876">
        <f>IF(INDEX(MO_SNA_IsHistoricalPeriod,1,COLUMN())=FALSE,MO.LastPrice,INDEX(MO_SPT_StockEoP,1,COLUMN()))</f>
        <v/>
      </c>
      <c r="AK492" s="1877">
        <f>IF(INDEX(MO_SNA_IsHistoricalPeriod,1,COLUMN())=FALSE,MO.LastPrice,INDEX(MO_SPT_StockEoP,1,COLUMN()))</f>
        <v/>
      </c>
      <c r="AL492" s="1876">
        <f>IF(INDEX(MO_SNA_IsHistoricalPeriod,1,COLUMN())=FALSE,MO.LastPrice,INDEX(MO_SPT_StockEoP,1,COLUMN()))</f>
        <v/>
      </c>
      <c r="AM492" s="1878">
        <f>IF(INDEX(MO_SNA_IsHistoricalPeriod,1,COLUMN())=FALSE,MO.LastPrice,INDEX(MO_SPT_StockEoP,1,COLUMN()))</f>
        <v/>
      </c>
      <c r="AN492" s="1876">
        <f>IF(INDEX(MO_SNA_IsHistoricalPeriod,1,COLUMN())=FALSE,MO.LastPrice,INDEX(MO_SPT_StockEoP,1,COLUMN()))</f>
        <v/>
      </c>
      <c r="AO492" s="1876">
        <f>IF(INDEX(MO_SNA_IsHistoricalPeriod,1,COLUMN())=FALSE,MO.LastPrice,INDEX(MO_SPT_StockEoP,1,COLUMN()))</f>
        <v/>
      </c>
      <c r="AP492" s="1876">
        <f>IF(INDEX(MO_SNA_IsHistoricalPeriod,1,COLUMN())=FALSE,MO.LastPrice,INDEX(MO_SPT_StockEoP,1,COLUMN()))</f>
        <v/>
      </c>
      <c r="AQ492" s="1876">
        <f>IF(INDEX(MO_SNA_IsHistoricalPeriod,1,COLUMN())=FALSE,MO.LastPrice,INDEX(MO_SPT_StockEoP,1,COLUMN()))</f>
        <v/>
      </c>
      <c r="AR492" s="1878">
        <f>IF(INDEX(MO_SNA_IsHistoricalPeriod,1,COLUMN())=FALSE,MO.LastPrice,INDEX(MO_SPT_StockEoP,1,COLUMN()))</f>
        <v/>
      </c>
      <c r="AS492" s="1878">
        <f>IF(INDEX(MO_SNA_IsHistoricalPeriod,1,COLUMN())=FALSE,MO.LastPrice,INDEX(MO_SPT_StockEoP,1,COLUMN()))</f>
        <v/>
      </c>
      <c r="AT492" s="1878">
        <f>IF(INDEX(MO_SNA_IsHistoricalPeriod,1,COLUMN())=FALSE,MO.LastPrice,INDEX(MO_SPT_StockEoP,1,COLUMN()))</f>
        <v/>
      </c>
      <c r="AU492" s="1878">
        <f>IF(INDEX(MO_SNA_IsHistoricalPeriod,1,COLUMN())=FALSE,MO.LastPrice,INDEX(MO_SPT_StockEoP,1,COLUMN()))</f>
        <v/>
      </c>
      <c r="AV492" s="1874" t="n"/>
    </row>
    <row r="493" hidden="1" outlineLevel="1" ht="14.4" customFormat="1" customHeight="1" s="1787">
      <c r="A493" s="1879">
        <f>"Average FX Rate, "&amp;HP.TradeCurrency&amp;"/"&amp;MO.ReportCurrency</f>
        <v/>
      </c>
      <c r="B493" s="1880" t="n"/>
      <c r="C493" s="1881" t="n"/>
      <c r="D493" s="1881" t="n"/>
      <c r="E493" s="1881" t="n"/>
      <c r="F493" s="1881" t="n"/>
      <c r="G493" s="1881" t="n"/>
      <c r="H493" s="1881" t="n"/>
      <c r="I493" s="1881" t="n"/>
      <c r="J493" s="1881" t="n"/>
      <c r="K493" s="1881" t="n"/>
      <c r="L493" s="1881" t="n"/>
      <c r="M493" s="1881" t="n"/>
      <c r="N493" s="1881" t="n"/>
      <c r="O493" s="1882" t="n"/>
      <c r="P493" s="1882" t="n"/>
      <c r="Q493" s="1882" t="n"/>
      <c r="R493" s="1882" t="n"/>
      <c r="S493" s="1881" t="n"/>
      <c r="T493" s="1882" t="n"/>
      <c r="U493" s="1882" t="n"/>
      <c r="V493" s="1882" t="n"/>
      <c r="W493" s="1882" t="n"/>
      <c r="X493" s="1881" t="n"/>
      <c r="Y493" s="1882" t="n"/>
      <c r="Z493" s="1882" t="n"/>
      <c r="AA493" s="1882" t="n"/>
      <c r="AB493" s="1882" t="n"/>
      <c r="AC493" s="1881" t="n"/>
      <c r="AD493" s="1882" t="n"/>
      <c r="AE493" s="1882" t="n"/>
      <c r="AF493" s="1882" t="n"/>
      <c r="AG493" s="1882" t="n"/>
      <c r="AH493" s="1881" t="n"/>
      <c r="AI493" s="1882">
        <f>IF(INDEX(MO_SPT_FXAverage,1,COLUMN())=0,1,INDEX(MO_SPT_FXAverage,1,COLUMN()))</f>
        <v/>
      </c>
      <c r="AJ493" s="1882">
        <f>IF(INDEX(MO_SPT_FXAverage,1,COLUMN())=0,1,INDEX(MO_SPT_FXAverage,1,COLUMN()))</f>
        <v/>
      </c>
      <c r="AK493" s="1883">
        <f>IF(INDEX(MO_SPT_FXAverage,1,COLUMN())=0,1,INDEX(MO_SPT_FXAverage,1,COLUMN()))</f>
        <v/>
      </c>
      <c r="AL493" s="1882">
        <f>IF(INDEX(MO_SPT_FXAverage,1,COLUMN())=0,1,INDEX(MO_SPT_FXAverage,1,COLUMN()))</f>
        <v/>
      </c>
      <c r="AM493" s="1790">
        <f>IF(INDEX(MO_SPT_FXAverage,1,COLUMN())=0,1,INDEX(MO_SPT_FXAverage,1,COLUMN()))</f>
        <v/>
      </c>
      <c r="AN493" s="1882">
        <f>IF(INDEX(MO_SPT_FXAverage,1,COLUMN())=0,1,INDEX(MO_SPT_FXAverage,1,COLUMN()))</f>
        <v/>
      </c>
      <c r="AO493" s="1882">
        <f>IF(INDEX(MO_SPT_FXAverage,1,COLUMN())=0,1,INDEX(MO_SPT_FXAverage,1,COLUMN()))</f>
        <v/>
      </c>
      <c r="AP493" s="1882">
        <f>IF(INDEX(MO_SPT_FXAverage,1,COLUMN())=0,1,INDEX(MO_SPT_FXAverage,1,COLUMN()))</f>
        <v/>
      </c>
      <c r="AQ493" s="1882">
        <f>IF(INDEX(MO_SPT_FXAverage,1,COLUMN())=0,1,INDEX(MO_SPT_FXAverage,1,COLUMN()))</f>
        <v/>
      </c>
      <c r="AR493" s="1790">
        <f>IF(INDEX(MO_SPT_FXAverage,1,COLUMN())=0,1,INDEX(MO_SPT_FXAverage,1,COLUMN()))</f>
        <v/>
      </c>
      <c r="AS493" s="1790">
        <f>IF(INDEX(MO_SPT_FXAverage,1,COLUMN())=0,1,INDEX(MO_SPT_FXAverage,1,COLUMN()))</f>
        <v/>
      </c>
      <c r="AT493" s="1790">
        <f>IF(INDEX(MO_SPT_FXAverage,1,COLUMN())=0,1,INDEX(MO_SPT_FXAverage,1,COLUMN()))</f>
        <v/>
      </c>
      <c r="AU493" s="1790">
        <f>IF(INDEX(MO_SPT_FXAverage,1,COLUMN())=0,1,INDEX(MO_SPT_FXAverage,1,COLUMN()))</f>
        <v/>
      </c>
      <c r="AV493" s="1793" t="n"/>
    </row>
    <row r="494" hidden="1" outlineLevel="1" ht="14.4" customFormat="1" customHeight="1" s="1787">
      <c r="A494" s="1879">
        <f>"EoP FX Rate, "&amp;HP.TradeCurrency&amp;"/"&amp;MO.ReportCurrency</f>
        <v/>
      </c>
      <c r="B494" s="1880" t="n"/>
      <c r="C494" s="1881" t="n"/>
      <c r="D494" s="1881" t="n"/>
      <c r="E494" s="1881" t="n"/>
      <c r="F494" s="1881" t="n"/>
      <c r="G494" s="1881" t="n"/>
      <c r="H494" s="1881" t="n"/>
      <c r="I494" s="1881" t="n"/>
      <c r="J494" s="1881" t="n"/>
      <c r="K494" s="1881" t="n"/>
      <c r="L494" s="1881" t="n"/>
      <c r="M494" s="1881" t="n"/>
      <c r="N494" s="1881" t="n"/>
      <c r="O494" s="1882" t="n"/>
      <c r="P494" s="1882" t="n"/>
      <c r="Q494" s="1882" t="n"/>
      <c r="R494" s="1882" t="n"/>
      <c r="S494" s="1881" t="n"/>
      <c r="T494" s="1882" t="n"/>
      <c r="U494" s="1882" t="n"/>
      <c r="V494" s="1882" t="n"/>
      <c r="W494" s="1882" t="n"/>
      <c r="X494" s="1881" t="n"/>
      <c r="Y494" s="1882" t="n"/>
      <c r="Z494" s="1882" t="n"/>
      <c r="AA494" s="1882" t="n"/>
      <c r="AB494" s="1882" t="n"/>
      <c r="AC494" s="1881" t="n"/>
      <c r="AD494" s="1882" t="n"/>
      <c r="AE494" s="1882" t="n"/>
      <c r="AF494" s="1882" t="n"/>
      <c r="AG494" s="1882" t="n"/>
      <c r="AH494" s="1881" t="n"/>
      <c r="AI494" s="1882">
        <f>IF(INDEX(MO_SNA_IsHistoricalPeriod,1,COLUMN())=FALSE,HP.MRFX,INDEX(MO_SPT_FXEoP,1,COLUMN()))</f>
        <v/>
      </c>
      <c r="AJ494" s="1882">
        <f>IF(INDEX(MO_SNA_IsHistoricalPeriod,1,COLUMN())=FALSE,HP.MRFX,INDEX(MO_SPT_FXEoP,1,COLUMN()))</f>
        <v/>
      </c>
      <c r="AK494" s="1883">
        <f>IF(INDEX(MO_SNA_IsHistoricalPeriod,1,COLUMN())=FALSE,HP.MRFX,INDEX(MO_SPT_FXEoP,1,COLUMN()))</f>
        <v/>
      </c>
      <c r="AL494" s="1882">
        <f>IF(INDEX(MO_SNA_IsHistoricalPeriod,1,COLUMN())=FALSE,HP.MRFX,INDEX(MO_SPT_FXEoP,1,COLUMN()))</f>
        <v/>
      </c>
      <c r="AM494" s="1790">
        <f>IF(INDEX(MO_SNA_IsHistoricalPeriod,1,COLUMN())=FALSE,HP.MRFX,INDEX(MO_SPT_FXEoP,1,COLUMN()))</f>
        <v/>
      </c>
      <c r="AN494" s="1882">
        <f>IF(INDEX(MO_SNA_IsHistoricalPeriod,1,COLUMN())=FALSE,HP.MRFX,INDEX(MO_SPT_FXEoP,1,COLUMN()))</f>
        <v/>
      </c>
      <c r="AO494" s="1882">
        <f>IF(INDEX(MO_SNA_IsHistoricalPeriod,1,COLUMN())=FALSE,HP.MRFX,INDEX(MO_SPT_FXEoP,1,COLUMN()))</f>
        <v/>
      </c>
      <c r="AP494" s="1882">
        <f>IF(INDEX(MO_SNA_IsHistoricalPeriod,1,COLUMN())=FALSE,HP.MRFX,INDEX(MO_SPT_FXEoP,1,COLUMN()))</f>
        <v/>
      </c>
      <c r="AQ494" s="1882">
        <f>IF(INDEX(MO_SNA_IsHistoricalPeriod,1,COLUMN())=FALSE,HP.MRFX,INDEX(MO_SPT_FXEoP,1,COLUMN()))</f>
        <v/>
      </c>
      <c r="AR494" s="1790">
        <f>IF(INDEX(MO_SNA_IsHistoricalPeriod,1,COLUMN())=FALSE,HP.MRFX,INDEX(MO_SPT_FXEoP,1,COLUMN()))</f>
        <v/>
      </c>
      <c r="AS494" s="1790">
        <f>IF(INDEX(MO_SNA_IsHistoricalPeriod,1,COLUMN())=FALSE,HP.MRFX,INDEX(MO_SPT_FXEoP,1,COLUMN()))</f>
        <v/>
      </c>
      <c r="AT494" s="1790">
        <f>IF(INDEX(MO_SNA_IsHistoricalPeriod,1,COLUMN())=FALSE,HP.MRFX,INDEX(MO_SPT_FXEoP,1,COLUMN()))</f>
        <v/>
      </c>
      <c r="AU494" s="1790">
        <f>IF(INDEX(MO_SNA_IsHistoricalPeriod,1,COLUMN())=FALSE,HP.MRFX,INDEX(MO_SPT_FXEoP,1,COLUMN()))</f>
        <v/>
      </c>
      <c r="AV494" s="1793" t="n"/>
    </row>
    <row r="495" hidden="1" outlineLevel="1" ht="14.4" customFormat="1" customHeight="1" s="1867">
      <c r="A495" s="1868">
        <f>"Stock Price (Trading Cur.) - "&amp;MO.ValuationToggle&amp;", "&amp;HP.TradeCurrency</f>
        <v/>
      </c>
      <c r="B495" s="1869" t="n"/>
      <c r="C495" s="1870" t="n"/>
      <c r="D495" s="1870" t="n"/>
      <c r="E495" s="1870" t="n"/>
      <c r="F495" s="1870" t="n"/>
      <c r="G495" s="1870" t="n"/>
      <c r="H495" s="1870" t="n"/>
      <c r="I495" s="1870" t="n"/>
      <c r="J495" s="1870" t="n"/>
      <c r="K495" s="1870" t="n"/>
      <c r="L495" s="1870" t="n"/>
      <c r="M495" s="1870" t="n"/>
      <c r="N495" s="1870" t="n"/>
      <c r="O495" s="1871" t="n"/>
      <c r="P495" s="1871" t="n"/>
      <c r="Q495" s="1871" t="n"/>
      <c r="R495" s="1871" t="n"/>
      <c r="S495" s="1870" t="n"/>
      <c r="T495" s="1871" t="n"/>
      <c r="U495" s="1871" t="n"/>
      <c r="V495" s="1871" t="n"/>
      <c r="W495" s="1871" t="n"/>
      <c r="X495" s="1870" t="n"/>
      <c r="Y495" s="1871" t="n"/>
      <c r="Z495" s="1871" t="n"/>
      <c r="AA495" s="1871" t="n"/>
      <c r="AB495" s="1871" t="n"/>
      <c r="AC495" s="1870" t="n"/>
      <c r="AD495" s="1871" t="n"/>
      <c r="AE495" s="1871" t="n"/>
      <c r="AF495" s="1871" t="n"/>
      <c r="AG495" s="1871" t="n"/>
      <c r="AH495" s="1870" t="n"/>
      <c r="AI495" s="1871">
        <f>IF(INDEX(MO_SNA_IsHistoricalPeriod,1,COLUMN())=FALSE,MO.LastPrice,CHOOSE(VLOOKUP(MO.ValuationToggle,tb_ValuationToggle,COLUMNS(tb_ValuationToggle),FALSE),AI489,AI490,AI491,AI492))</f>
        <v/>
      </c>
      <c r="AJ495" s="1871">
        <f>IF(INDEX(MO_SNA_IsHistoricalPeriod,1,COLUMN())=FALSE,MO.LastPrice,CHOOSE(VLOOKUP(MO.ValuationToggle,tb_ValuationToggle,COLUMNS(tb_ValuationToggle),FALSE),AJ489,AJ490,AJ491,AJ492))</f>
        <v/>
      </c>
      <c r="AK495" s="1872">
        <f>IF(INDEX(MO_SNA_IsHistoricalPeriod,1,COLUMN())=FALSE,MO.LastPrice,CHOOSE(VLOOKUP(MO.ValuationToggle,tb_ValuationToggle,COLUMNS(tb_ValuationToggle),FALSE),AK489,AK490,AK491,AK492))</f>
        <v/>
      </c>
      <c r="AL495" s="1871">
        <f>IF(INDEX(MO_SNA_IsHistoricalPeriod,1,COLUMN())=FALSE,MO.LastPrice,CHOOSE(VLOOKUP(MO.ValuationToggle,tb_ValuationToggle,COLUMNS(tb_ValuationToggle),FALSE),AL489,AL490,AL491,AL492))</f>
        <v/>
      </c>
      <c r="AM495" s="1873">
        <f>IF(INDEX(MO_SNA_IsHistoricalPeriod,1,COLUMN())=FALSE,MO.LastPrice,CHOOSE(VLOOKUP(MO.ValuationToggle,tb_ValuationToggle,COLUMNS(tb_ValuationToggle),FALSE),AM489,AM490,AM491,AM492))</f>
        <v/>
      </c>
      <c r="AN495" s="1871">
        <f>IF(INDEX(MO_SNA_IsHistoricalPeriod,1,COLUMN())=FALSE,MO.LastPrice,CHOOSE(VLOOKUP(MO.ValuationToggle,tb_ValuationToggle,COLUMNS(tb_ValuationToggle),FALSE),AN489,AN490,AN491,AN492))</f>
        <v/>
      </c>
      <c r="AO495" s="1871">
        <f>IF(INDEX(MO_SNA_IsHistoricalPeriod,1,COLUMN())=FALSE,MO.LastPrice,CHOOSE(VLOOKUP(MO.ValuationToggle,tb_ValuationToggle,COLUMNS(tb_ValuationToggle),FALSE),AO489,AO490,AO491,AO492))</f>
        <v/>
      </c>
      <c r="AP495" s="1871">
        <f>IF(INDEX(MO_SNA_IsHistoricalPeriod,1,COLUMN())=FALSE,MO.LastPrice,CHOOSE(VLOOKUP(MO.ValuationToggle,tb_ValuationToggle,COLUMNS(tb_ValuationToggle),FALSE),AP489,AP490,AP491,AP492))</f>
        <v/>
      </c>
      <c r="AQ495" s="1871">
        <f>IF(INDEX(MO_SNA_IsHistoricalPeriod,1,COLUMN())=FALSE,MO.LastPrice,CHOOSE(VLOOKUP(MO.ValuationToggle,tb_ValuationToggle,COLUMNS(tb_ValuationToggle),FALSE),AQ489,AQ490,AQ491,AQ492))</f>
        <v/>
      </c>
      <c r="AR495" s="1873">
        <f>IF(INDEX(MO_SNA_IsHistoricalPeriod,1,COLUMN())=FALSE,MO.LastPrice,CHOOSE(VLOOKUP(MO.ValuationToggle,tb_ValuationToggle,COLUMNS(tb_ValuationToggle),FALSE),AR489,AR490,AR491,AR492))</f>
        <v/>
      </c>
      <c r="AS495" s="1873">
        <f>IF(INDEX(MO_SNA_IsHistoricalPeriod,1,COLUMN())=FALSE,MO.LastPrice,CHOOSE(VLOOKUP(MO.ValuationToggle,tb_ValuationToggle,COLUMNS(tb_ValuationToggle),FALSE),AS489,AS490,AS491,AS492))</f>
        <v/>
      </c>
      <c r="AT495" s="1873">
        <f>IF(INDEX(MO_SNA_IsHistoricalPeriod,1,COLUMN())=FALSE,MO.LastPrice,CHOOSE(VLOOKUP(MO.ValuationToggle,tb_ValuationToggle,COLUMNS(tb_ValuationToggle),FALSE),AT489,AT490,AT491,AT492))</f>
        <v/>
      </c>
      <c r="AU495" s="1873">
        <f>IF(INDEX(MO_SNA_IsHistoricalPeriod,1,COLUMN())=FALSE,MO.LastPrice,CHOOSE(VLOOKUP(MO.ValuationToggle,tb_ValuationToggle,COLUMNS(tb_ValuationToggle),FALSE),AU489,AU490,AU491,AU492))</f>
        <v/>
      </c>
      <c r="AV495" s="1874" t="n"/>
    </row>
    <row r="496" hidden="1" outlineLevel="1" ht="14.4" customFormat="1" customHeight="1" s="1418">
      <c r="A496" s="1467" t="n"/>
      <c r="B496" s="1698" t="n"/>
      <c r="C496" s="1529" t="n"/>
      <c r="D496" s="1529" t="n"/>
      <c r="E496" s="1529" t="n"/>
      <c r="F496" s="1529" t="n"/>
      <c r="G496" s="1529" t="n"/>
      <c r="H496" s="1529" t="n"/>
      <c r="I496" s="1529" t="n"/>
      <c r="J496" s="1529" t="n"/>
      <c r="K496" s="1529" t="n"/>
      <c r="L496" s="1529" t="n"/>
      <c r="M496" s="1529" t="n"/>
      <c r="N496" s="1529" t="n"/>
      <c r="O496" s="1420" t="n"/>
      <c r="P496" s="1420" t="n"/>
      <c r="Q496" s="1420" t="n"/>
      <c r="R496" s="1420" t="n"/>
      <c r="S496" s="1529" t="n"/>
      <c r="T496" s="1420" t="n"/>
      <c r="U496" s="1420" t="n"/>
      <c r="V496" s="1420" t="n"/>
      <c r="W496" s="1420" t="n"/>
      <c r="X496" s="1529" t="n"/>
      <c r="Y496" s="1420" t="n"/>
      <c r="Z496" s="1420" t="n"/>
      <c r="AA496" s="1420" t="n"/>
      <c r="AB496" s="1420" t="n"/>
      <c r="AC496" s="1529" t="n"/>
      <c r="AD496" s="1420" t="n"/>
      <c r="AE496" s="1420" t="n"/>
      <c r="AF496" s="1420" t="n"/>
      <c r="AG496" s="1420" t="n"/>
      <c r="AH496" s="1529" t="n"/>
      <c r="AI496" s="1420" t="n"/>
      <c r="AJ496" s="1420" t="n"/>
      <c r="AK496" s="1421" t="n"/>
      <c r="AL496" s="1420" t="n"/>
      <c r="AM496" s="1529" t="n"/>
      <c r="AN496" s="1420" t="n"/>
      <c r="AO496" s="1420" t="n"/>
      <c r="AP496" s="1420" t="n"/>
      <c r="AQ496" s="1420" t="n"/>
      <c r="AR496" s="1529" t="n"/>
      <c r="AS496" s="1529" t="n"/>
      <c r="AT496" s="1529" t="n"/>
      <c r="AU496" s="1529" t="n"/>
      <c r="AV496" s="1422" t="n"/>
    </row>
    <row r="497" hidden="1" outlineLevel="1" ht="14.4" customFormat="1" customHeight="1" s="1418">
      <c r="A497" s="1884" t="inlineStr">
        <is>
          <t>Enterprise Value Components</t>
        </is>
      </c>
      <c r="B497" s="1698" t="n"/>
      <c r="C497" s="1529" t="n"/>
      <c r="D497" s="1529" t="n"/>
      <c r="E497" s="1529" t="n"/>
      <c r="F497" s="1529" t="n"/>
      <c r="G497" s="1529" t="n"/>
      <c r="H497" s="1529" t="n"/>
      <c r="I497" s="1529" t="n"/>
      <c r="J497" s="1529" t="n"/>
      <c r="K497" s="1529" t="n"/>
      <c r="L497" s="1529" t="n"/>
      <c r="M497" s="1529" t="n"/>
      <c r="N497" s="1529" t="n"/>
      <c r="O497" s="1420" t="n"/>
      <c r="P497" s="1420" t="n"/>
      <c r="Q497" s="1420" t="n"/>
      <c r="R497" s="1420" t="n"/>
      <c r="S497" s="1529" t="n"/>
      <c r="T497" s="1420" t="n"/>
      <c r="U497" s="1420" t="n"/>
      <c r="V497" s="1420" t="n"/>
      <c r="W497" s="1420" t="n"/>
      <c r="X497" s="1529" t="n"/>
      <c r="Y497" s="1420" t="n"/>
      <c r="Z497" s="1420" t="n"/>
      <c r="AA497" s="1420" t="n"/>
      <c r="AB497" s="1420" t="n"/>
      <c r="AC497" s="1529" t="n"/>
      <c r="AD497" s="1420" t="n"/>
      <c r="AE497" s="1420" t="n"/>
      <c r="AF497" s="1420" t="n"/>
      <c r="AG497" s="1420" t="n"/>
      <c r="AH497" s="1529" t="n"/>
      <c r="AI497" s="1420" t="n"/>
      <c r="AJ497" s="1420" t="n"/>
      <c r="AK497" s="1421" t="n"/>
      <c r="AL497" s="1420" t="n"/>
      <c r="AM497" s="1529" t="n"/>
      <c r="AN497" s="1420" t="n"/>
      <c r="AO497" s="1420" t="n"/>
      <c r="AP497" s="1420" t="n"/>
      <c r="AQ497" s="1420" t="n"/>
      <c r="AR497" s="1529" t="n"/>
      <c r="AS497" s="1529" t="n"/>
      <c r="AT497" s="1529" t="n"/>
      <c r="AU497" s="1529" t="n"/>
      <c r="AV497" s="1422" t="n"/>
    </row>
    <row r="498" hidden="1" outlineLevel="1" ht="14.4" customFormat="1" customHeight="1" s="1418">
      <c r="A498" s="1700" t="inlineStr">
        <is>
          <t>Noncontrolling Interest</t>
        </is>
      </c>
      <c r="B498" s="1698" t="n"/>
      <c r="C498" s="1529" t="n"/>
      <c r="D498" s="1529" t="n"/>
      <c r="E498" s="1529" t="n"/>
      <c r="F498" s="1529" t="n"/>
      <c r="G498" s="1529" t="n"/>
      <c r="H498" s="1529" t="n"/>
      <c r="I498" s="1529" t="n"/>
      <c r="J498" s="1529" t="n"/>
      <c r="K498" s="1529" t="n"/>
      <c r="L498" s="1529" t="n"/>
      <c r="M498" s="1529" t="n"/>
      <c r="N498" s="1529" t="n"/>
      <c r="O498" s="1420" t="n"/>
      <c r="P498" s="1420" t="n"/>
      <c r="Q498" s="1420" t="n"/>
      <c r="R498" s="1420" t="n"/>
      <c r="S498" s="1529" t="n"/>
      <c r="T498" s="1420" t="n"/>
      <c r="U498" s="1420" t="n"/>
      <c r="V498" s="1420" t="n"/>
      <c r="W498" s="1420" t="n"/>
      <c r="X498" s="1529" t="n"/>
      <c r="Y498" s="1420" t="n"/>
      <c r="Z498" s="1420" t="n"/>
      <c r="AA498" s="1420" t="n"/>
      <c r="AB498" s="1422">
        <f>AB725</f>
        <v/>
      </c>
      <c r="AC498" s="1540">
        <f>AC725</f>
        <v/>
      </c>
      <c r="AD498" s="1420" t="n"/>
      <c r="AE498" s="1420" t="n"/>
      <c r="AF498" s="1422">
        <f>AF725</f>
        <v/>
      </c>
      <c r="AG498" s="1422">
        <f>AG725</f>
        <v/>
      </c>
      <c r="AH498" s="1540">
        <f>AH725</f>
        <v/>
      </c>
      <c r="AI498" s="1420">
        <f>AI725</f>
        <v/>
      </c>
      <c r="AJ498" s="1420">
        <f>AJ725</f>
        <v/>
      </c>
      <c r="AK498" s="1541">
        <f>AK725</f>
        <v/>
      </c>
      <c r="AL498" s="1420">
        <f>AL725</f>
        <v/>
      </c>
      <c r="AM498" s="1529">
        <f>AM725</f>
        <v/>
      </c>
      <c r="AN498" s="1420">
        <f>AN725</f>
        <v/>
      </c>
      <c r="AO498" s="1420">
        <f>AO725</f>
        <v/>
      </c>
      <c r="AP498" s="1420">
        <f>AP725</f>
        <v/>
      </c>
      <c r="AQ498" s="1420">
        <f>AQ725</f>
        <v/>
      </c>
      <c r="AR498" s="1529">
        <f>AR725</f>
        <v/>
      </c>
      <c r="AS498" s="1529">
        <f>AS725</f>
        <v/>
      </c>
      <c r="AT498" s="1529">
        <f>AT725</f>
        <v/>
      </c>
      <c r="AU498" s="1529">
        <f>AU725</f>
        <v/>
      </c>
      <c r="AV498" s="1422" t="n"/>
    </row>
    <row r="499" hidden="1" outlineLevel="1" ht="14.4" customFormat="1" customHeight="1" s="1418">
      <c r="A499" s="1700" t="inlineStr">
        <is>
          <t>Preferred Shares</t>
        </is>
      </c>
      <c r="B499" s="1698" t="n"/>
      <c r="C499" s="1529" t="n"/>
      <c r="D499" s="1529" t="n"/>
      <c r="E499" s="1529" t="n"/>
      <c r="F499" s="1529" t="n"/>
      <c r="G499" s="1529" t="n"/>
      <c r="H499" s="1529" t="n"/>
      <c r="I499" s="1529" t="n"/>
      <c r="J499" s="1529" t="n"/>
      <c r="K499" s="1529" t="n"/>
      <c r="L499" s="1529" t="n"/>
      <c r="M499" s="1529" t="n"/>
      <c r="N499" s="1529" t="n"/>
      <c r="O499" s="1420" t="n"/>
      <c r="P499" s="1420" t="n"/>
      <c r="Q499" s="1420" t="n"/>
      <c r="R499" s="1420" t="n"/>
      <c r="S499" s="1529" t="n"/>
      <c r="T499" s="1420" t="n"/>
      <c r="U499" s="1420" t="n"/>
      <c r="V499" s="1420" t="n"/>
      <c r="W499" s="1420" t="n"/>
      <c r="X499" s="1529" t="n"/>
      <c r="Y499" s="1420" t="n"/>
      <c r="Z499" s="1420" t="n"/>
      <c r="AA499" s="1420" t="n"/>
      <c r="AB499" s="1420" t="n"/>
      <c r="AC499" s="1529" t="n"/>
      <c r="AD499" s="1420" t="n"/>
      <c r="AE499" s="1420" t="n"/>
      <c r="AF499" s="1420" t="n"/>
      <c r="AG499" s="1420" t="n"/>
      <c r="AH499" s="1529" t="n"/>
      <c r="AI499" s="1420" t="n"/>
      <c r="AJ499" s="1420" t="n"/>
      <c r="AK499" s="1421" t="n"/>
      <c r="AL499" s="1420" t="n"/>
      <c r="AM499" s="1529" t="n"/>
      <c r="AN499" s="1420" t="n"/>
      <c r="AO499" s="1420" t="n"/>
      <c r="AP499" s="1420" t="n"/>
      <c r="AQ499" s="1420" t="n"/>
      <c r="AR499" s="1529" t="n"/>
      <c r="AS499" s="1529" t="n"/>
      <c r="AT499" s="1529" t="n"/>
      <c r="AU499" s="1529" t="n"/>
      <c r="AV499" s="1422" t="n"/>
    </row>
    <row r="500" hidden="1" outlineLevel="1" ht="14.4" customFormat="1" customHeight="1" s="1418">
      <c r="A500" s="1700" t="inlineStr">
        <is>
          <t>Other EV Components</t>
        </is>
      </c>
      <c r="B500" s="1698" t="n"/>
      <c r="C500" s="1529" t="n"/>
      <c r="D500" s="1529" t="n"/>
      <c r="E500" s="1529" t="n"/>
      <c r="F500" s="1529" t="n"/>
      <c r="G500" s="1529" t="n"/>
      <c r="H500" s="1529" t="n"/>
      <c r="I500" s="1529" t="n"/>
      <c r="J500" s="1529" t="n"/>
      <c r="K500" s="1529" t="n"/>
      <c r="L500" s="1529" t="n"/>
      <c r="M500" s="1529" t="n"/>
      <c r="N500" s="1529" t="n"/>
      <c r="O500" s="1420" t="n"/>
      <c r="P500" s="1420" t="n"/>
      <c r="Q500" s="1420" t="n"/>
      <c r="R500" s="1420" t="n"/>
      <c r="S500" s="1529" t="n"/>
      <c r="T500" s="1420" t="n"/>
      <c r="U500" s="1420" t="n"/>
      <c r="V500" s="1420" t="n"/>
      <c r="W500" s="1420" t="n"/>
      <c r="X500" s="1529" t="n"/>
      <c r="Y500" s="1420" t="n"/>
      <c r="Z500" s="1420" t="n"/>
      <c r="AA500" s="1420" t="n"/>
      <c r="AB500" s="1422">
        <f>AB716</f>
        <v/>
      </c>
      <c r="AC500" s="1540">
        <f>AC716</f>
        <v/>
      </c>
      <c r="AD500" s="1420" t="n"/>
      <c r="AE500" s="1420" t="n"/>
      <c r="AF500" s="1422">
        <f>AF716</f>
        <v/>
      </c>
      <c r="AG500" s="1422">
        <f>AG716</f>
        <v/>
      </c>
      <c r="AH500" s="1540">
        <f>AH716</f>
        <v/>
      </c>
      <c r="AI500" s="1420">
        <f>AI716</f>
        <v/>
      </c>
      <c r="AJ500" s="1420">
        <f>AJ716</f>
        <v/>
      </c>
      <c r="AK500" s="1541">
        <f>AK716</f>
        <v/>
      </c>
      <c r="AL500" s="1422">
        <f>AL716</f>
        <v/>
      </c>
      <c r="AM500" s="1540">
        <f>AM716</f>
        <v/>
      </c>
      <c r="AN500" s="1422">
        <f>AN716</f>
        <v/>
      </c>
      <c r="AO500" s="1422">
        <f>AO716</f>
        <v/>
      </c>
      <c r="AP500" s="1422">
        <f>AP716</f>
        <v/>
      </c>
      <c r="AQ500" s="1422">
        <f>AQ716</f>
        <v/>
      </c>
      <c r="AR500" s="1540">
        <f>AR716</f>
        <v/>
      </c>
      <c r="AS500" s="1540">
        <f>AS716</f>
        <v/>
      </c>
      <c r="AT500" s="1540">
        <f>AT716</f>
        <v/>
      </c>
      <c r="AU500" s="1540">
        <f>AU716</f>
        <v/>
      </c>
      <c r="AV500" s="1422" t="n"/>
    </row>
    <row r="501" collapsed="1" ht="14.4" customFormat="1" customHeight="1" s="1418">
      <c r="A501" s="1885" t="n"/>
      <c r="B501" s="1698" t="n"/>
      <c r="C501" s="1529" t="n"/>
      <c r="D501" s="1529" t="n"/>
      <c r="E501" s="1529" t="n"/>
      <c r="F501" s="1529" t="n"/>
      <c r="G501" s="1529" t="n"/>
      <c r="H501" s="1529" t="n"/>
      <c r="I501" s="1529" t="n"/>
      <c r="J501" s="1529" t="n"/>
      <c r="K501" s="1529" t="n"/>
      <c r="L501" s="1529" t="n"/>
      <c r="M501" s="1529" t="n"/>
      <c r="N501" s="1529" t="n"/>
      <c r="O501" s="1420" t="n"/>
      <c r="P501" s="1420" t="n"/>
      <c r="Q501" s="1420" t="n"/>
      <c r="R501" s="1420" t="n"/>
      <c r="S501" s="1529" t="n"/>
      <c r="T501" s="1420" t="n"/>
      <c r="U501" s="1420" t="n"/>
      <c r="V501" s="1420" t="n"/>
      <c r="W501" s="1420" t="n"/>
      <c r="X501" s="1529" t="n"/>
      <c r="Y501" s="1420" t="n"/>
      <c r="Z501" s="1420" t="n"/>
      <c r="AA501" s="1420" t="n"/>
      <c r="AB501" s="1420" t="n"/>
      <c r="AC501" s="1529" t="n"/>
      <c r="AD501" s="1420" t="n"/>
      <c r="AE501" s="1420" t="n"/>
      <c r="AF501" s="1420" t="n"/>
      <c r="AG501" s="1420" t="n"/>
      <c r="AH501" s="1529" t="n"/>
      <c r="AI501" s="1420" t="n"/>
      <c r="AJ501" s="1420" t="n"/>
      <c r="AK501" s="1421" t="n"/>
      <c r="AL501" s="1420" t="n"/>
      <c r="AM501" s="1529" t="n"/>
      <c r="AN501" s="1420" t="n"/>
      <c r="AO501" s="1420" t="n"/>
      <c r="AP501" s="1420" t="n"/>
      <c r="AQ501" s="1420" t="n"/>
      <c r="AR501" s="1529" t="n"/>
      <c r="AS501" s="1529" t="n"/>
      <c r="AT501" s="1529" t="n"/>
      <c r="AU501" s="1529" t="n"/>
      <c r="AV501" s="1422" t="n"/>
    </row>
    <row r="502" ht="14.4" customFormat="1" customHeight="1" s="1418">
      <c r="A502" s="1530" t="inlineStr">
        <is>
          <t>Cumulative Cash Flow Statement</t>
        </is>
      </c>
      <c r="B502" s="1531" t="n"/>
      <c r="C502" s="1531" t="n"/>
      <c r="D502" s="1531" t="n"/>
      <c r="E502" s="1531" t="n"/>
      <c r="F502" s="1531" t="n"/>
      <c r="G502" s="1531" t="n"/>
      <c r="H502" s="1531" t="n"/>
      <c r="I502" s="1531" t="n"/>
      <c r="J502" s="1531" t="n"/>
      <c r="K502" s="1531" t="n"/>
      <c r="L502" s="1531" t="n"/>
      <c r="M502" s="1531" t="n"/>
      <c r="N502" s="1531" t="n"/>
      <c r="O502" s="1531" t="n"/>
      <c r="P502" s="1531" t="n"/>
      <c r="Q502" s="1531" t="n"/>
      <c r="R502" s="1531" t="n"/>
      <c r="S502" s="1531" t="n"/>
      <c r="T502" s="1531" t="n"/>
      <c r="U502" s="1531" t="n"/>
      <c r="V502" s="1531" t="n"/>
      <c r="W502" s="1531" t="n"/>
      <c r="X502" s="1531" t="n"/>
      <c r="Y502" s="1531" t="n"/>
      <c r="Z502" s="1531" t="n"/>
      <c r="AA502" s="1531" t="n"/>
      <c r="AB502" s="1531" t="n"/>
      <c r="AC502" s="1531" t="n"/>
      <c r="AD502" s="1531" t="n"/>
      <c r="AE502" s="1531" t="n"/>
      <c r="AF502" s="1531" t="n"/>
      <c r="AG502" s="1531" t="n"/>
      <c r="AH502" s="1531" t="n"/>
      <c r="AI502" s="1531" t="n"/>
      <c r="AJ502" s="1531" t="n"/>
      <c r="AK502" s="1533" t="n"/>
      <c r="AL502" s="1531" t="n"/>
      <c r="AM502" s="1531" t="n"/>
      <c r="AN502" s="1531" t="n"/>
      <c r="AO502" s="1531" t="n"/>
      <c r="AP502" s="1531" t="n"/>
      <c r="AQ502" s="1531" t="n"/>
      <c r="AR502" s="1531" t="n"/>
      <c r="AS502" s="1531" t="n"/>
      <c r="AT502" s="1531" t="n"/>
      <c r="AU502" s="1531" t="n"/>
      <c r="AV502" s="1422" t="n"/>
    </row>
    <row r="503" hidden="1" outlineLevel="1" ht="14.4" customFormat="1" customHeight="1" s="1418">
      <c r="A503" s="1439" t="inlineStr">
        <is>
          <t>CFO</t>
        </is>
      </c>
      <c r="B503" s="1695" t="n"/>
      <c r="C503" s="1529" t="n"/>
      <c r="D503" s="1529" t="n"/>
      <c r="E503" s="1529" t="n"/>
      <c r="F503" s="1529" t="n"/>
      <c r="G503" s="1529" t="n"/>
      <c r="H503" s="1529" t="n"/>
      <c r="I503" s="1529" t="n"/>
      <c r="J503" s="1529" t="n"/>
      <c r="K503" s="1529" t="n"/>
      <c r="L503" s="1529" t="n"/>
      <c r="M503" s="1529" t="n"/>
      <c r="N503" s="1529" t="n"/>
      <c r="O503" s="1420" t="n"/>
      <c r="P503" s="1420" t="n"/>
      <c r="Q503" s="1420" t="n"/>
      <c r="R503" s="1420" t="n"/>
      <c r="S503" s="1529" t="n"/>
      <c r="T503" s="1420" t="n"/>
      <c r="U503" s="1420" t="n"/>
      <c r="V503" s="1420" t="n"/>
      <c r="W503" s="1420" t="n"/>
      <c r="X503" s="1529" t="n"/>
      <c r="Y503" s="1420" t="n"/>
      <c r="Z503" s="1420" t="n"/>
      <c r="AA503" s="1420" t="n"/>
      <c r="AB503" s="1420" t="n"/>
      <c r="AC503" s="1529" t="n"/>
      <c r="AD503" s="1420" t="n"/>
      <c r="AE503" s="1420" t="n"/>
      <c r="AF503" s="1420" t="n"/>
      <c r="AG503" s="1420" t="n"/>
      <c r="AH503" s="1529" t="n"/>
      <c r="AI503" s="1420" t="n"/>
      <c r="AJ503" s="1420" t="n"/>
      <c r="AK503" s="1421" t="n"/>
      <c r="AL503" s="1420" t="n"/>
      <c r="AM503" s="1529" t="n"/>
      <c r="AN503" s="1420" t="n"/>
      <c r="AO503" s="1420" t="n"/>
      <c r="AP503" s="1420" t="n"/>
      <c r="AQ503" s="1420" t="n"/>
      <c r="AR503" s="1529" t="n"/>
      <c r="AS503" s="1529" t="n"/>
      <c r="AT503" s="1529" t="n"/>
      <c r="AU503" s="1529" t="n"/>
      <c r="AV503" s="1422" t="n"/>
    </row>
    <row r="504" hidden="1" outlineLevel="1" ht="14.4" customFormat="1" customHeight="1" s="1418">
      <c r="A504" s="1700" t="inlineStr">
        <is>
          <t>Net loss</t>
        </is>
      </c>
      <c r="B504" s="1698" t="n"/>
      <c r="C504" s="1529" t="n"/>
      <c r="D504" s="1529" t="n"/>
      <c r="E504" s="1529" t="n"/>
      <c r="F504" s="1529" t="n"/>
      <c r="G504" s="1529" t="n"/>
      <c r="H504" s="1529" t="n"/>
      <c r="I504" s="1529" t="n"/>
      <c r="J504" s="1529" t="n"/>
      <c r="K504" s="1529" t="n"/>
      <c r="L504" s="1529" t="n"/>
      <c r="M504" s="1529" t="n"/>
      <c r="N504" s="1529" t="n"/>
      <c r="O504" s="1420" t="n"/>
      <c r="P504" s="1420" t="n"/>
      <c r="Q504" s="1420" t="n"/>
      <c r="R504" s="1420" t="n"/>
      <c r="S504" s="1529" t="n"/>
      <c r="T504" s="1420" t="n"/>
      <c r="U504" s="1420" t="n"/>
      <c r="V504" s="1420" t="n"/>
      <c r="W504" s="1422">
        <f>X504</f>
        <v/>
      </c>
      <c r="X504" s="1593" t="n">
        <v>-31.055</v>
      </c>
      <c r="Y504" s="1420" t="n"/>
      <c r="Z504" s="1420" t="n"/>
      <c r="AA504" s="1594" t="n">
        <v>-423.174</v>
      </c>
      <c r="AB504" s="1422">
        <f>AC504</f>
        <v/>
      </c>
      <c r="AC504" s="1593" t="n">
        <v>-593.748</v>
      </c>
      <c r="AD504" s="1594" t="n">
        <v>-129.248</v>
      </c>
      <c r="AE504" s="1420" t="n"/>
      <c r="AF504" s="1594" t="n">
        <v>-812.076</v>
      </c>
      <c r="AG504" s="1422">
        <f>AH504</f>
        <v/>
      </c>
      <c r="AH504" s="1593" t="n">
        <v>-863.448</v>
      </c>
      <c r="AI504" s="1594" t="n">
        <v>-314.641</v>
      </c>
      <c r="AJ504" s="1420" t="n"/>
      <c r="AK504" s="1421" t="n"/>
      <c r="AL504" s="1420" t="n"/>
      <c r="AM504" s="1529" t="n"/>
      <c r="AN504" s="1420" t="n"/>
      <c r="AO504" s="1420" t="n"/>
      <c r="AP504" s="1420" t="n"/>
      <c r="AQ504" s="1420" t="n"/>
      <c r="AR504" s="1529" t="n"/>
      <c r="AS504" s="1529" t="n"/>
      <c r="AT504" s="1529" t="n"/>
      <c r="AU504" s="1529" t="n"/>
      <c r="AV504" s="1422" t="n"/>
    </row>
    <row r="505" hidden="1" outlineLevel="1" ht="14.4" customFormat="1" customHeight="1" s="1418">
      <c r="A505" s="1700" t="inlineStr">
        <is>
          <t>Net loss from discontinued operations, net of tax</t>
        </is>
      </c>
      <c r="B505" s="1698" t="n"/>
      <c r="C505" s="1529" t="n"/>
      <c r="D505" s="1529" t="n"/>
      <c r="E505" s="1529" t="n"/>
      <c r="F505" s="1529" t="n"/>
      <c r="G505" s="1529" t="n"/>
      <c r="H505" s="1529" t="n"/>
      <c r="I505" s="1529" t="n"/>
      <c r="J505" s="1529" t="n"/>
      <c r="K505" s="1529" t="n"/>
      <c r="L505" s="1529" t="n"/>
      <c r="M505" s="1529" t="n"/>
      <c r="N505" s="1529" t="n"/>
      <c r="O505" s="1420" t="n"/>
      <c r="P505" s="1420" t="n"/>
      <c r="Q505" s="1420" t="n"/>
      <c r="R505" s="1420" t="n"/>
      <c r="S505" s="1529" t="n"/>
      <c r="T505" s="1420" t="n"/>
      <c r="U505" s="1420" t="n"/>
      <c r="V505" s="1420" t="n"/>
      <c r="W505" s="1422">
        <f>X505</f>
        <v/>
      </c>
      <c r="X505" s="1593" t="n">
        <v>-0.189</v>
      </c>
      <c r="Y505" s="1420" t="n"/>
      <c r="Z505" s="1420" t="n"/>
      <c r="AA505" s="1594" t="n">
        <v>0</v>
      </c>
      <c r="AB505" s="1422">
        <f>AC505</f>
        <v/>
      </c>
      <c r="AC505" s="1593" t="n">
        <v>0</v>
      </c>
      <c r="AD505" s="1594" t="n">
        <v>0</v>
      </c>
      <c r="AE505" s="1420" t="n"/>
      <c r="AF505" s="1594" t="n">
        <v>0</v>
      </c>
      <c r="AG505" s="1422">
        <f>AH505</f>
        <v/>
      </c>
      <c r="AH505" s="1593" t="n">
        <v>0</v>
      </c>
      <c r="AI505" s="1594" t="n">
        <v>0</v>
      </c>
      <c r="AJ505" s="1420" t="n"/>
      <c r="AK505" s="1421" t="n"/>
      <c r="AL505" s="1420" t="n"/>
      <c r="AM505" s="1529" t="n"/>
      <c r="AN505" s="1420" t="n"/>
      <c r="AO505" s="1420" t="n"/>
      <c r="AP505" s="1420" t="n"/>
      <c r="AQ505" s="1420" t="n"/>
      <c r="AR505" s="1529" t="n"/>
      <c r="AS505" s="1529" t="n"/>
      <c r="AT505" s="1529" t="n"/>
      <c r="AU505" s="1529" t="n"/>
      <c r="AV505" s="1422" t="n"/>
    </row>
    <row r="506" hidden="1" outlineLevel="1" ht="14.4" customFormat="1" customHeight="1" s="1418">
      <c r="A506" s="1886" t="inlineStr">
        <is>
          <t>Net loss from continuing operations</t>
        </is>
      </c>
      <c r="B506" s="1839" t="n"/>
      <c r="C506" s="1577" t="n"/>
      <c r="D506" s="1577" t="n"/>
      <c r="E506" s="1577" t="n"/>
      <c r="F506" s="1577" t="n"/>
      <c r="G506" s="1577" t="n"/>
      <c r="H506" s="1577" t="n"/>
      <c r="I506" s="1577" t="n"/>
      <c r="J506" s="1577" t="n"/>
      <c r="K506" s="1577" t="n"/>
      <c r="L506" s="1577" t="n"/>
      <c r="M506" s="1577" t="n"/>
      <c r="N506" s="1577" t="n"/>
      <c r="O506" s="1578" t="n"/>
      <c r="P506" s="1578" t="n"/>
      <c r="Q506" s="1578" t="n"/>
      <c r="R506" s="1578" t="n"/>
      <c r="S506" s="1577" t="n"/>
      <c r="T506" s="1578" t="n"/>
      <c r="U506" s="1578" t="n"/>
      <c r="V506" s="1578" t="n"/>
      <c r="W506" s="1838">
        <f>X506</f>
        <v/>
      </c>
      <c r="X506" s="1840">
        <f>X504-X505</f>
        <v/>
      </c>
      <c r="Y506" s="1578" t="n"/>
      <c r="Z506" s="1578" t="n"/>
      <c r="AA506" s="1838">
        <f>AA504-AA505</f>
        <v/>
      </c>
      <c r="AB506" s="1838">
        <f>AB504-AB505</f>
        <v/>
      </c>
      <c r="AC506" s="1840">
        <f>AC504-AC505</f>
        <v/>
      </c>
      <c r="AD506" s="1578">
        <f>AD504-AD505</f>
        <v/>
      </c>
      <c r="AE506" s="1887" t="n">
        <v>-452.269</v>
      </c>
      <c r="AF506" s="1838">
        <f>AF504-AF505</f>
        <v/>
      </c>
      <c r="AG506" s="1838">
        <f>AG504-AG505</f>
        <v/>
      </c>
      <c r="AH506" s="1840">
        <f>AH504-AH505</f>
        <v/>
      </c>
      <c r="AI506" s="1578">
        <f>AI504-AI505</f>
        <v/>
      </c>
      <c r="AJ506" s="1887" t="n">
        <v>-605.15</v>
      </c>
      <c r="AK506" s="1888" t="n">
        <v>-715.274</v>
      </c>
      <c r="AL506" s="1578" t="n"/>
      <c r="AM506" s="1577" t="n"/>
      <c r="AN506" s="1578" t="n"/>
      <c r="AO506" s="1578" t="n"/>
      <c r="AP506" s="1578" t="n"/>
      <c r="AQ506" s="1578" t="n"/>
      <c r="AR506" s="1577" t="n"/>
      <c r="AS506" s="1577" t="n"/>
      <c r="AT506" s="1577" t="n"/>
      <c r="AU506" s="1577" t="n"/>
      <c r="AV506" s="1422" t="n"/>
    </row>
    <row r="507" hidden="1" outlineLevel="1" ht="14.4" customFormat="1" customHeight="1" s="1418">
      <c r="A507" s="1539" t="inlineStr">
        <is>
          <t>Depreciation and amortization</t>
        </is>
      </c>
      <c r="B507" s="1698" t="n"/>
      <c r="C507" s="1529" t="n"/>
      <c r="D507" s="1529" t="n"/>
      <c r="E507" s="1529" t="n"/>
      <c r="F507" s="1529" t="n"/>
      <c r="G507" s="1529" t="n"/>
      <c r="H507" s="1529" t="n"/>
      <c r="I507" s="1529" t="n"/>
      <c r="J507" s="1529" t="n"/>
      <c r="K507" s="1529" t="n"/>
      <c r="L507" s="1529" t="n"/>
      <c r="M507" s="1529" t="n"/>
      <c r="N507" s="1529" t="n"/>
      <c r="O507" s="1420" t="n"/>
      <c r="P507" s="1420" t="n"/>
      <c r="Q507" s="1420" t="n"/>
      <c r="R507" s="1420" t="n"/>
      <c r="S507" s="1529" t="n"/>
      <c r="T507" s="1420" t="n"/>
      <c r="U507" s="1420" t="n"/>
      <c r="V507" s="1420" t="n"/>
      <c r="W507" s="1422">
        <f>X507</f>
        <v/>
      </c>
      <c r="X507" s="1593" t="n">
        <v>11.695</v>
      </c>
      <c r="Y507" s="1420" t="n"/>
      <c r="Z507" s="1420" t="n"/>
      <c r="AA507" s="1594" t="n">
        <v>49.88</v>
      </c>
      <c r="AB507" s="1422">
        <f>AC507</f>
        <v/>
      </c>
      <c r="AC507" s="1593" t="n">
        <v>103.21</v>
      </c>
      <c r="AD507" s="1594" t="n">
        <v>79.51000000000001</v>
      </c>
      <c r="AE507" s="1594" t="n">
        <v>243.97</v>
      </c>
      <c r="AF507" s="1594" t="n">
        <v>497.994</v>
      </c>
      <c r="AG507" s="1422">
        <f>AH507</f>
        <v/>
      </c>
      <c r="AH507" s="1593" t="n">
        <v>863.413</v>
      </c>
      <c r="AI507" s="1594" t="n">
        <v>443.497</v>
      </c>
      <c r="AJ507" s="1594" t="n">
        <v>1002.978</v>
      </c>
      <c r="AK507" s="1595" t="n">
        <v>1633.457</v>
      </c>
      <c r="AL507" s="1420" t="n"/>
      <c r="AM507" s="1529" t="n"/>
      <c r="AN507" s="1420" t="n"/>
      <c r="AO507" s="1420" t="n"/>
      <c r="AP507" s="1420" t="n"/>
      <c r="AQ507" s="1420" t="n"/>
      <c r="AR507" s="1529" t="n"/>
      <c r="AS507" s="1529" t="n"/>
      <c r="AT507" s="1529" t="n"/>
      <c r="AU507" s="1529" t="n"/>
      <c r="AV507" s="1422" t="n"/>
    </row>
    <row r="508" hidden="1" outlineLevel="1" ht="14.4" customFormat="1" customHeight="1" s="1418">
      <c r="A508" s="1539" t="inlineStr">
        <is>
          <t>Non-cash lease expense</t>
        </is>
      </c>
      <c r="B508" s="1698" t="n"/>
      <c r="C508" s="1529" t="n"/>
      <c r="D508" s="1529" t="n"/>
      <c r="E508" s="1529" t="n"/>
      <c r="F508" s="1529" t="n"/>
      <c r="G508" s="1529" t="n"/>
      <c r="H508" s="1529" t="n"/>
      <c r="I508" s="1529" t="n"/>
      <c r="J508" s="1529" t="n"/>
      <c r="K508" s="1529" t="n"/>
      <c r="L508" s="1529" t="n"/>
      <c r="M508" s="1529" t="n"/>
      <c r="N508" s="1529" t="n"/>
      <c r="O508" s="1420" t="n"/>
      <c r="P508" s="1420" t="n"/>
      <c r="Q508" s="1420" t="n"/>
      <c r="R508" s="1420" t="n"/>
      <c r="S508" s="1529" t="n"/>
      <c r="T508" s="1420" t="n"/>
      <c r="U508" s="1420" t="n"/>
      <c r="V508" s="1420" t="n"/>
      <c r="W508" s="1422">
        <f>X508</f>
        <v/>
      </c>
      <c r="X508" s="1593" t="n">
        <v>0.016</v>
      </c>
      <c r="Y508" s="1420" t="n"/>
      <c r="Z508" s="1420" t="n"/>
      <c r="AA508" s="1594" t="n">
        <v>10.441</v>
      </c>
      <c r="AB508" s="1422">
        <f>AC508</f>
        <v/>
      </c>
      <c r="AC508" s="1593" t="n">
        <v>20.404</v>
      </c>
      <c r="AD508" s="1594" t="n">
        <v>15.09</v>
      </c>
      <c r="AE508" s="1594" t="n">
        <v>42.015</v>
      </c>
      <c r="AF508" s="1594" t="n">
        <v>79.47</v>
      </c>
      <c r="AG508" s="1422">
        <f>AH508</f>
        <v/>
      </c>
      <c r="AH508" s="1593" t="n">
        <v>122.748</v>
      </c>
      <c r="AI508" s="1594" t="n">
        <v>66.869</v>
      </c>
      <c r="AJ508" s="1594" t="n">
        <v>144.113</v>
      </c>
      <c r="AK508" s="1595" t="n">
        <v>233.836</v>
      </c>
      <c r="AL508" s="1420" t="n"/>
      <c r="AM508" s="1529" t="n"/>
      <c r="AN508" s="1420" t="n"/>
      <c r="AO508" s="1420" t="n"/>
      <c r="AP508" s="1420" t="n"/>
      <c r="AQ508" s="1420" t="n"/>
      <c r="AR508" s="1529" t="n"/>
      <c r="AS508" s="1529" t="n"/>
      <c r="AT508" s="1529" t="n"/>
      <c r="AU508" s="1529" t="n"/>
      <c r="AV508" s="1422" t="n"/>
    </row>
    <row r="509" hidden="1" outlineLevel="1" ht="14.4" customFormat="1" customHeight="1" s="1418">
      <c r="A509" s="1539" t="inlineStr">
        <is>
          <t>Amortization of debt discounts and issuance costs</t>
        </is>
      </c>
      <c r="B509" s="1698" t="n"/>
      <c r="C509" s="1529" t="n"/>
      <c r="D509" s="1529" t="n"/>
      <c r="E509" s="1529" t="n"/>
      <c r="F509" s="1529" t="n"/>
      <c r="G509" s="1529" t="n"/>
      <c r="H509" s="1529" t="n"/>
      <c r="I509" s="1529" t="n"/>
      <c r="J509" s="1529" t="n"/>
      <c r="K509" s="1529" t="n"/>
      <c r="L509" s="1529" t="n"/>
      <c r="M509" s="1529" t="n"/>
      <c r="N509" s="1529" t="n"/>
      <c r="O509" s="1420" t="n"/>
      <c r="P509" s="1420" t="n"/>
      <c r="Q509" s="1420" t="n"/>
      <c r="R509" s="1420" t="n"/>
      <c r="S509" s="1529" t="n"/>
      <c r="T509" s="1420" t="n"/>
      <c r="U509" s="1420" t="n"/>
      <c r="V509" s="1420" t="n"/>
      <c r="W509" s="1422">
        <f>X509</f>
        <v/>
      </c>
      <c r="X509" s="1593" t="n">
        <v>3.803</v>
      </c>
      <c r="Y509" s="1420" t="n"/>
      <c r="Z509" s="1420" t="n"/>
      <c r="AA509" s="1594" t="n">
        <v>10.92</v>
      </c>
      <c r="AB509" s="1422">
        <f>AC509</f>
        <v/>
      </c>
      <c r="AC509" s="1593" t="n">
        <v>16.533</v>
      </c>
      <c r="AD509" s="1594" t="n">
        <v>8.058</v>
      </c>
      <c r="AE509" s="1594" t="n">
        <v>15.605</v>
      </c>
      <c r="AF509" s="1594" t="n">
        <v>23.002</v>
      </c>
      <c r="AG509" s="1422">
        <f>AH509</f>
        <v/>
      </c>
      <c r="AH509" s="1593" t="n">
        <v>33.376</v>
      </c>
      <c r="AI509" s="1594" t="n">
        <v>37.691</v>
      </c>
      <c r="AJ509" s="1594" t="n">
        <v>66.727</v>
      </c>
      <c r="AK509" s="1595" t="n">
        <v>87.776</v>
      </c>
      <c r="AL509" s="1420" t="n"/>
      <c r="AM509" s="1529" t="n"/>
      <c r="AN509" s="1420" t="n"/>
      <c r="AO509" s="1420" t="n"/>
      <c r="AP509" s="1420" t="n"/>
      <c r="AQ509" s="1420" t="n"/>
      <c r="AR509" s="1529" t="n"/>
      <c r="AS509" s="1529" t="n"/>
      <c r="AT509" s="1529" t="n"/>
      <c r="AU509" s="1529" t="n"/>
      <c r="AV509" s="1422" t="n"/>
    </row>
    <row r="510" hidden="1" outlineLevel="1" ht="14.4" customFormat="1" customHeight="1" s="1418">
      <c r="A510" s="1539" t="inlineStr">
        <is>
          <t>Loss on fair value adjustments</t>
        </is>
      </c>
      <c r="B510" s="1698" t="n"/>
      <c r="C510" s="1529" t="n"/>
      <c r="D510" s="1529" t="n"/>
      <c r="E510" s="1529" t="n"/>
      <c r="F510" s="1529" t="n"/>
      <c r="G510" s="1529" t="n"/>
      <c r="H510" s="1529" t="n"/>
      <c r="I510" s="1529" t="n"/>
      <c r="J510" s="1529" t="n"/>
      <c r="K510" s="1529" t="n"/>
      <c r="L510" s="1529" t="n"/>
      <c r="M510" s="1529" t="n"/>
      <c r="N510" s="1529" t="n"/>
      <c r="O510" s="1420" t="n"/>
      <c r="P510" s="1420" t="n"/>
      <c r="Q510" s="1420" t="n"/>
      <c r="R510" s="1420" t="n"/>
      <c r="S510" s="1529" t="n"/>
      <c r="T510" s="1420" t="n"/>
      <c r="U510" s="1420" t="n"/>
      <c r="V510" s="1420" t="n"/>
      <c r="W510" s="1422">
        <f>X510</f>
        <v/>
      </c>
      <c r="X510" s="1593" t="n">
        <v>2.884</v>
      </c>
      <c r="Y510" s="1420" t="n"/>
      <c r="Z510" s="1420" t="n"/>
      <c r="AA510" s="1594" t="n">
        <v>390.485</v>
      </c>
      <c r="AB510" s="1422">
        <f>AC510</f>
        <v/>
      </c>
      <c r="AC510" s="1593" t="n">
        <v>533.952</v>
      </c>
      <c r="AD510" s="1594" t="n">
        <v>97.5</v>
      </c>
      <c r="AE510" s="1594" t="n">
        <v>407.731</v>
      </c>
      <c r="AF510" s="1594" t="n">
        <v>748.864</v>
      </c>
      <c r="AG510" s="1422">
        <f>AH510</f>
        <v/>
      </c>
      <c r="AH510" s="1593" t="n">
        <v>755.929</v>
      </c>
      <c r="AI510" s="1594" t="n">
        <v>-26.837</v>
      </c>
      <c r="AJ510" s="1594" t="n">
        <v>-26.837</v>
      </c>
      <c r="AK510" s="1595" t="n">
        <v>-26.837</v>
      </c>
      <c r="AL510" s="1420" t="n"/>
      <c r="AM510" s="1529" t="n"/>
      <c r="AN510" s="1420" t="n"/>
      <c r="AO510" s="1420" t="n"/>
      <c r="AP510" s="1420" t="n"/>
      <c r="AQ510" s="1420" t="n"/>
      <c r="AR510" s="1529" t="n"/>
      <c r="AS510" s="1529" t="n"/>
      <c r="AT510" s="1529" t="n"/>
      <c r="AU510" s="1529" t="n"/>
      <c r="AV510" s="1422" t="n"/>
    </row>
    <row r="511" hidden="1" outlineLevel="1" ht="14.4" customFormat="1" customHeight="1" s="1418">
      <c r="A511" s="1539" t="inlineStr">
        <is>
          <t>Stock-based compensation</t>
        </is>
      </c>
      <c r="B511" s="1698" t="n"/>
      <c r="C511" s="1529" t="n"/>
      <c r="D511" s="1529" t="n"/>
      <c r="E511" s="1529" t="n"/>
      <c r="F511" s="1529" t="n"/>
      <c r="G511" s="1529" t="n"/>
      <c r="H511" s="1529" t="n"/>
      <c r="I511" s="1529" t="n"/>
      <c r="J511" s="1529" t="n"/>
      <c r="K511" s="1529" t="n"/>
      <c r="L511" s="1529" t="n"/>
      <c r="M511" s="1529" t="n"/>
      <c r="N511" s="1529" t="n"/>
      <c r="O511" s="1420" t="n"/>
      <c r="P511" s="1420" t="n"/>
      <c r="Q511" s="1420" t="n"/>
      <c r="R511" s="1420" t="n"/>
      <c r="S511" s="1529" t="n"/>
      <c r="T511" s="1420" t="n"/>
      <c r="U511" s="1420" t="n"/>
      <c r="V511" s="1420" t="n"/>
      <c r="W511" s="1422">
        <f>X511</f>
        <v/>
      </c>
      <c r="X511" s="1593" t="n">
        <v>1.49</v>
      </c>
      <c r="Y511" s="1420" t="n"/>
      <c r="Z511" s="1420" t="n"/>
      <c r="AA511" s="1594" t="n">
        <v>7.058</v>
      </c>
      <c r="AB511" s="1422">
        <f>AC511</f>
        <v/>
      </c>
      <c r="AC511" s="1593" t="n">
        <v>15.154</v>
      </c>
      <c r="AD511" s="1594" t="n">
        <v>8.189</v>
      </c>
      <c r="AE511" s="1594" t="n">
        <v>15.849</v>
      </c>
      <c r="AF511" s="1594" t="n">
        <v>23.466</v>
      </c>
      <c r="AG511" s="1422">
        <f>AH511</f>
        <v/>
      </c>
      <c r="AH511" s="1593" t="n">
        <v>31.487</v>
      </c>
      <c r="AI511" s="1594" t="n">
        <v>183.973</v>
      </c>
      <c r="AJ511" s="1594" t="n">
        <v>328.978</v>
      </c>
      <c r="AK511" s="1595" t="n">
        <v>473.409</v>
      </c>
      <c r="AL511" s="1420" t="n"/>
      <c r="AM511" s="1529" t="n"/>
      <c r="AN511" s="1420" t="n"/>
      <c r="AO511" s="1420" t="n"/>
      <c r="AP511" s="1420" t="n"/>
      <c r="AQ511" s="1420" t="n"/>
      <c r="AR511" s="1529" t="n"/>
      <c r="AS511" s="1529" t="n"/>
      <c r="AT511" s="1529" t="n"/>
      <c r="AU511" s="1529" t="n"/>
      <c r="AV511" s="1422" t="n"/>
    </row>
    <row r="512" hidden="1" outlineLevel="1" ht="14.4" customFormat="1" customHeight="1" s="1418">
      <c r="A512" s="1539" t="inlineStr">
        <is>
          <t>Debt extinguishment loss</t>
        </is>
      </c>
      <c r="B512" s="1698" t="n"/>
      <c r="C512" s="1529" t="n"/>
      <c r="D512" s="1529" t="n"/>
      <c r="E512" s="1529" t="n"/>
      <c r="F512" s="1529" t="n"/>
      <c r="G512" s="1529" t="n"/>
      <c r="H512" s="1529" t="n"/>
      <c r="I512" s="1529" t="n"/>
      <c r="J512" s="1529" t="n"/>
      <c r="K512" s="1529" t="n"/>
      <c r="L512" s="1529" t="n"/>
      <c r="M512" s="1529" t="n"/>
      <c r="N512" s="1529" t="n"/>
      <c r="O512" s="1420" t="n"/>
      <c r="P512" s="1420" t="n"/>
      <c r="Q512" s="1420" t="n"/>
      <c r="R512" s="1420" t="n"/>
      <c r="S512" s="1529" t="n"/>
      <c r="T512" s="1420" t="n"/>
      <c r="U512" s="1420" t="n"/>
      <c r="V512" s="1420" t="n"/>
      <c r="W512" s="1422">
        <f>X512</f>
        <v/>
      </c>
      <c r="X512" s="1593" t="n">
        <v>0</v>
      </c>
      <c r="Y512" s="1420" t="n"/>
      <c r="Z512" s="1420" t="n"/>
      <c r="AA512" s="1594" t="n">
        <v>0</v>
      </c>
      <c r="AB512" s="1422">
        <f>AC512</f>
        <v/>
      </c>
      <c r="AC512" s="1593" t="n">
        <v>0</v>
      </c>
      <c r="AD512" s="1420" t="n"/>
      <c r="AE512" s="1420" t="n"/>
      <c r="AF512" s="1594" t="n">
        <v>11.708</v>
      </c>
      <c r="AG512" s="1422">
        <f>AH512</f>
        <v/>
      </c>
      <c r="AH512" s="1593" t="n">
        <v>11.708</v>
      </c>
      <c r="AI512" s="1420" t="n"/>
      <c r="AJ512" s="1420" t="n"/>
      <c r="AK512" s="1595" t="n">
        <v>14.486</v>
      </c>
      <c r="AL512" s="1420" t="n"/>
      <c r="AM512" s="1529" t="n"/>
      <c r="AN512" s="1420" t="n"/>
      <c r="AO512" s="1420" t="n"/>
      <c r="AP512" s="1420" t="n"/>
      <c r="AQ512" s="1420" t="n"/>
      <c r="AR512" s="1529" t="n"/>
      <c r="AS512" s="1529" t="n"/>
      <c r="AT512" s="1529" t="n"/>
      <c r="AU512" s="1529" t="n"/>
      <c r="AV512" s="1422" t="n"/>
    </row>
    <row r="513" hidden="1" outlineLevel="1" ht="14.4" customFormat="1" customHeight="1" s="1418">
      <c r="A513" s="1539" t="inlineStr">
        <is>
          <t>Deferred income taxes</t>
        </is>
      </c>
      <c r="B513" s="1698" t="n"/>
      <c r="C513" s="1529" t="n"/>
      <c r="D513" s="1529" t="n"/>
      <c r="E513" s="1529" t="n"/>
      <c r="F513" s="1529" t="n"/>
      <c r="G513" s="1529" t="n"/>
      <c r="H513" s="1529" t="n"/>
      <c r="I513" s="1529" t="n"/>
      <c r="J513" s="1529" t="n"/>
      <c r="K513" s="1529" t="n"/>
      <c r="L513" s="1529" t="n"/>
      <c r="M513" s="1529" t="n"/>
      <c r="N513" s="1529" t="n"/>
      <c r="O513" s="1420" t="n"/>
      <c r="P513" s="1420" t="n"/>
      <c r="Q513" s="1420" t="n"/>
      <c r="R513" s="1420" t="n"/>
      <c r="S513" s="1529" t="n"/>
      <c r="T513" s="1420" t="n"/>
      <c r="U513" s="1420" t="n"/>
      <c r="V513" s="1420" t="n"/>
      <c r="W513" s="1422">
        <f>X513</f>
        <v/>
      </c>
      <c r="X513" s="1593" t="n">
        <v>-1.284</v>
      </c>
      <c r="Y513" s="1420" t="n"/>
      <c r="Z513" s="1420" t="n"/>
      <c r="AA513" s="1594" t="n">
        <v>19.689</v>
      </c>
      <c r="AB513" s="1422">
        <f>AC513</f>
        <v/>
      </c>
      <c r="AC513" s="1593" t="n">
        <v>35.816</v>
      </c>
      <c r="AD513" s="1594" t="n">
        <v>14.686</v>
      </c>
      <c r="AE513" s="1594" t="n">
        <v>43.207</v>
      </c>
      <c r="AF513" s="1594" t="n">
        <v>80.252</v>
      </c>
      <c r="AG513" s="1422">
        <f>AH513</f>
        <v/>
      </c>
      <c r="AH513" s="1593" t="n">
        <v>112.785</v>
      </c>
      <c r="AI513" s="1594" t="n">
        <v>44.617</v>
      </c>
      <c r="AJ513" s="1594" t="n">
        <v>90.884</v>
      </c>
      <c r="AK513" s="1595" t="n">
        <v>-37.141</v>
      </c>
      <c r="AL513" s="1420" t="n"/>
      <c r="AM513" s="1529" t="n"/>
      <c r="AN513" s="1420" t="n"/>
      <c r="AO513" s="1420" t="n"/>
      <c r="AP513" s="1420" t="n"/>
      <c r="AQ513" s="1420" t="n"/>
      <c r="AR513" s="1529" t="n"/>
      <c r="AS513" s="1529" t="n"/>
      <c r="AT513" s="1529" t="n"/>
      <c r="AU513" s="1529" t="n"/>
      <c r="AV513" s="1422" t="n"/>
    </row>
    <row r="514" hidden="1" outlineLevel="1" ht="14.4" customFormat="1" customHeight="1" s="1418">
      <c r="A514" s="1539" t="inlineStr">
        <is>
          <t>Other non-cash reconciling items</t>
        </is>
      </c>
      <c r="B514" s="1698" t="n"/>
      <c r="C514" s="1529" t="n"/>
      <c r="D514" s="1529" t="n"/>
      <c r="E514" s="1529" t="n"/>
      <c r="F514" s="1529" t="n"/>
      <c r="G514" s="1529" t="n"/>
      <c r="H514" s="1529" t="n"/>
      <c r="I514" s="1529" t="n"/>
      <c r="J514" s="1529" t="n"/>
      <c r="K514" s="1529" t="n"/>
      <c r="L514" s="1529" t="n"/>
      <c r="M514" s="1529" t="n"/>
      <c r="N514" s="1529" t="n"/>
      <c r="O514" s="1420" t="n"/>
      <c r="P514" s="1420" t="n"/>
      <c r="Q514" s="1420" t="n"/>
      <c r="R514" s="1420" t="n"/>
      <c r="S514" s="1529" t="n"/>
      <c r="T514" s="1420" t="n"/>
      <c r="U514" s="1420" t="n"/>
      <c r="V514" s="1420" t="n"/>
      <c r="W514" s="1422">
        <f>X514</f>
        <v/>
      </c>
      <c r="X514" s="1593" t="n">
        <v>0</v>
      </c>
      <c r="Y514" s="1420" t="n"/>
      <c r="Z514" s="1420" t="n"/>
      <c r="AA514" s="1594" t="n">
        <v>0.529</v>
      </c>
      <c r="AB514" s="1422">
        <f>AC514</f>
        <v/>
      </c>
      <c r="AC514" s="1593" t="n">
        <v>0.632</v>
      </c>
      <c r="AD514" s="1594" t="n">
        <v>-0.886</v>
      </c>
      <c r="AE514" s="1594" t="n">
        <v>-3.848</v>
      </c>
      <c r="AF514" s="1594" t="n">
        <v>1.075</v>
      </c>
      <c r="AG514" s="1422">
        <f>AH514</f>
        <v/>
      </c>
      <c r="AH514" s="1593" t="n">
        <v>3.286</v>
      </c>
      <c r="AI514" s="1594" t="n">
        <v>22.723</v>
      </c>
      <c r="AJ514" s="1594" t="n">
        <v>40.132</v>
      </c>
      <c r="AK514" s="1595" t="n">
        <v>49.388</v>
      </c>
      <c r="AL514" s="1420" t="n"/>
      <c r="AM514" s="1529" t="n"/>
      <c r="AN514" s="1420" t="n"/>
      <c r="AO514" s="1420" t="n"/>
      <c r="AP514" s="1420" t="n"/>
      <c r="AQ514" s="1420" t="n"/>
      <c r="AR514" s="1529" t="n"/>
      <c r="AS514" s="1529" t="n"/>
      <c r="AT514" s="1529" t="n"/>
      <c r="AU514" s="1529" t="n"/>
      <c r="AV514" s="1422" t="n"/>
    </row>
    <row r="515" hidden="1" outlineLevel="1" ht="14.4" customFormat="1" customHeight="1" s="1418">
      <c r="A515" s="1539" t="inlineStr">
        <is>
          <t>Net cash provided by operating activities-discontinued operations</t>
        </is>
      </c>
      <c r="B515" s="1698" t="n"/>
      <c r="C515" s="1529" t="n"/>
      <c r="D515" s="1529" t="n"/>
      <c r="E515" s="1529" t="n"/>
      <c r="F515" s="1529" t="n"/>
      <c r="G515" s="1529" t="n"/>
      <c r="H515" s="1529" t="n"/>
      <c r="I515" s="1529" t="n"/>
      <c r="J515" s="1529" t="n"/>
      <c r="K515" s="1529" t="n"/>
      <c r="L515" s="1529" t="n"/>
      <c r="M515" s="1529" t="n"/>
      <c r="N515" s="1529" t="n"/>
      <c r="O515" s="1420" t="n"/>
      <c r="P515" s="1420" t="n"/>
      <c r="Q515" s="1420" t="n"/>
      <c r="R515" s="1420" t="n"/>
      <c r="S515" s="1529" t="n"/>
      <c r="T515" s="1420" t="n"/>
      <c r="U515" s="1420" t="n"/>
      <c r="V515" s="1420" t="n"/>
      <c r="W515" s="1422">
        <f>X515</f>
        <v/>
      </c>
      <c r="X515" s="1593" t="n">
        <v>5.267</v>
      </c>
      <c r="Y515" s="1420" t="n"/>
      <c r="Z515" s="1420" t="n"/>
      <c r="AA515" s="1420" t="n"/>
      <c r="AB515" s="1422">
        <f>AC515</f>
        <v/>
      </c>
      <c r="AC515" s="1593" t="n">
        <v>0</v>
      </c>
      <c r="AD515" s="1420" t="n"/>
      <c r="AE515" s="1420" t="n"/>
      <c r="AF515" s="1420" t="n"/>
      <c r="AG515" s="1422">
        <f>AH515</f>
        <v/>
      </c>
      <c r="AH515" s="1593" t="n">
        <v>0</v>
      </c>
      <c r="AI515" s="1420" t="n"/>
      <c r="AJ515" s="1420" t="n"/>
      <c r="AK515" s="1421" t="n"/>
      <c r="AL515" s="1420" t="n"/>
      <c r="AM515" s="1529" t="n"/>
      <c r="AN515" s="1420" t="n"/>
      <c r="AO515" s="1420" t="n"/>
      <c r="AP515" s="1420" t="n"/>
      <c r="AQ515" s="1420" t="n"/>
      <c r="AR515" s="1529" t="n"/>
      <c r="AS515" s="1529" t="n"/>
      <c r="AT515" s="1529" t="n"/>
      <c r="AU515" s="1529" t="n"/>
      <c r="AV515" s="1422" t="n"/>
    </row>
    <row r="516" hidden="1" outlineLevel="1" ht="14.4" customFormat="1" customHeight="1" s="1438">
      <c r="A516" s="1542" t="inlineStr">
        <is>
          <t>CFO before WC</t>
        </is>
      </c>
      <c r="B516" s="1699" t="n"/>
      <c r="C516" s="1544" t="n"/>
      <c r="D516" s="1544" t="n"/>
      <c r="E516" s="1544" t="n"/>
      <c r="F516" s="1544" t="n"/>
      <c r="G516" s="1544" t="n"/>
      <c r="H516" s="1544" t="n"/>
      <c r="I516" s="1544" t="n"/>
      <c r="J516" s="1544" t="n"/>
      <c r="K516" s="1544" t="n"/>
      <c r="L516" s="1544" t="n"/>
      <c r="M516" s="1544" t="n"/>
      <c r="N516" s="1544" t="n"/>
      <c r="O516" s="1545" t="n"/>
      <c r="P516" s="1545" t="n"/>
      <c r="Q516" s="1545" t="n"/>
      <c r="R516" s="1545" t="n"/>
      <c r="S516" s="1544" t="n"/>
      <c r="T516" s="1545" t="n"/>
      <c r="U516" s="1545" t="n"/>
      <c r="V516" s="1545" t="n"/>
      <c r="W516" s="1547">
        <f>SUM(W506:W515)</f>
        <v/>
      </c>
      <c r="X516" s="1546">
        <f>SUM(X506:X515)</f>
        <v/>
      </c>
      <c r="Y516" s="1545" t="n"/>
      <c r="Z516" s="1545" t="n"/>
      <c r="AA516" s="1547">
        <f>SUM(AA506:AA515)</f>
        <v/>
      </c>
      <c r="AB516" s="1547">
        <f>SUM(AB506:AB515)</f>
        <v/>
      </c>
      <c r="AC516" s="1546">
        <f>SUM(AC506:AC515)</f>
        <v/>
      </c>
      <c r="AD516" s="1545">
        <f>SUM(AD506:AD515)</f>
        <v/>
      </c>
      <c r="AE516" s="1545">
        <f>SUM(AE506:AE515)</f>
        <v/>
      </c>
      <c r="AF516" s="1547">
        <f>SUM(AF506:AF515)</f>
        <v/>
      </c>
      <c r="AG516" s="1547">
        <f>SUM(AG506:AG515)</f>
        <v/>
      </c>
      <c r="AH516" s="1546">
        <f>SUM(AH506:AH515)</f>
        <v/>
      </c>
      <c r="AI516" s="1545">
        <f>SUM(AI506:AI515)</f>
        <v/>
      </c>
      <c r="AJ516" s="1545">
        <f>SUM(AJ506:AJ515)</f>
        <v/>
      </c>
      <c r="AK516" s="1548">
        <f>SUM(AK506:AK515)</f>
        <v/>
      </c>
      <c r="AL516" s="1545" t="n"/>
      <c r="AM516" s="1544" t="n"/>
      <c r="AN516" s="1545" t="n"/>
      <c r="AO516" s="1545" t="n"/>
      <c r="AP516" s="1545" t="n"/>
      <c r="AQ516" s="1545" t="n"/>
      <c r="AR516" s="1544" t="n"/>
      <c r="AS516" s="1544" t="n"/>
      <c r="AT516" s="1544" t="n"/>
      <c r="AU516" s="1544" t="n"/>
      <c r="AV516" s="1446" t="n"/>
    </row>
    <row r="517" hidden="1" outlineLevel="1" ht="14.4" customFormat="1" customHeight="1" s="1418">
      <c r="A517" s="1539" t="inlineStr">
        <is>
          <t>Accounts receivable</t>
        </is>
      </c>
      <c r="B517" s="1698" t="n"/>
      <c r="C517" s="1529" t="n"/>
      <c r="D517" s="1529" t="n"/>
      <c r="E517" s="1529" t="n"/>
      <c r="F517" s="1529" t="n"/>
      <c r="G517" s="1529" t="n"/>
      <c r="H517" s="1529" t="n"/>
      <c r="I517" s="1529" t="n"/>
      <c r="J517" s="1529" t="n"/>
      <c r="K517" s="1529" t="n"/>
      <c r="L517" s="1529" t="n"/>
      <c r="M517" s="1529" t="n"/>
      <c r="N517" s="1529" t="n"/>
      <c r="O517" s="1420" t="n"/>
      <c r="P517" s="1420" t="n"/>
      <c r="Q517" s="1420" t="n"/>
      <c r="R517" s="1420" t="n"/>
      <c r="S517" s="1529" t="n"/>
      <c r="T517" s="1420" t="n"/>
      <c r="U517" s="1420" t="n"/>
      <c r="V517" s="1420" t="n"/>
      <c r="W517" s="1422">
        <f>X517</f>
        <v/>
      </c>
      <c r="X517" s="1593" t="n">
        <v>-1.893</v>
      </c>
      <c r="Y517" s="1420" t="n"/>
      <c r="Z517" s="1420" t="n"/>
      <c r="AA517" s="1594" t="n">
        <v>-54.289</v>
      </c>
      <c r="AB517" s="1422">
        <f>AC517</f>
        <v/>
      </c>
      <c r="AC517" s="1593" t="n">
        <v>-162.413</v>
      </c>
      <c r="AD517" s="1594" t="n">
        <v>54.328</v>
      </c>
      <c r="AE517" s="1594" t="n">
        <v>-180.748</v>
      </c>
      <c r="AF517" s="1594" t="n">
        <v>-332.347</v>
      </c>
      <c r="AG517" s="1422">
        <f>AH517</f>
        <v/>
      </c>
      <c r="AH517" s="1593" t="n">
        <v>-279.72</v>
      </c>
      <c r="AI517" s="1594" t="n">
        <v>-638.75</v>
      </c>
      <c r="AJ517" s="1594" t="n">
        <v>-1504.696</v>
      </c>
      <c r="AK517" s="1595" t="n">
        <v>-1252.507</v>
      </c>
      <c r="AL517" s="1420" t="n"/>
      <c r="AM517" s="1529" t="n"/>
      <c r="AN517" s="1420" t="n"/>
      <c r="AO517" s="1420" t="n"/>
      <c r="AP517" s="1420" t="n"/>
      <c r="AQ517" s="1420" t="n"/>
      <c r="AR517" s="1529" t="n"/>
      <c r="AS517" s="1529" t="n"/>
      <c r="AT517" s="1529" t="n"/>
      <c r="AU517" s="1529" t="n"/>
      <c r="AV517" s="1422" t="n"/>
    </row>
    <row r="518" hidden="1" outlineLevel="1" ht="14.4" customFormat="1" customHeight="1" s="1418">
      <c r="A518" s="1539" t="inlineStr">
        <is>
          <t>Prepaid expenses and other current assets</t>
        </is>
      </c>
      <c r="B518" s="1698" t="n"/>
      <c r="C518" s="1529" t="n"/>
      <c r="D518" s="1529" t="n"/>
      <c r="E518" s="1529" t="n"/>
      <c r="F518" s="1529" t="n"/>
      <c r="G518" s="1529" t="n"/>
      <c r="H518" s="1529" t="n"/>
      <c r="I518" s="1529" t="n"/>
      <c r="J518" s="1529" t="n"/>
      <c r="K518" s="1529" t="n"/>
      <c r="L518" s="1529" t="n"/>
      <c r="M518" s="1529" t="n"/>
      <c r="N518" s="1529" t="n"/>
      <c r="O518" s="1420" t="n"/>
      <c r="P518" s="1420" t="n"/>
      <c r="Q518" s="1420" t="n"/>
      <c r="R518" s="1420" t="n"/>
      <c r="S518" s="1529" t="n"/>
      <c r="T518" s="1420" t="n"/>
      <c r="U518" s="1420" t="n"/>
      <c r="V518" s="1420" t="n"/>
      <c r="W518" s="1422">
        <f>X518</f>
        <v/>
      </c>
      <c r="X518" s="1593" t="n">
        <v>-1.047</v>
      </c>
      <c r="Y518" s="1420" t="n"/>
      <c r="Z518" s="1420" t="n"/>
      <c r="AA518" s="1594" t="n">
        <v>-23.596</v>
      </c>
      <c r="AB518" s="1422">
        <f>AC518</f>
        <v/>
      </c>
      <c r="AC518" s="1593" t="n">
        <v>-71.964</v>
      </c>
      <c r="AD518" s="1594" t="n">
        <v>23.228</v>
      </c>
      <c r="AE518" s="1594" t="n">
        <v>1.636</v>
      </c>
      <c r="AF518" s="1594" t="n">
        <v>-54.538</v>
      </c>
      <c r="AG518" s="1422">
        <f>AH518</f>
        <v/>
      </c>
      <c r="AH518" s="1593" t="n">
        <v>-29.2</v>
      </c>
      <c r="AI518" s="1594" t="n">
        <v>-9.929</v>
      </c>
      <c r="AJ518" s="1594" t="n">
        <v>-120.448</v>
      </c>
      <c r="AK518" s="1595" t="n">
        <v>-171.034</v>
      </c>
      <c r="AL518" s="1420" t="n"/>
      <c r="AM518" s="1529" t="n"/>
      <c r="AN518" s="1420" t="n"/>
      <c r="AO518" s="1420" t="n"/>
      <c r="AP518" s="1420" t="n"/>
      <c r="AQ518" s="1420" t="n"/>
      <c r="AR518" s="1529" t="n"/>
      <c r="AS518" s="1529" t="n"/>
      <c r="AT518" s="1529" t="n"/>
      <c r="AU518" s="1529" t="n"/>
      <c r="AV518" s="1422" t="n"/>
    </row>
    <row r="519" hidden="1" outlineLevel="1" ht="14.4" customFormat="1" customHeight="1" s="1418">
      <c r="A519" s="1539" t="inlineStr">
        <is>
          <t>Accounts payable and accrued expenses</t>
        </is>
      </c>
      <c r="B519" s="1698" t="n"/>
      <c r="C519" s="1529" t="n"/>
      <c r="D519" s="1529" t="n"/>
      <c r="E519" s="1529" t="n"/>
      <c r="F519" s="1529" t="n"/>
      <c r="G519" s="1529" t="n"/>
      <c r="H519" s="1529" t="n"/>
      <c r="I519" s="1529" t="n"/>
      <c r="J519" s="1529" t="n"/>
      <c r="K519" s="1529" t="n"/>
      <c r="L519" s="1529" t="n"/>
      <c r="M519" s="1529" t="n"/>
      <c r="N519" s="1529" t="n"/>
      <c r="O519" s="1420" t="n"/>
      <c r="P519" s="1420" t="n"/>
      <c r="Q519" s="1420" t="n"/>
      <c r="R519" s="1420" t="n"/>
      <c r="S519" s="1529" t="n"/>
      <c r="T519" s="1420" t="n"/>
      <c r="U519" s="1420" t="n"/>
      <c r="V519" s="1420" t="n"/>
      <c r="W519" s="1422">
        <f>X519</f>
        <v/>
      </c>
      <c r="X519" s="1593" t="n">
        <v>1.404</v>
      </c>
      <c r="Y519" s="1420" t="n"/>
      <c r="Z519" s="1420" t="n"/>
      <c r="AA519" s="1594" t="n">
        <v>3.158</v>
      </c>
      <c r="AB519" s="1422">
        <f>AC519</f>
        <v/>
      </c>
      <c r="AC519" s="1593" t="n">
        <v>26.807</v>
      </c>
      <c r="AD519" s="1594" t="n">
        <v>515.295</v>
      </c>
      <c r="AE519" s="1594" t="n">
        <v>697.848</v>
      </c>
      <c r="AF519" s="1594" t="n">
        <v>336.347</v>
      </c>
      <c r="AG519" s="1422">
        <f>AH519</f>
        <v/>
      </c>
      <c r="AH519" s="1593" t="n">
        <v>510.568</v>
      </c>
      <c r="AI519" s="1594" t="n">
        <v>62.327</v>
      </c>
      <c r="AJ519" s="1594" t="n">
        <v>-289.173</v>
      </c>
      <c r="AK519" s="1595" t="n">
        <v>333.211</v>
      </c>
      <c r="AL519" s="1420" t="n"/>
      <c r="AM519" s="1529" t="n"/>
      <c r="AN519" s="1420" t="n"/>
      <c r="AO519" s="1420" t="n"/>
      <c r="AP519" s="1420" t="n"/>
      <c r="AQ519" s="1420" t="n"/>
      <c r="AR519" s="1529" t="n"/>
      <c r="AS519" s="1529" t="n"/>
      <c r="AT519" s="1529" t="n"/>
      <c r="AU519" s="1529" t="n"/>
      <c r="AV519" s="1422" t="n"/>
    </row>
    <row r="520" hidden="1" outlineLevel="1" ht="14.4" customFormat="1" customHeight="1" s="1418">
      <c r="A520" s="1539" t="inlineStr">
        <is>
          <t>Deferred revenue</t>
        </is>
      </c>
      <c r="B520" s="1698" t="n"/>
      <c r="C520" s="1529" t="n"/>
      <c r="D520" s="1529" t="n"/>
      <c r="E520" s="1529" t="n"/>
      <c r="F520" s="1529" t="n"/>
      <c r="G520" s="1529" t="n"/>
      <c r="H520" s="1529" t="n"/>
      <c r="I520" s="1529" t="n"/>
      <c r="J520" s="1529" t="n"/>
      <c r="K520" s="1529" t="n"/>
      <c r="L520" s="1529" t="n"/>
      <c r="M520" s="1529" t="n"/>
      <c r="N520" s="1529" t="n"/>
      <c r="O520" s="1420" t="n"/>
      <c r="P520" s="1420" t="n"/>
      <c r="Q520" s="1420" t="n"/>
      <c r="R520" s="1420" t="n"/>
      <c r="S520" s="1529" t="n"/>
      <c r="T520" s="1420" t="n"/>
      <c r="U520" s="1420" t="n"/>
      <c r="V520" s="1420" t="n"/>
      <c r="W520" s="1422">
        <f>X520</f>
        <v/>
      </c>
      <c r="X520" s="1593" t="n">
        <v>9.353999999999999</v>
      </c>
      <c r="Y520" s="1420" t="n"/>
      <c r="Z520" s="1420" t="n"/>
      <c r="AA520" s="1594" t="n">
        <v>1840.615</v>
      </c>
      <c r="AB520" s="1422">
        <f>AC520</f>
        <v/>
      </c>
      <c r="AC520" s="1593" t="n">
        <v>1986.304</v>
      </c>
      <c r="AD520" s="1594" t="n">
        <v>1439.571</v>
      </c>
      <c r="AE520" s="1594" t="n">
        <v>1524.487</v>
      </c>
      <c r="AF520" s="1594" t="n">
        <v>2417.01</v>
      </c>
      <c r="AG520" s="1422">
        <f>AH520</f>
        <v/>
      </c>
      <c r="AH520" s="1593" t="n">
        <v>2049.068</v>
      </c>
      <c r="AI520" s="1594" t="n">
        <v>-15.904</v>
      </c>
      <c r="AJ520" s="1594" t="n">
        <v>742.8920000000001</v>
      </c>
      <c r="AK520" s="1595" t="n">
        <v>1402.164</v>
      </c>
      <c r="AL520" s="1420" t="n"/>
      <c r="AM520" s="1529" t="n"/>
      <c r="AN520" s="1420" t="n"/>
      <c r="AO520" s="1420" t="n"/>
      <c r="AP520" s="1420" t="n"/>
      <c r="AQ520" s="1420" t="n"/>
      <c r="AR520" s="1529" t="n"/>
      <c r="AS520" s="1529" t="n"/>
      <c r="AT520" s="1529" t="n"/>
      <c r="AU520" s="1529" t="n"/>
      <c r="AV520" s="1422" t="n"/>
    </row>
    <row r="521" hidden="1" outlineLevel="1" ht="14.4" customFormat="1" customHeight="1" s="1418">
      <c r="A521" s="1539" t="inlineStr">
        <is>
          <t>Lease liabilities</t>
        </is>
      </c>
      <c r="B521" s="1698" t="n"/>
      <c r="C521" s="1529" t="n"/>
      <c r="D521" s="1529" t="n"/>
      <c r="E521" s="1529" t="n"/>
      <c r="F521" s="1529" t="n"/>
      <c r="G521" s="1529" t="n"/>
      <c r="H521" s="1529" t="n"/>
      <c r="I521" s="1529" t="n"/>
      <c r="J521" s="1529" t="n"/>
      <c r="K521" s="1529" t="n"/>
      <c r="L521" s="1529" t="n"/>
      <c r="M521" s="1529" t="n"/>
      <c r="N521" s="1529" t="n"/>
      <c r="O521" s="1420" t="n"/>
      <c r="P521" s="1420" t="n"/>
      <c r="Q521" s="1420" t="n"/>
      <c r="R521" s="1420" t="n"/>
      <c r="S521" s="1529" t="n"/>
      <c r="T521" s="1420" t="n"/>
      <c r="U521" s="1420" t="n"/>
      <c r="V521" s="1420" t="n"/>
      <c r="W521" s="1422">
        <f>X521</f>
        <v/>
      </c>
      <c r="X521" s="1593" t="n">
        <v>0</v>
      </c>
      <c r="Y521" s="1420" t="n"/>
      <c r="Z521" s="1420" t="n"/>
      <c r="AA521" s="1594" t="n">
        <v>-6.365</v>
      </c>
      <c r="AB521" s="1422">
        <f>AC521</f>
        <v/>
      </c>
      <c r="AC521" s="1593" t="n">
        <v>-9.302</v>
      </c>
      <c r="AD521" s="1594" t="n">
        <v>-5.819</v>
      </c>
      <c r="AE521" s="1594" t="n">
        <v>-20.708</v>
      </c>
      <c r="AF521" s="1594" t="n">
        <v>-45.119</v>
      </c>
      <c r="AG521" s="1422">
        <f>AH521</f>
        <v/>
      </c>
      <c r="AH521" s="1593" t="n">
        <v>-87.611</v>
      </c>
      <c r="AI521" s="1594" t="n">
        <v>-51.109</v>
      </c>
      <c r="AJ521" s="1594" t="n">
        <v>-110.451</v>
      </c>
      <c r="AK521" s="1595" t="n">
        <v>-181.061</v>
      </c>
      <c r="AL521" s="1420" t="n"/>
      <c r="AM521" s="1529" t="n"/>
      <c r="AN521" s="1420" t="n"/>
      <c r="AO521" s="1420" t="n"/>
      <c r="AP521" s="1420" t="n"/>
      <c r="AQ521" s="1420" t="n"/>
      <c r="AR521" s="1529" t="n"/>
      <c r="AS521" s="1529" t="n"/>
      <c r="AT521" s="1529" t="n"/>
      <c r="AU521" s="1529" t="n"/>
      <c r="AV521" s="1422" t="n"/>
    </row>
    <row r="522" hidden="1" outlineLevel="1" ht="14.4" customFormat="1" customHeight="1" s="1418">
      <c r="A522" s="1539" t="inlineStr">
        <is>
          <t>Other non-current assets</t>
        </is>
      </c>
      <c r="B522" s="1698" t="n"/>
      <c r="C522" s="1529" t="n"/>
      <c r="D522" s="1529" t="n"/>
      <c r="E522" s="1529" t="n"/>
      <c r="F522" s="1529" t="n"/>
      <c r="G522" s="1529" t="n"/>
      <c r="H522" s="1529" t="n"/>
      <c r="I522" s="1529" t="n"/>
      <c r="J522" s="1529" t="n"/>
      <c r="K522" s="1529" t="n"/>
      <c r="L522" s="1529" t="n"/>
      <c r="M522" s="1529" t="n"/>
      <c r="N522" s="1529" t="n"/>
      <c r="O522" s="1420" t="n"/>
      <c r="P522" s="1420" t="n"/>
      <c r="Q522" s="1420" t="n"/>
      <c r="R522" s="1420" t="n"/>
      <c r="S522" s="1529" t="n"/>
      <c r="T522" s="1420" t="n"/>
      <c r="U522" s="1420" t="n"/>
      <c r="V522" s="1420" t="n"/>
      <c r="W522" s="1422">
        <f>X522</f>
        <v/>
      </c>
      <c r="X522" s="1593" t="n">
        <v>0.08699999999999999</v>
      </c>
      <c r="Y522" s="1420" t="n"/>
      <c r="Z522" s="1420" t="n"/>
      <c r="AA522" s="1594" t="n">
        <v>-35.067</v>
      </c>
      <c r="AB522" s="1422">
        <f>AC522</f>
        <v/>
      </c>
      <c r="AC522" s="1593" t="n">
        <v>-67.31699999999999</v>
      </c>
      <c r="AD522" s="1594" t="n">
        <v>-80.464</v>
      </c>
      <c r="AE522" s="1594" t="n">
        <v>-413.561</v>
      </c>
      <c r="AF522" s="1594" t="n">
        <v>-415.348</v>
      </c>
      <c r="AG522" s="1422">
        <f>AH522</f>
        <v/>
      </c>
      <c r="AH522" s="1593" t="n">
        <v>-485.332</v>
      </c>
      <c r="AI522" s="1594" t="n">
        <v>256.641</v>
      </c>
      <c r="AJ522" s="1594" t="n">
        <v>49.968</v>
      </c>
      <c r="AK522" s="1595" t="n">
        <v>-344.822</v>
      </c>
      <c r="AL522" s="1420" t="n"/>
      <c r="AM522" s="1529" t="n"/>
      <c r="AN522" s="1420" t="n"/>
      <c r="AO522" s="1420" t="n"/>
      <c r="AP522" s="1420" t="n"/>
      <c r="AQ522" s="1420" t="n"/>
      <c r="AR522" s="1529" t="n"/>
      <c r="AS522" s="1529" t="n"/>
      <c r="AT522" s="1529" t="n"/>
      <c r="AU522" s="1529" t="n"/>
      <c r="AV522" s="1422" t="n"/>
    </row>
    <row r="523" hidden="1" outlineLevel="1" ht="14.4" customFormat="1" customHeight="1" s="1418">
      <c r="A523" s="1539" t="inlineStr">
        <is>
          <t>Other liabilities</t>
        </is>
      </c>
      <c r="B523" s="1698" t="n"/>
      <c r="C523" s="1529" t="n"/>
      <c r="D523" s="1529" t="n"/>
      <c r="E523" s="1529" t="n"/>
      <c r="F523" s="1529" t="n"/>
      <c r="G523" s="1529" t="n"/>
      <c r="H523" s="1529" t="n"/>
      <c r="I523" s="1529" t="n"/>
      <c r="J523" s="1529" t="n"/>
      <c r="K523" s="1529" t="n"/>
      <c r="L523" s="1529" t="n"/>
      <c r="M523" s="1529" t="n"/>
      <c r="N523" s="1529" t="n"/>
      <c r="O523" s="1420" t="n"/>
      <c r="P523" s="1420" t="n"/>
      <c r="Q523" s="1420" t="n"/>
      <c r="R523" s="1420" t="n"/>
      <c r="S523" s="1529" t="n"/>
      <c r="T523" s="1420" t="n"/>
      <c r="U523" s="1420" t="n"/>
      <c r="V523" s="1420" t="n"/>
      <c r="W523" s="1422">
        <f>X523</f>
        <v/>
      </c>
      <c r="X523" s="1593" t="n">
        <v>0</v>
      </c>
      <c r="Y523" s="1420" t="n"/>
      <c r="Z523" s="1420" t="n"/>
      <c r="AA523" s="1594" t="n">
        <v>-1.255</v>
      </c>
      <c r="AB523" s="1422">
        <f>AC523</f>
        <v/>
      </c>
      <c r="AC523" s="1593" t="n">
        <v>-1.418</v>
      </c>
      <c r="AD523" s="1420" t="n"/>
      <c r="AE523" s="1420" t="n"/>
      <c r="AF523" s="1594" t="n">
        <v>2.676</v>
      </c>
      <c r="AG523" s="1422">
        <f>AH523</f>
        <v/>
      </c>
      <c r="AH523" s="1593" t="n">
        <v>0.111</v>
      </c>
      <c r="AI523" s="1420" t="n"/>
      <c r="AJ523" s="1420" t="n"/>
      <c r="AK523" s="1421" t="n"/>
      <c r="AL523" s="1420" t="n"/>
      <c r="AM523" s="1529" t="n"/>
      <c r="AN523" s="1420" t="n"/>
      <c r="AO523" s="1420" t="n"/>
      <c r="AP523" s="1420" t="n"/>
      <c r="AQ523" s="1420" t="n"/>
      <c r="AR523" s="1529" t="n"/>
      <c r="AS523" s="1529" t="n"/>
      <c r="AT523" s="1529" t="n"/>
      <c r="AU523" s="1529" t="n"/>
      <c r="AV523" s="1422" t="n"/>
    </row>
    <row r="524" hidden="1" outlineLevel="1" ht="14.4" customFormat="1" customHeight="1" s="1438">
      <c r="A524" s="1542" t="inlineStr">
        <is>
          <t>Net CFO</t>
        </is>
      </c>
      <c r="B524" s="1699" t="n"/>
      <c r="C524" s="1544" t="n"/>
      <c r="D524" s="1544" t="n"/>
      <c r="E524" s="1544" t="n"/>
      <c r="F524" s="1544" t="n"/>
      <c r="G524" s="1544" t="n"/>
      <c r="H524" s="1544" t="n"/>
      <c r="I524" s="1544" t="n"/>
      <c r="J524" s="1544" t="n"/>
      <c r="K524" s="1544" t="n"/>
      <c r="L524" s="1544" t="n"/>
      <c r="M524" s="1544" t="n"/>
      <c r="N524" s="1544" t="n"/>
      <c r="O524" s="1545" t="n"/>
      <c r="P524" s="1545" t="n"/>
      <c r="Q524" s="1545" t="n"/>
      <c r="R524" s="1545" t="n"/>
      <c r="S524" s="1544" t="n"/>
      <c r="T524" s="1545" t="n"/>
      <c r="U524" s="1545" t="n"/>
      <c r="V524" s="1545" t="n"/>
      <c r="W524" s="1547">
        <f>SUM(W516:W523)</f>
        <v/>
      </c>
      <c r="X524" s="1546">
        <f>SUM(X516:X523)</f>
        <v/>
      </c>
      <c r="Y524" s="1545" t="n"/>
      <c r="Z524" s="1545" t="n"/>
      <c r="AA524" s="1547">
        <f>SUM(AA516:AA523)</f>
        <v/>
      </c>
      <c r="AB524" s="1547">
        <f>SUM(AB516:AB523)</f>
        <v/>
      </c>
      <c r="AC524" s="1546">
        <f>SUM(AC516:AC523)</f>
        <v/>
      </c>
      <c r="AD524" s="1545">
        <f>SUM(AD516:AD523)</f>
        <v/>
      </c>
      <c r="AE524" s="1545">
        <f>SUM(AE516:AE523)</f>
        <v/>
      </c>
      <c r="AF524" s="1547">
        <f>SUM(AF516:AF523)</f>
        <v/>
      </c>
      <c r="AG524" s="1547">
        <f>SUM(AG516:AG523)</f>
        <v/>
      </c>
      <c r="AH524" s="1546">
        <f>SUM(AH516:AH523)</f>
        <v/>
      </c>
      <c r="AI524" s="1545">
        <f>SUM(AI516:AI523)</f>
        <v/>
      </c>
      <c r="AJ524" s="1545">
        <f>SUM(AJ516:AJ523)</f>
        <v/>
      </c>
      <c r="AK524" s="1548">
        <f>SUM(AK516:AK523)</f>
        <v/>
      </c>
      <c r="AL524" s="1545" t="n"/>
      <c r="AM524" s="1544" t="n"/>
      <c r="AN524" s="1545" t="n"/>
      <c r="AO524" s="1545" t="n"/>
      <c r="AP524" s="1545" t="n"/>
      <c r="AQ524" s="1545" t="n"/>
      <c r="AR524" s="1544" t="n"/>
      <c r="AS524" s="1544" t="n"/>
      <c r="AT524" s="1544" t="n"/>
      <c r="AU524" s="1544" t="n"/>
      <c r="AV524" s="1446" t="n"/>
    </row>
    <row r="525" hidden="1" outlineLevel="1" ht="14.4" customFormat="1" customHeight="1" s="1438">
      <c r="A525" s="1513" t="n"/>
      <c r="B525" s="1695" t="n"/>
      <c r="C525" s="1535" t="n"/>
      <c r="D525" s="1535" t="n"/>
      <c r="E525" s="1535" t="n"/>
      <c r="F525" s="1535" t="n"/>
      <c r="G525" s="1535" t="n"/>
      <c r="H525" s="1535" t="n"/>
      <c r="I525" s="1535" t="n"/>
      <c r="J525" s="1535" t="n"/>
      <c r="K525" s="1535" t="n"/>
      <c r="L525" s="1535" t="n"/>
      <c r="M525" s="1535" t="n"/>
      <c r="N525" s="1535" t="n"/>
      <c r="O525" s="1536" t="n"/>
      <c r="P525" s="1536" t="n"/>
      <c r="Q525" s="1536" t="n"/>
      <c r="R525" s="1536" t="n"/>
      <c r="S525" s="1535" t="n"/>
      <c r="T525" s="1536" t="n"/>
      <c r="U525" s="1536" t="n"/>
      <c r="V525" s="1536" t="n"/>
      <c r="W525" s="1536" t="n"/>
      <c r="X525" s="1535" t="n"/>
      <c r="Y525" s="1536" t="n"/>
      <c r="Z525" s="1536" t="n"/>
      <c r="AA525" s="1536" t="n"/>
      <c r="AB525" s="1536" t="n"/>
      <c r="AC525" s="1535" t="n"/>
      <c r="AD525" s="1536" t="n"/>
      <c r="AE525" s="1536" t="n"/>
      <c r="AF525" s="1536" t="n"/>
      <c r="AG525" s="1536" t="n"/>
      <c r="AH525" s="1535" t="n"/>
      <c r="AI525" s="1536" t="n"/>
      <c r="AJ525" s="1536" t="n"/>
      <c r="AK525" s="1674" t="n"/>
      <c r="AL525" s="1536" t="n"/>
      <c r="AM525" s="1529" t="n"/>
      <c r="AN525" s="1536" t="n"/>
      <c r="AO525" s="1536" t="n"/>
      <c r="AP525" s="1536" t="n"/>
      <c r="AQ525" s="1536" t="n"/>
      <c r="AR525" s="1529" t="n"/>
      <c r="AS525" s="1529" t="n"/>
      <c r="AT525" s="1529" t="n"/>
      <c r="AU525" s="1529" t="n"/>
      <c r="AV525" s="1446" t="n"/>
    </row>
    <row r="526" hidden="1" outlineLevel="1" ht="14.4" customFormat="1" customHeight="1" s="1438">
      <c r="A526" s="1439" t="inlineStr">
        <is>
          <t>CFI</t>
        </is>
      </c>
      <c r="B526" s="1695" t="n"/>
      <c r="C526" s="1535" t="n"/>
      <c r="D526" s="1535" t="n"/>
      <c r="E526" s="1535" t="n"/>
      <c r="F526" s="1535" t="n"/>
      <c r="G526" s="1535" t="n"/>
      <c r="H526" s="1535" t="n"/>
      <c r="I526" s="1535" t="n"/>
      <c r="J526" s="1535" t="n"/>
      <c r="K526" s="1535" t="n"/>
      <c r="L526" s="1535" t="n"/>
      <c r="M526" s="1535" t="n"/>
      <c r="N526" s="1535" t="n"/>
      <c r="O526" s="1536" t="n"/>
      <c r="P526" s="1536" t="n"/>
      <c r="Q526" s="1536" t="n"/>
      <c r="R526" s="1536" t="n"/>
      <c r="S526" s="1535" t="n"/>
      <c r="T526" s="1536" t="n"/>
      <c r="U526" s="1536" t="n"/>
      <c r="V526" s="1536" t="n"/>
      <c r="W526" s="1536" t="n"/>
      <c r="X526" s="1535" t="n"/>
      <c r="Y526" s="1536" t="n"/>
      <c r="Z526" s="1536" t="n"/>
      <c r="AA526" s="1536" t="n"/>
      <c r="AB526" s="1536" t="n"/>
      <c r="AC526" s="1535" t="n"/>
      <c r="AD526" s="1536" t="n"/>
      <c r="AE526" s="1536" t="n"/>
      <c r="AF526" s="1536" t="n"/>
      <c r="AG526" s="1536" t="n"/>
      <c r="AH526" s="1535" t="n"/>
      <c r="AI526" s="1536" t="n"/>
      <c r="AJ526" s="1536" t="n"/>
      <c r="AK526" s="1674" t="n"/>
      <c r="AL526" s="1536" t="n"/>
      <c r="AM526" s="1529" t="n"/>
      <c r="AN526" s="1536" t="n"/>
      <c r="AO526" s="1536" t="n"/>
      <c r="AP526" s="1536" t="n"/>
      <c r="AQ526" s="1536" t="n"/>
      <c r="AR526" s="1529" t="n"/>
      <c r="AS526" s="1529" t="n"/>
      <c r="AT526" s="1529" t="n"/>
      <c r="AU526" s="1529" t="n"/>
      <c r="AV526" s="1446" t="n"/>
    </row>
    <row r="527" hidden="1" outlineLevel="1" ht="14.4" customFormat="1" customHeight="1" s="1418">
      <c r="A527" s="1539" t="inlineStr">
        <is>
          <t>Purchase of property and equipment, including capitalized internal-use software</t>
        </is>
      </c>
      <c r="B527" s="1698" t="n"/>
      <c r="C527" s="1529" t="n"/>
      <c r="D527" s="1529" t="n"/>
      <c r="E527" s="1529" t="n"/>
      <c r="F527" s="1529" t="n"/>
      <c r="G527" s="1529" t="n"/>
      <c r="H527" s="1529" t="n"/>
      <c r="I527" s="1529" t="n"/>
      <c r="J527" s="1529" t="n"/>
      <c r="K527" s="1529" t="n"/>
      <c r="L527" s="1529" t="n"/>
      <c r="M527" s="1529" t="n"/>
      <c r="N527" s="1529" t="n"/>
      <c r="O527" s="1420" t="n"/>
      <c r="P527" s="1420" t="n"/>
      <c r="Q527" s="1420" t="n"/>
      <c r="R527" s="1420" t="n"/>
      <c r="S527" s="1529" t="n"/>
      <c r="T527" s="1420" t="n"/>
      <c r="U527" s="1420" t="n"/>
      <c r="V527" s="1420" t="n"/>
      <c r="W527" s="1422">
        <f>X527</f>
        <v/>
      </c>
      <c r="X527" s="1593" t="n">
        <v>-72.404</v>
      </c>
      <c r="Y527" s="1420" t="n"/>
      <c r="Z527" s="1420" t="n"/>
      <c r="AA527" s="1594" t="n">
        <v>-1763.076</v>
      </c>
      <c r="AB527" s="1422">
        <f>AC527</f>
        <v/>
      </c>
      <c r="AC527" s="1593" t="n">
        <v>-2943.13</v>
      </c>
      <c r="AD527" s="1594" t="n">
        <v>-1741.935</v>
      </c>
      <c r="AE527" s="1594" t="n">
        <v>-3989.096</v>
      </c>
      <c r="AF527" s="1594" t="n">
        <v>-5204.251</v>
      </c>
      <c r="AG527" s="1422">
        <f>AH527</f>
        <v/>
      </c>
      <c r="AH527" s="1593" t="n">
        <v>-8702.078</v>
      </c>
      <c r="AI527" s="1594" t="n">
        <v>-1407.359</v>
      </c>
      <c r="AJ527" s="1594" t="n">
        <v>-3860.351</v>
      </c>
      <c r="AK527" s="1595" t="n">
        <v>-6249.239</v>
      </c>
      <c r="AL527" s="1420" t="n"/>
      <c r="AM527" s="1529" t="n"/>
      <c r="AN527" s="1420" t="n"/>
      <c r="AO527" s="1420" t="n"/>
      <c r="AP527" s="1420" t="n"/>
      <c r="AQ527" s="1420" t="n"/>
      <c r="AR527" s="1529" t="n"/>
      <c r="AS527" s="1529" t="n"/>
      <c r="AT527" s="1529" t="n"/>
      <c r="AU527" s="1529" t="n"/>
      <c r="AV527" s="1422" t="n"/>
    </row>
    <row r="528" hidden="1" outlineLevel="1" ht="14.4" customFormat="1" customHeight="1" s="1418">
      <c r="A528" s="1539" t="inlineStr">
        <is>
          <t>Sale of available-for-sale marketable securities</t>
        </is>
      </c>
      <c r="B528" s="1698" t="n"/>
      <c r="C528" s="1529" t="n"/>
      <c r="D528" s="1529" t="n"/>
      <c r="E528" s="1529" t="n"/>
      <c r="F528" s="1529" t="n"/>
      <c r="G528" s="1529" t="n"/>
      <c r="H528" s="1529" t="n"/>
      <c r="I528" s="1529" t="n"/>
      <c r="J528" s="1529" t="n"/>
      <c r="K528" s="1529" t="n"/>
      <c r="L528" s="1529" t="n"/>
      <c r="M528" s="1529" t="n"/>
      <c r="N528" s="1529" t="n"/>
      <c r="O528" s="1420" t="n"/>
      <c r="P528" s="1420" t="n"/>
      <c r="Q528" s="1420" t="n"/>
      <c r="R528" s="1420" t="n"/>
      <c r="S528" s="1529" t="n"/>
      <c r="T528" s="1420" t="n"/>
      <c r="U528" s="1420" t="n"/>
      <c r="V528" s="1420" t="n"/>
      <c r="W528" s="1422">
        <f>X528</f>
        <v/>
      </c>
      <c r="X528" s="1593" t="n">
        <v>7</v>
      </c>
      <c r="Y528" s="1420" t="n"/>
      <c r="Z528" s="1420" t="n"/>
      <c r="AA528" s="1594" t="n">
        <v>5.689</v>
      </c>
      <c r="AB528" s="1422">
        <f>AC528</f>
        <v/>
      </c>
      <c r="AC528" s="1593" t="n">
        <v>5.689</v>
      </c>
      <c r="AD528" s="1420" t="n"/>
      <c r="AE528" s="1594" t="n">
        <v>0.84</v>
      </c>
      <c r="AF528" s="1594" t="n">
        <v>1.27</v>
      </c>
      <c r="AG528" s="1422">
        <f>AH528</f>
        <v/>
      </c>
      <c r="AH528" s="1593" t="n">
        <v>2.47</v>
      </c>
      <c r="AI528" s="1420" t="n"/>
      <c r="AJ528" s="1420" t="n"/>
      <c r="AK528" s="1421" t="n"/>
      <c r="AL528" s="1420" t="n"/>
      <c r="AM528" s="1529" t="n"/>
      <c r="AN528" s="1420" t="n"/>
      <c r="AO528" s="1420" t="n"/>
      <c r="AP528" s="1420" t="n"/>
      <c r="AQ528" s="1420" t="n"/>
      <c r="AR528" s="1529" t="n"/>
      <c r="AS528" s="1529" t="n"/>
      <c r="AT528" s="1529" t="n"/>
      <c r="AU528" s="1529" t="n"/>
      <c r="AV528" s="1422" t="n"/>
    </row>
    <row r="529" hidden="1" outlineLevel="1" ht="14.4" customFormat="1" customHeight="1" s="1418">
      <c r="A529" s="1539" t="inlineStr">
        <is>
          <t>Maturities of marketable securities</t>
        </is>
      </c>
      <c r="B529" s="1698" t="n"/>
      <c r="C529" s="1529" t="n"/>
      <c r="D529" s="1529" t="n"/>
      <c r="E529" s="1529" t="n"/>
      <c r="F529" s="1529" t="n"/>
      <c r="G529" s="1529" t="n"/>
      <c r="H529" s="1529" t="n"/>
      <c r="I529" s="1529" t="n"/>
      <c r="J529" s="1529" t="n"/>
      <c r="K529" s="1529" t="n"/>
      <c r="L529" s="1529" t="n"/>
      <c r="M529" s="1529" t="n"/>
      <c r="N529" s="1529" t="n"/>
      <c r="O529" s="1420" t="n"/>
      <c r="P529" s="1420" t="n"/>
      <c r="Q529" s="1420" t="n"/>
      <c r="R529" s="1420" t="n"/>
      <c r="S529" s="1529" t="n"/>
      <c r="T529" s="1420" t="n"/>
      <c r="U529" s="1420" t="n"/>
      <c r="V529" s="1420" t="n"/>
      <c r="W529" s="1422">
        <f>X529</f>
        <v/>
      </c>
      <c r="X529" s="1593" t="n">
        <v>0</v>
      </c>
      <c r="Y529" s="1420" t="n"/>
      <c r="Z529" s="1420" t="n"/>
      <c r="AA529" s="1594" t="n">
        <v>0</v>
      </c>
      <c r="AB529" s="1422">
        <f>AC529</f>
        <v/>
      </c>
      <c r="AC529" s="1593" t="n">
        <v>0</v>
      </c>
      <c r="AD529" s="1420" t="n"/>
      <c r="AE529" s="1594" t="n">
        <v>47.822</v>
      </c>
      <c r="AF529" s="1594" t="n">
        <v>94.63800000000001</v>
      </c>
      <c r="AG529" s="1422">
        <f>AH529</f>
        <v/>
      </c>
      <c r="AH529" s="1593" t="n">
        <v>185.218</v>
      </c>
      <c r="AI529" s="1594" t="n">
        <v>29.308</v>
      </c>
      <c r="AJ529" s="1594" t="n">
        <v>29.308</v>
      </c>
      <c r="AK529" s="1595" t="n">
        <v>29.308</v>
      </c>
      <c r="AL529" s="1420" t="n"/>
      <c r="AM529" s="1529" t="n"/>
      <c r="AN529" s="1420" t="n"/>
      <c r="AO529" s="1420" t="n"/>
      <c r="AP529" s="1420" t="n"/>
      <c r="AQ529" s="1420" t="n"/>
      <c r="AR529" s="1529" t="n"/>
      <c r="AS529" s="1529" t="n"/>
      <c r="AT529" s="1529" t="n"/>
      <c r="AU529" s="1529" t="n"/>
      <c r="AV529" s="1422" t="n"/>
    </row>
    <row r="530" hidden="1" outlineLevel="1" ht="14.4" customFormat="1" customHeight="1" s="1418">
      <c r="A530" s="1539" t="inlineStr">
        <is>
          <t>Purchase of restricted marketable securities</t>
        </is>
      </c>
      <c r="B530" s="1698" t="n"/>
      <c r="C530" s="1529" t="n"/>
      <c r="D530" s="1529" t="n"/>
      <c r="E530" s="1529" t="n"/>
      <c r="F530" s="1529" t="n"/>
      <c r="G530" s="1529" t="n"/>
      <c r="H530" s="1529" t="n"/>
      <c r="I530" s="1529" t="n"/>
      <c r="J530" s="1529" t="n"/>
      <c r="K530" s="1529" t="n"/>
      <c r="L530" s="1529" t="n"/>
      <c r="M530" s="1529" t="n"/>
      <c r="N530" s="1529" t="n"/>
      <c r="O530" s="1420" t="n"/>
      <c r="P530" s="1420" t="n"/>
      <c r="Q530" s="1420" t="n"/>
      <c r="R530" s="1420" t="n"/>
      <c r="S530" s="1529" t="n"/>
      <c r="T530" s="1420" t="n"/>
      <c r="U530" s="1420" t="n"/>
      <c r="V530" s="1420" t="n"/>
      <c r="W530" s="1422">
        <f>X530</f>
        <v/>
      </c>
      <c r="X530" s="1593" t="n">
        <v>0</v>
      </c>
      <c r="Y530" s="1420" t="n"/>
      <c r="Z530" s="1420" t="n"/>
      <c r="AA530" s="1594" t="n">
        <v>-97.393</v>
      </c>
      <c r="AB530" s="1422">
        <f>AC530</f>
        <v/>
      </c>
      <c r="AC530" s="1593" t="n">
        <v>-171.734</v>
      </c>
      <c r="AD530" s="1594" t="n">
        <v>-29.308</v>
      </c>
      <c r="AE530" s="1594" t="n">
        <v>-29.308</v>
      </c>
      <c r="AF530" s="1594" t="n">
        <v>-34.053</v>
      </c>
      <c r="AG530" s="1422">
        <f>AH530</f>
        <v/>
      </c>
      <c r="AH530" s="1593" t="n">
        <v>-34.053</v>
      </c>
      <c r="AI530" s="1420" t="n"/>
      <c r="AJ530" s="1420" t="n"/>
      <c r="AK530" s="1595" t="n">
        <v>-47.246</v>
      </c>
      <c r="AL530" s="1420" t="n"/>
      <c r="AM530" s="1529" t="n"/>
      <c r="AN530" s="1420" t="n"/>
      <c r="AO530" s="1420" t="n"/>
      <c r="AP530" s="1420" t="n"/>
      <c r="AQ530" s="1420" t="n"/>
      <c r="AR530" s="1529" t="n"/>
      <c r="AS530" s="1529" t="n"/>
      <c r="AT530" s="1529" t="n"/>
      <c r="AU530" s="1529" t="n"/>
      <c r="AV530" s="1422" t="n"/>
    </row>
    <row r="531" hidden="1" outlineLevel="1" ht="14.4" customFormat="1" customHeight="1" s="1418">
      <c r="A531" s="1539" t="inlineStr">
        <is>
          <t>Purchase of strategic investments</t>
        </is>
      </c>
      <c r="B531" s="1698" t="n"/>
      <c r="C531" s="1529" t="n"/>
      <c r="D531" s="1529" t="n"/>
      <c r="E531" s="1529" t="n"/>
      <c r="F531" s="1529" t="n"/>
      <c r="G531" s="1529" t="n"/>
      <c r="H531" s="1529" t="n"/>
      <c r="I531" s="1529" t="n"/>
      <c r="J531" s="1529" t="n"/>
      <c r="K531" s="1529" t="n"/>
      <c r="L531" s="1529" t="n"/>
      <c r="M531" s="1529" t="n"/>
      <c r="N531" s="1529" t="n"/>
      <c r="O531" s="1420" t="n"/>
      <c r="P531" s="1420" t="n"/>
      <c r="Q531" s="1420" t="n"/>
      <c r="R531" s="1420" t="n"/>
      <c r="S531" s="1529" t="n"/>
      <c r="T531" s="1420" t="n"/>
      <c r="U531" s="1420" t="n"/>
      <c r="V531" s="1420" t="n"/>
      <c r="W531" s="1422">
        <f>X531</f>
        <v/>
      </c>
      <c r="X531" s="1593" t="n">
        <v>0</v>
      </c>
      <c r="Y531" s="1420" t="n"/>
      <c r="Z531" s="1420" t="n"/>
      <c r="AA531" s="1594" t="n">
        <v>-33</v>
      </c>
      <c r="AB531" s="1422">
        <f>AC531</f>
        <v/>
      </c>
      <c r="AC531" s="1593" t="n">
        <v>-33</v>
      </c>
      <c r="AD531" s="1420" t="n"/>
      <c r="AE531" s="1594" t="n">
        <v>-50</v>
      </c>
      <c r="AF531" s="1594" t="n">
        <v>-50</v>
      </c>
      <c r="AG531" s="1422">
        <f>AH531</f>
        <v/>
      </c>
      <c r="AH531" s="1593" t="n">
        <v>-50</v>
      </c>
      <c r="AI531" s="1420" t="n"/>
      <c r="AJ531" s="1420" t="n"/>
      <c r="AK531" s="1421" t="n"/>
      <c r="AL531" s="1420" t="n"/>
      <c r="AM531" s="1529" t="n"/>
      <c r="AN531" s="1420" t="n"/>
      <c r="AO531" s="1420" t="n"/>
      <c r="AP531" s="1420" t="n"/>
      <c r="AQ531" s="1420" t="n"/>
      <c r="AR531" s="1529" t="n"/>
      <c r="AS531" s="1529" t="n"/>
      <c r="AT531" s="1529" t="n"/>
      <c r="AU531" s="1529" t="n"/>
      <c r="AV531" s="1422" t="n"/>
    </row>
    <row r="532" hidden="1" outlineLevel="1" ht="14.4" customFormat="1" customHeight="1" s="1418">
      <c r="A532" s="1539" t="inlineStr">
        <is>
          <t>Sale of warrants received as lease incentive</t>
        </is>
      </c>
      <c r="B532" s="1698" t="n"/>
      <c r="C532" s="1529" t="n"/>
      <c r="D532" s="1529" t="n"/>
      <c r="E532" s="1529" t="n"/>
      <c r="F532" s="1529" t="n"/>
      <c r="G532" s="1529" t="n"/>
      <c r="H532" s="1529" t="n"/>
      <c r="I532" s="1529" t="n"/>
      <c r="J532" s="1529" t="n"/>
      <c r="K532" s="1529" t="n"/>
      <c r="L532" s="1529" t="n"/>
      <c r="M532" s="1529" t="n"/>
      <c r="N532" s="1529" t="n"/>
      <c r="O532" s="1420" t="n"/>
      <c r="P532" s="1420" t="n"/>
      <c r="Q532" s="1420" t="n"/>
      <c r="R532" s="1420" t="n"/>
      <c r="S532" s="1529" t="n"/>
      <c r="T532" s="1420" t="n"/>
      <c r="U532" s="1420" t="n"/>
      <c r="V532" s="1420" t="n"/>
      <c r="W532" s="1422">
        <f>X532</f>
        <v/>
      </c>
      <c r="X532" s="1529" t="n"/>
      <c r="Y532" s="1420" t="n"/>
      <c r="Z532" s="1420" t="n"/>
      <c r="AA532" s="1420" t="n"/>
      <c r="AB532" s="1422">
        <f>AC532</f>
        <v/>
      </c>
      <c r="AC532" s="1529" t="n"/>
      <c r="AD532" s="1420" t="n"/>
      <c r="AE532" s="1420" t="n"/>
      <c r="AF532" s="1420" t="n"/>
      <c r="AG532" s="1422">
        <f>AH532</f>
        <v/>
      </c>
      <c r="AH532" s="1529" t="n"/>
      <c r="AI532" s="1420" t="n"/>
      <c r="AJ532" s="1594" t="n">
        <v>100.645</v>
      </c>
      <c r="AK532" s="1595" t="n">
        <v>100.645</v>
      </c>
      <c r="AL532" s="1420" t="n"/>
      <c r="AM532" s="1529" t="n"/>
      <c r="AN532" s="1420" t="n"/>
      <c r="AO532" s="1420" t="n"/>
      <c r="AP532" s="1420" t="n"/>
      <c r="AQ532" s="1420" t="n"/>
      <c r="AR532" s="1529" t="n"/>
      <c r="AS532" s="1529" t="n"/>
      <c r="AT532" s="1529" t="n"/>
      <c r="AU532" s="1529" t="n"/>
      <c r="AV532" s="1422" t="n"/>
    </row>
    <row r="533" hidden="1" outlineLevel="1" ht="14.4" customFormat="1" customHeight="1" s="1418">
      <c r="A533" s="1539" t="inlineStr">
        <is>
          <t>Issuance of notes receivable</t>
        </is>
      </c>
      <c r="B533" s="1698" t="n"/>
      <c r="C533" s="1529" t="n"/>
      <c r="D533" s="1529" t="n"/>
      <c r="E533" s="1529" t="n"/>
      <c r="F533" s="1529" t="n"/>
      <c r="G533" s="1529" t="n"/>
      <c r="H533" s="1529" t="n"/>
      <c r="I533" s="1529" t="n"/>
      <c r="J533" s="1529" t="n"/>
      <c r="K533" s="1529" t="n"/>
      <c r="L533" s="1529" t="n"/>
      <c r="M533" s="1529" t="n"/>
      <c r="N533" s="1529" t="n"/>
      <c r="O533" s="1420" t="n"/>
      <c r="P533" s="1420" t="n"/>
      <c r="Q533" s="1420" t="n"/>
      <c r="R533" s="1420" t="n"/>
      <c r="S533" s="1529" t="n"/>
      <c r="T533" s="1420" t="n"/>
      <c r="U533" s="1420" t="n"/>
      <c r="V533" s="1420" t="n"/>
      <c r="W533" s="1422">
        <f>X533</f>
        <v/>
      </c>
      <c r="X533" s="1593" t="n">
        <v>0</v>
      </c>
      <c r="Y533" s="1420" t="n"/>
      <c r="Z533" s="1420" t="n"/>
      <c r="AA533" s="1420" t="n"/>
      <c r="AB533" s="1422">
        <f>AC533</f>
        <v/>
      </c>
      <c r="AC533" s="1593" t="n">
        <v>0</v>
      </c>
      <c r="AD533" s="1420" t="n"/>
      <c r="AE533" s="1420" t="n"/>
      <c r="AF533" s="1420" t="n"/>
      <c r="AG533" s="1422">
        <f>AH533</f>
        <v/>
      </c>
      <c r="AH533" s="1593" t="n">
        <v>-59.615</v>
      </c>
      <c r="AI533" s="1594" t="n">
        <v>-55</v>
      </c>
      <c r="AJ533" s="1594" t="n">
        <v>-73</v>
      </c>
      <c r="AK533" s="1595" t="n">
        <v>-73</v>
      </c>
      <c r="AL533" s="1420" t="n"/>
      <c r="AM533" s="1529" t="n"/>
      <c r="AN533" s="1420" t="n"/>
      <c r="AO533" s="1420" t="n"/>
      <c r="AP533" s="1420" t="n"/>
      <c r="AQ533" s="1420" t="n"/>
      <c r="AR533" s="1529" t="n"/>
      <c r="AS533" s="1529" t="n"/>
      <c r="AT533" s="1529" t="n"/>
      <c r="AU533" s="1529" t="n"/>
      <c r="AV533" s="1422" t="n"/>
    </row>
    <row r="534" hidden="1" outlineLevel="1" ht="14.4" customFormat="1" customHeight="1" s="1418">
      <c r="A534" s="1539" t="inlineStr">
        <is>
          <t>Other investing activities</t>
        </is>
      </c>
      <c r="B534" s="1698" t="n"/>
      <c r="C534" s="1529" t="n"/>
      <c r="D534" s="1529" t="n"/>
      <c r="E534" s="1529" t="n"/>
      <c r="F534" s="1529" t="n"/>
      <c r="G534" s="1529" t="n"/>
      <c r="H534" s="1529" t="n"/>
      <c r="I534" s="1529" t="n"/>
      <c r="J534" s="1529" t="n"/>
      <c r="K534" s="1529" t="n"/>
      <c r="L534" s="1529" t="n"/>
      <c r="M534" s="1529" t="n"/>
      <c r="N534" s="1529" t="n"/>
      <c r="O534" s="1420" t="n"/>
      <c r="P534" s="1420" t="n"/>
      <c r="Q534" s="1420" t="n"/>
      <c r="R534" s="1420" t="n"/>
      <c r="S534" s="1529" t="n"/>
      <c r="T534" s="1420" t="n"/>
      <c r="U534" s="1420" t="n"/>
      <c r="V534" s="1420" t="n"/>
      <c r="W534" s="1422">
        <f>X534</f>
        <v/>
      </c>
      <c r="X534" s="1593" t="n">
        <v>-14.852</v>
      </c>
      <c r="Y534" s="1420" t="n"/>
      <c r="Z534" s="1420" t="n"/>
      <c r="AA534" s="1594" t="n">
        <v>-5.481</v>
      </c>
      <c r="AB534" s="1422">
        <f>AC534</f>
        <v/>
      </c>
      <c r="AC534" s="1593" t="n">
        <v>-5.535</v>
      </c>
      <c r="AD534" s="1420" t="n"/>
      <c r="AE534" s="1594" t="n">
        <v>-1.433</v>
      </c>
      <c r="AF534" s="1594" t="n">
        <v>-1.433</v>
      </c>
      <c r="AG534" s="1422">
        <f>AH534</f>
        <v/>
      </c>
      <c r="AH534" s="1529" t="n"/>
      <c r="AI534" s="1420" t="n"/>
      <c r="AJ534" s="1594" t="n">
        <v>-26.109</v>
      </c>
      <c r="AK534" s="1595" t="n">
        <v>-49.849</v>
      </c>
      <c r="AL534" s="1420" t="n"/>
      <c r="AM534" s="1529" t="n"/>
      <c r="AN534" s="1420" t="n"/>
      <c r="AO534" s="1420" t="n"/>
      <c r="AP534" s="1420" t="n"/>
      <c r="AQ534" s="1420" t="n"/>
      <c r="AR534" s="1529" t="n"/>
      <c r="AS534" s="1529" t="n"/>
      <c r="AT534" s="1529" t="n"/>
      <c r="AU534" s="1529" t="n"/>
      <c r="AV534" s="1422" t="n"/>
    </row>
    <row r="535" hidden="1" outlineLevel="1" ht="14.4" customFormat="1" customHeight="1" s="1418">
      <c r="A535" s="1539" t="inlineStr">
        <is>
          <t>Acquisition</t>
        </is>
      </c>
      <c r="B535" s="1698" t="n"/>
      <c r="C535" s="1529" t="n"/>
      <c r="D535" s="1529" t="n"/>
      <c r="E535" s="1529" t="n"/>
      <c r="F535" s="1529" t="n"/>
      <c r="G535" s="1529" t="n"/>
      <c r="H535" s="1529" t="n"/>
      <c r="I535" s="1529" t="n"/>
      <c r="J535" s="1529" t="n"/>
      <c r="K535" s="1529" t="n"/>
      <c r="L535" s="1529" t="n"/>
      <c r="M535" s="1529" t="n"/>
      <c r="N535" s="1529" t="n"/>
      <c r="O535" s="1420" t="n"/>
      <c r="P535" s="1420" t="n"/>
      <c r="Q535" s="1420" t="n"/>
      <c r="R535" s="1420" t="n"/>
      <c r="S535" s="1529" t="n"/>
      <c r="T535" s="1420" t="n"/>
      <c r="U535" s="1420" t="n"/>
      <c r="V535" s="1420" t="n"/>
      <c r="W535" s="1422">
        <f>X535</f>
        <v/>
      </c>
      <c r="X535" s="1529" t="n"/>
      <c r="Y535" s="1420" t="n"/>
      <c r="Z535" s="1420" t="n"/>
      <c r="AA535" s="1420" t="n"/>
      <c r="AB535" s="1422">
        <f>AC535</f>
        <v/>
      </c>
      <c r="AC535" s="1529" t="n"/>
      <c r="AD535" s="1420" t="n"/>
      <c r="AE535" s="1420" t="n"/>
      <c r="AF535" s="1420" t="n"/>
      <c r="AG535" s="1422">
        <f>AH535</f>
        <v/>
      </c>
      <c r="AH535" s="1529" t="n"/>
      <c r="AI535" s="1420" t="n"/>
      <c r="AJ535" s="1594" t="n">
        <v>-45.706</v>
      </c>
      <c r="AK535" s="1595" t="n">
        <v>-55.918</v>
      </c>
      <c r="AL535" s="1420" t="n"/>
      <c r="AM535" s="1529" t="n"/>
      <c r="AN535" s="1420" t="n"/>
      <c r="AO535" s="1420" t="n"/>
      <c r="AP535" s="1420" t="n"/>
      <c r="AQ535" s="1420" t="n"/>
      <c r="AR535" s="1529" t="n"/>
      <c r="AS535" s="1529" t="n"/>
      <c r="AT535" s="1529" t="n"/>
      <c r="AU535" s="1529" t="n"/>
      <c r="AV535" s="1422" t="n"/>
    </row>
    <row r="536" hidden="1" outlineLevel="1" ht="14.4" customFormat="1" customHeight="1" s="1418">
      <c r="A536" s="1539" t="inlineStr">
        <is>
          <t>Divestiture</t>
        </is>
      </c>
      <c r="B536" s="1698" t="n"/>
      <c r="C536" s="1529" t="n"/>
      <c r="D536" s="1529" t="n"/>
      <c r="E536" s="1529" t="n"/>
      <c r="F536" s="1529" t="n"/>
      <c r="G536" s="1529" t="n"/>
      <c r="H536" s="1529" t="n"/>
      <c r="I536" s="1529" t="n"/>
      <c r="J536" s="1529" t="n"/>
      <c r="K536" s="1529" t="n"/>
      <c r="L536" s="1529" t="n"/>
      <c r="M536" s="1529" t="n"/>
      <c r="N536" s="1529" t="n"/>
      <c r="O536" s="1420" t="n"/>
      <c r="P536" s="1420" t="n"/>
      <c r="Q536" s="1420" t="n"/>
      <c r="R536" s="1420" t="n"/>
      <c r="S536" s="1529" t="n"/>
      <c r="T536" s="1420" t="n"/>
      <c r="U536" s="1420" t="n"/>
      <c r="V536" s="1420" t="n"/>
      <c r="W536" s="1422">
        <f>X536</f>
        <v/>
      </c>
      <c r="X536" s="1529" t="n"/>
      <c r="Y536" s="1420" t="n"/>
      <c r="Z536" s="1420" t="n"/>
      <c r="AA536" s="1420" t="n"/>
      <c r="AB536" s="1422">
        <f>AC536</f>
        <v/>
      </c>
      <c r="AC536" s="1529" t="n"/>
      <c r="AD536" s="1420" t="n"/>
      <c r="AE536" s="1420" t="n"/>
      <c r="AF536" s="1420" t="n"/>
      <c r="AG536" s="1422">
        <f>AH536</f>
        <v/>
      </c>
      <c r="AH536" s="1529" t="n"/>
      <c r="AI536" s="1420" t="n"/>
      <c r="AJ536" s="1420" t="n"/>
      <c r="AK536" s="1421" t="n"/>
      <c r="AL536" s="1420" t="n"/>
      <c r="AM536" s="1529" t="n"/>
      <c r="AN536" s="1420" t="n"/>
      <c r="AO536" s="1420" t="n"/>
      <c r="AP536" s="1420" t="n"/>
      <c r="AQ536" s="1420" t="n"/>
      <c r="AR536" s="1529" t="n"/>
      <c r="AS536" s="1529" t="n"/>
      <c r="AT536" s="1529" t="n"/>
      <c r="AU536" s="1529" t="n"/>
      <c r="AV536" s="1422" t="n"/>
    </row>
    <row r="537" hidden="1" outlineLevel="1" ht="14.4" customFormat="1" customHeight="1" s="1418">
      <c r="A537" s="1539" t="inlineStr">
        <is>
          <t>Net cash provided by investing activities-discontinued operations</t>
        </is>
      </c>
      <c r="B537" s="1698" t="n"/>
      <c r="C537" s="1529" t="n"/>
      <c r="D537" s="1529" t="n"/>
      <c r="E537" s="1529" t="n"/>
      <c r="F537" s="1529" t="n"/>
      <c r="G537" s="1529" t="n"/>
      <c r="H537" s="1529" t="n"/>
      <c r="I537" s="1529" t="n"/>
      <c r="J537" s="1529" t="n"/>
      <c r="K537" s="1529" t="n"/>
      <c r="L537" s="1529" t="n"/>
      <c r="M537" s="1529" t="n"/>
      <c r="N537" s="1529" t="n"/>
      <c r="O537" s="1420" t="n"/>
      <c r="P537" s="1420" t="n"/>
      <c r="Q537" s="1420" t="n"/>
      <c r="R537" s="1420" t="n"/>
      <c r="S537" s="1529" t="n"/>
      <c r="T537" s="1420" t="n"/>
      <c r="U537" s="1420" t="n"/>
      <c r="V537" s="1420" t="n"/>
      <c r="W537" s="1422">
        <f>X537</f>
        <v/>
      </c>
      <c r="X537" s="1593" t="n">
        <v>1.073</v>
      </c>
      <c r="Y537" s="1420" t="n"/>
      <c r="Z537" s="1420" t="n"/>
      <c r="AA537" s="1420" t="n"/>
      <c r="AB537" s="1422">
        <f>AC537</f>
        <v/>
      </c>
      <c r="AC537" s="1529" t="n"/>
      <c r="AD537" s="1420" t="n"/>
      <c r="AE537" s="1420" t="n"/>
      <c r="AF537" s="1420" t="n"/>
      <c r="AG537" s="1422">
        <f>AH537</f>
        <v/>
      </c>
      <c r="AH537" s="1529" t="n"/>
      <c r="AI537" s="1420" t="n"/>
      <c r="AJ537" s="1420" t="n"/>
      <c r="AK537" s="1421" t="n"/>
      <c r="AL537" s="1420" t="n"/>
      <c r="AM537" s="1529" t="n"/>
      <c r="AN537" s="1420" t="n"/>
      <c r="AO537" s="1420" t="n"/>
      <c r="AP537" s="1420" t="n"/>
      <c r="AQ537" s="1420" t="n"/>
      <c r="AR537" s="1529" t="n"/>
      <c r="AS537" s="1529" t="n"/>
      <c r="AT537" s="1529" t="n"/>
      <c r="AU537" s="1529" t="n"/>
      <c r="AV537" s="1422" t="n"/>
    </row>
    <row r="538" hidden="1" outlineLevel="1" ht="14.4" customFormat="1" customHeight="1" s="1438">
      <c r="A538" s="1542" t="inlineStr">
        <is>
          <t>Net CFI</t>
        </is>
      </c>
      <c r="B538" s="1699" t="n"/>
      <c r="C538" s="1544" t="n"/>
      <c r="D538" s="1544" t="n"/>
      <c r="E538" s="1544" t="n"/>
      <c r="F538" s="1544" t="n"/>
      <c r="G538" s="1544" t="n"/>
      <c r="H538" s="1544" t="n"/>
      <c r="I538" s="1544" t="n"/>
      <c r="J538" s="1544" t="n"/>
      <c r="K538" s="1544" t="n"/>
      <c r="L538" s="1544" t="n"/>
      <c r="M538" s="1544" t="n"/>
      <c r="N538" s="1544" t="n"/>
      <c r="O538" s="1545" t="n"/>
      <c r="P538" s="1545" t="n"/>
      <c r="Q538" s="1545" t="n"/>
      <c r="R538" s="1545" t="n"/>
      <c r="S538" s="1544" t="n"/>
      <c r="T538" s="1545" t="n"/>
      <c r="U538" s="1545" t="n"/>
      <c r="V538" s="1545" t="n"/>
      <c r="W538" s="1547">
        <f>SUM(W527:W537)</f>
        <v/>
      </c>
      <c r="X538" s="1546">
        <f>SUM(X527:X537)</f>
        <v/>
      </c>
      <c r="Y538" s="1545" t="n"/>
      <c r="Z538" s="1545" t="n"/>
      <c r="AA538" s="1547">
        <f>SUM(AA527:AA537)</f>
        <v/>
      </c>
      <c r="AB538" s="1547">
        <f>SUM(AB527:AB537)</f>
        <v/>
      </c>
      <c r="AC538" s="1546">
        <f>SUM(AC527:AC537)</f>
        <v/>
      </c>
      <c r="AD538" s="1545">
        <f>SUM(AD527:AD537)</f>
        <v/>
      </c>
      <c r="AE538" s="1545">
        <f>SUM(AE527:AE537)</f>
        <v/>
      </c>
      <c r="AF538" s="1547">
        <f>SUM(AF527:AF537)</f>
        <v/>
      </c>
      <c r="AG538" s="1547">
        <f>SUM(AG527:AG537)</f>
        <v/>
      </c>
      <c r="AH538" s="1546">
        <f>SUM(AH527:AH537)</f>
        <v/>
      </c>
      <c r="AI538" s="1545">
        <f>SUM(AI527:AI537)</f>
        <v/>
      </c>
      <c r="AJ538" s="1545">
        <f>SUM(AJ527:AJ537)</f>
        <v/>
      </c>
      <c r="AK538" s="1548">
        <f>SUM(AK527:AK537)</f>
        <v/>
      </c>
      <c r="AL538" s="1545" t="n"/>
      <c r="AM538" s="1544" t="n"/>
      <c r="AN538" s="1545" t="n"/>
      <c r="AO538" s="1545" t="n"/>
      <c r="AP538" s="1545" t="n"/>
      <c r="AQ538" s="1545" t="n"/>
      <c r="AR538" s="1544" t="n"/>
      <c r="AS538" s="1544" t="n"/>
      <c r="AT538" s="1544" t="n"/>
      <c r="AU538" s="1544" t="n"/>
      <c r="AV538" s="1446" t="n"/>
    </row>
    <row r="539" hidden="1" outlineLevel="1" ht="14.4" customFormat="1" customHeight="1" s="1438">
      <c r="A539" s="1513" t="n"/>
      <c r="B539" s="1695" t="n"/>
      <c r="C539" s="1535" t="n"/>
      <c r="D539" s="1535" t="n"/>
      <c r="E539" s="1535" t="n"/>
      <c r="F539" s="1535" t="n"/>
      <c r="G539" s="1535" t="n"/>
      <c r="H539" s="1535" t="n"/>
      <c r="I539" s="1535" t="n"/>
      <c r="J539" s="1535" t="n"/>
      <c r="K539" s="1535" t="n"/>
      <c r="L539" s="1535" t="n"/>
      <c r="M539" s="1535" t="n"/>
      <c r="N539" s="1535" t="n"/>
      <c r="O539" s="1536" t="n"/>
      <c r="P539" s="1536" t="n"/>
      <c r="Q539" s="1536" t="n"/>
      <c r="R539" s="1536" t="n"/>
      <c r="S539" s="1535" t="n"/>
      <c r="T539" s="1536" t="n"/>
      <c r="U539" s="1536" t="n"/>
      <c r="V539" s="1536" t="n"/>
      <c r="W539" s="1536" t="n"/>
      <c r="X539" s="1535" t="n"/>
      <c r="Y539" s="1536" t="n"/>
      <c r="Z539" s="1536" t="n"/>
      <c r="AA539" s="1536" t="n"/>
      <c r="AB539" s="1536" t="n"/>
      <c r="AC539" s="1535" t="n"/>
      <c r="AD539" s="1536" t="n"/>
      <c r="AE539" s="1536" t="n"/>
      <c r="AF539" s="1536" t="n"/>
      <c r="AG539" s="1536" t="n"/>
      <c r="AH539" s="1535" t="n"/>
      <c r="AI539" s="1536" t="n"/>
      <c r="AJ539" s="1536" t="n"/>
      <c r="AK539" s="1674" t="n"/>
      <c r="AL539" s="1536" t="n"/>
      <c r="AM539" s="1529" t="n"/>
      <c r="AN539" s="1536" t="n"/>
      <c r="AO539" s="1536" t="n"/>
      <c r="AP539" s="1536" t="n"/>
      <c r="AQ539" s="1536" t="n"/>
      <c r="AR539" s="1529" t="n"/>
      <c r="AS539" s="1529" t="n"/>
      <c r="AT539" s="1529" t="n"/>
      <c r="AU539" s="1529" t="n"/>
      <c r="AV539" s="1446" t="n"/>
    </row>
    <row r="540" hidden="1" outlineLevel="1" ht="14.4" customFormat="1" customHeight="1" s="1438">
      <c r="A540" s="1439" t="inlineStr">
        <is>
          <t>CFF</t>
        </is>
      </c>
      <c r="B540" s="1695" t="n"/>
      <c r="C540" s="1535" t="n"/>
      <c r="D540" s="1535" t="n"/>
      <c r="E540" s="1535" t="n"/>
      <c r="F540" s="1535" t="n"/>
      <c r="G540" s="1535" t="n"/>
      <c r="H540" s="1535" t="n"/>
      <c r="I540" s="1535" t="n"/>
      <c r="J540" s="1535" t="n"/>
      <c r="K540" s="1535" t="n"/>
      <c r="L540" s="1535" t="n"/>
      <c r="M540" s="1535" t="n"/>
      <c r="N540" s="1535" t="n"/>
      <c r="O540" s="1536" t="n"/>
      <c r="P540" s="1536" t="n"/>
      <c r="Q540" s="1536" t="n"/>
      <c r="R540" s="1536" t="n"/>
      <c r="S540" s="1535" t="n"/>
      <c r="T540" s="1536" t="n"/>
      <c r="U540" s="1536" t="n"/>
      <c r="V540" s="1536" t="n"/>
      <c r="W540" s="1536" t="n"/>
      <c r="X540" s="1535" t="n"/>
      <c r="Y540" s="1536" t="n"/>
      <c r="Z540" s="1536" t="n"/>
      <c r="AA540" s="1536" t="n"/>
      <c r="AB540" s="1536" t="n"/>
      <c r="AC540" s="1535" t="n"/>
      <c r="AD540" s="1536" t="n"/>
      <c r="AE540" s="1536" t="n"/>
      <c r="AF540" s="1536" t="n"/>
      <c r="AG540" s="1536" t="n"/>
      <c r="AH540" s="1535" t="n"/>
      <c r="AI540" s="1536" t="n"/>
      <c r="AJ540" s="1536" t="n"/>
      <c r="AK540" s="1674" t="n"/>
      <c r="AL540" s="1536" t="n"/>
      <c r="AM540" s="1529" t="n"/>
      <c r="AN540" s="1536" t="n"/>
      <c r="AO540" s="1536" t="n"/>
      <c r="AP540" s="1536" t="n"/>
      <c r="AQ540" s="1536" t="n"/>
      <c r="AR540" s="1529" t="n"/>
      <c r="AS540" s="1529" t="n"/>
      <c r="AT540" s="1529" t="n"/>
      <c r="AU540" s="1529" t="n"/>
      <c r="AV540" s="1446" t="n"/>
    </row>
    <row r="541" hidden="1" outlineLevel="1" ht="14.4" customFormat="1" customHeight="1" s="1418">
      <c r="A541" s="1539" t="inlineStr">
        <is>
          <t>Proceeds from issuance of debt</t>
        </is>
      </c>
      <c r="B541" s="1698" t="n"/>
      <c r="C541" s="1529" t="n"/>
      <c r="D541" s="1529" t="n"/>
      <c r="E541" s="1529" t="n"/>
      <c r="F541" s="1529" t="n"/>
      <c r="G541" s="1529" t="n"/>
      <c r="H541" s="1529" t="n"/>
      <c r="I541" s="1529" t="n"/>
      <c r="J541" s="1529" t="n"/>
      <c r="K541" s="1529" t="n"/>
      <c r="L541" s="1529" t="n"/>
      <c r="M541" s="1529" t="n"/>
      <c r="N541" s="1529" t="n"/>
      <c r="O541" s="1420" t="n"/>
      <c r="P541" s="1420" t="n"/>
      <c r="Q541" s="1420" t="n"/>
      <c r="R541" s="1420" t="n"/>
      <c r="S541" s="1529" t="n"/>
      <c r="T541" s="1420" t="n"/>
      <c r="U541" s="1420" t="n"/>
      <c r="V541" s="1420" t="n"/>
      <c r="W541" s="1422">
        <f>X541</f>
        <v/>
      </c>
      <c r="X541" s="1593" t="n">
        <v>60</v>
      </c>
      <c r="Y541" s="1420" t="n"/>
      <c r="Z541" s="1420" t="n"/>
      <c r="AA541" s="1594" t="n">
        <v>165</v>
      </c>
      <c r="AB541" s="1422">
        <f>AC541</f>
        <v/>
      </c>
      <c r="AC541" s="1593" t="n">
        <v>1415.862</v>
      </c>
      <c r="AD541" s="1594" t="n">
        <v>931.647</v>
      </c>
      <c r="AE541" s="1594" t="n">
        <v>1821.541</v>
      </c>
      <c r="AF541" s="1594" t="n">
        <v>3329.121</v>
      </c>
      <c r="AG541" s="1422">
        <f>AH541</f>
        <v/>
      </c>
      <c r="AH541" s="1593" t="n">
        <v>7022.291</v>
      </c>
      <c r="AI541" s="1594" t="n">
        <v>784.956</v>
      </c>
      <c r="AJ541" s="1594" t="n">
        <v>4432.723</v>
      </c>
      <c r="AK541" s="1595" t="n">
        <v>7562.686</v>
      </c>
      <c r="AL541" s="1420" t="n"/>
      <c r="AM541" s="1529" t="n"/>
      <c r="AN541" s="1420" t="n"/>
      <c r="AO541" s="1420" t="n"/>
      <c r="AP541" s="1420" t="n"/>
      <c r="AQ541" s="1420" t="n"/>
      <c r="AR541" s="1529" t="n"/>
      <c r="AS541" s="1529" t="n"/>
      <c r="AT541" s="1529" t="n"/>
      <c r="AU541" s="1529" t="n"/>
      <c r="AV541" s="1422" t="n"/>
    </row>
    <row r="542" hidden="1" outlineLevel="1" ht="14.4" customFormat="1" customHeight="1" s="1418">
      <c r="A542" s="1539" t="inlineStr">
        <is>
          <t>Proceeds from issuance of convertible debt</t>
        </is>
      </c>
      <c r="B542" s="1698" t="n"/>
      <c r="C542" s="1529" t="n"/>
      <c r="D542" s="1529" t="n"/>
      <c r="E542" s="1529" t="n"/>
      <c r="F542" s="1529" t="n"/>
      <c r="G542" s="1529" t="n"/>
      <c r="H542" s="1529" t="n"/>
      <c r="I542" s="1529" t="n"/>
      <c r="J542" s="1529" t="n"/>
      <c r="K542" s="1529" t="n"/>
      <c r="L542" s="1529" t="n"/>
      <c r="M542" s="1529" t="n"/>
      <c r="N542" s="1529" t="n"/>
      <c r="O542" s="1420" t="n"/>
      <c r="P542" s="1420" t="n"/>
      <c r="Q542" s="1420" t="n"/>
      <c r="R542" s="1420" t="n"/>
      <c r="S542" s="1529" t="n"/>
      <c r="T542" s="1420" t="n"/>
      <c r="U542" s="1420" t="n"/>
      <c r="V542" s="1420" t="n"/>
      <c r="W542" s="1422">
        <f>X542</f>
        <v/>
      </c>
      <c r="X542" s="1593" t="n">
        <v>30</v>
      </c>
      <c r="Y542" s="1420" t="n"/>
      <c r="Z542" s="1420" t="n"/>
      <c r="AA542" s="1594" t="n">
        <v>0</v>
      </c>
      <c r="AB542" s="1422">
        <f>AC542</f>
        <v/>
      </c>
      <c r="AC542" s="1593" t="n">
        <v>0</v>
      </c>
      <c r="AD542" s="1420" t="n"/>
      <c r="AE542" s="1420" t="n"/>
      <c r="AF542" s="1594" t="n">
        <v>0</v>
      </c>
      <c r="AG542" s="1422">
        <f>AH542</f>
        <v/>
      </c>
      <c r="AH542" s="1593" t="n">
        <v>0</v>
      </c>
      <c r="AI542" s="1420" t="n"/>
      <c r="AJ542" s="1420" t="n"/>
      <c r="AK542" s="1421" t="n"/>
      <c r="AL542" s="1420" t="n"/>
      <c r="AM542" s="1529" t="n"/>
      <c r="AN542" s="1420" t="n"/>
      <c r="AO542" s="1420" t="n"/>
      <c r="AP542" s="1420" t="n"/>
      <c r="AQ542" s="1420" t="n"/>
      <c r="AR542" s="1529" t="n"/>
      <c r="AS542" s="1529" t="n"/>
      <c r="AT542" s="1529" t="n"/>
      <c r="AU542" s="1529" t="n"/>
      <c r="AV542" s="1422" t="n"/>
    </row>
    <row r="543" hidden="1" outlineLevel="1" ht="14.4" customFormat="1" customHeight="1" s="1418">
      <c r="A543" s="1539" t="inlineStr">
        <is>
          <t>Repayments of debt</t>
        </is>
      </c>
      <c r="B543" s="1698" t="n"/>
      <c r="C543" s="1529" t="n"/>
      <c r="D543" s="1529" t="n"/>
      <c r="E543" s="1529" t="n"/>
      <c r="F543" s="1529" t="n"/>
      <c r="G543" s="1529" t="n"/>
      <c r="H543" s="1529" t="n"/>
      <c r="I543" s="1529" t="n"/>
      <c r="J543" s="1529" t="n"/>
      <c r="K543" s="1529" t="n"/>
      <c r="L543" s="1529" t="n"/>
      <c r="M543" s="1529" t="n"/>
      <c r="N543" s="1529" t="n"/>
      <c r="O543" s="1420" t="n"/>
      <c r="P543" s="1420" t="n"/>
      <c r="Q543" s="1420" t="n"/>
      <c r="R543" s="1420" t="n"/>
      <c r="S543" s="1529" t="n"/>
      <c r="T543" s="1420" t="n"/>
      <c r="U543" s="1420" t="n"/>
      <c r="V543" s="1420" t="n"/>
      <c r="W543" s="1422">
        <f>X543</f>
        <v/>
      </c>
      <c r="X543" s="1593" t="n">
        <v>-3.055</v>
      </c>
      <c r="Y543" s="1420" t="n"/>
      <c r="Z543" s="1420" t="n"/>
      <c r="AA543" s="1594" t="n">
        <v>-2.18</v>
      </c>
      <c r="AB543" s="1422">
        <f>AC543</f>
        <v/>
      </c>
      <c r="AC543" s="1593" t="n">
        <v>-2.18</v>
      </c>
      <c r="AD543" s="1594" t="n">
        <v>-4.956</v>
      </c>
      <c r="AE543" s="1594" t="n">
        <v>-74.416</v>
      </c>
      <c r="AF543" s="1594" t="n">
        <v>-364.127</v>
      </c>
      <c r="AG543" s="1422">
        <f>AH543</f>
        <v/>
      </c>
      <c r="AH543" s="1593" t="n">
        <v>-588.5549999999999</v>
      </c>
      <c r="AI543" s="1594" t="n">
        <v>-271.104</v>
      </c>
      <c r="AJ543" s="1594" t="n">
        <v>-1574.867</v>
      </c>
      <c r="AK543" s="1595" t="n">
        <v>-2978.85</v>
      </c>
      <c r="AL543" s="1420" t="n"/>
      <c r="AM543" s="1529" t="n"/>
      <c r="AN543" s="1420" t="n"/>
      <c r="AO543" s="1420" t="n"/>
      <c r="AP543" s="1420" t="n"/>
      <c r="AQ543" s="1420" t="n"/>
      <c r="AR543" s="1529" t="n"/>
      <c r="AS543" s="1529" t="n"/>
      <c r="AT543" s="1529" t="n"/>
      <c r="AU543" s="1529" t="n"/>
      <c r="AV543" s="1422" t="n"/>
    </row>
    <row r="544" hidden="1" outlineLevel="1" ht="14.4" customFormat="1" customHeight="1" s="1418">
      <c r="A544" s="1539" t="inlineStr">
        <is>
          <t>Payment of debt issuance costs</t>
        </is>
      </c>
      <c r="B544" s="1698" t="n"/>
      <c r="C544" s="1529" t="n"/>
      <c r="D544" s="1529" t="n"/>
      <c r="E544" s="1529" t="n"/>
      <c r="F544" s="1529" t="n"/>
      <c r="G544" s="1529" t="n"/>
      <c r="H544" s="1529" t="n"/>
      <c r="I544" s="1529" t="n"/>
      <c r="J544" s="1529" t="n"/>
      <c r="K544" s="1529" t="n"/>
      <c r="L544" s="1529" t="n"/>
      <c r="M544" s="1529" t="n"/>
      <c r="N544" s="1529" t="n"/>
      <c r="O544" s="1420" t="n"/>
      <c r="P544" s="1420" t="n"/>
      <c r="Q544" s="1420" t="n"/>
      <c r="R544" s="1420" t="n"/>
      <c r="S544" s="1529" t="n"/>
      <c r="T544" s="1420" t="n"/>
      <c r="U544" s="1420" t="n"/>
      <c r="V544" s="1420" t="n"/>
      <c r="W544" s="1422">
        <f>X544</f>
        <v/>
      </c>
      <c r="X544" s="1593" t="n">
        <v>-1.651</v>
      </c>
      <c r="Y544" s="1420" t="n"/>
      <c r="Z544" s="1420" t="n"/>
      <c r="AA544" s="1594" t="n">
        <v>-12.053</v>
      </c>
      <c r="AB544" s="1422">
        <f>AC544</f>
        <v/>
      </c>
      <c r="AC544" s="1593" t="n">
        <v>-12.053</v>
      </c>
      <c r="AD544" s="1420" t="n"/>
      <c r="AE544" s="1594" t="n">
        <v>-3.479</v>
      </c>
      <c r="AF544" s="1594" t="n">
        <v>-3.479</v>
      </c>
      <c r="AG544" s="1422">
        <f>AH544</f>
        <v/>
      </c>
      <c r="AH544" s="1593" t="n">
        <v>-3.786</v>
      </c>
      <c r="AI544" s="1420" t="n"/>
      <c r="AJ544" s="1594" t="n">
        <v>-36.536</v>
      </c>
      <c r="AK544" s="1595" t="n">
        <v>-46.086</v>
      </c>
      <c r="AL544" s="1420" t="n"/>
      <c r="AM544" s="1529" t="n"/>
      <c r="AN544" s="1420" t="n"/>
      <c r="AO544" s="1420" t="n"/>
      <c r="AP544" s="1420" t="n"/>
      <c r="AQ544" s="1420" t="n"/>
      <c r="AR544" s="1529" t="n"/>
      <c r="AS544" s="1529" t="n"/>
      <c r="AT544" s="1529" t="n"/>
      <c r="AU544" s="1529" t="n"/>
      <c r="AV544" s="1422" t="n"/>
    </row>
    <row r="545" hidden="1" outlineLevel="1" ht="14.4" customFormat="1" customHeight="1" s="1418">
      <c r="A545" s="1539" t="inlineStr">
        <is>
          <t>Issuance of redeemable convertible preferred stock, net of issuance costs</t>
        </is>
      </c>
      <c r="B545" s="1698" t="n"/>
      <c r="C545" s="1529" t="n"/>
      <c r="D545" s="1529" t="n"/>
      <c r="E545" s="1529" t="n"/>
      <c r="F545" s="1529" t="n"/>
      <c r="G545" s="1529" t="n"/>
      <c r="H545" s="1529" t="n"/>
      <c r="I545" s="1529" t="n"/>
      <c r="J545" s="1529" t="n"/>
      <c r="K545" s="1529" t="n"/>
      <c r="L545" s="1529" t="n"/>
      <c r="M545" s="1529" t="n"/>
      <c r="N545" s="1529" t="n"/>
      <c r="O545" s="1420" t="n"/>
      <c r="P545" s="1420" t="n"/>
      <c r="Q545" s="1420" t="n"/>
      <c r="R545" s="1420" t="n"/>
      <c r="S545" s="1529" t="n"/>
      <c r="T545" s="1420" t="n"/>
      <c r="U545" s="1420" t="n"/>
      <c r="V545" s="1420" t="n"/>
      <c r="W545" s="1422">
        <f>X545</f>
        <v/>
      </c>
      <c r="X545" s="1593" t="n">
        <v>0</v>
      </c>
      <c r="Y545" s="1420" t="n"/>
      <c r="Z545" s="1420" t="n"/>
      <c r="AA545" s="1594" t="n">
        <v>420.765</v>
      </c>
      <c r="AB545" s="1422">
        <f>AC545</f>
        <v/>
      </c>
      <c r="AC545" s="1593" t="n">
        <v>420.765</v>
      </c>
      <c r="AD545" s="1594" t="n">
        <v>25</v>
      </c>
      <c r="AE545" s="1594" t="n">
        <v>1172.476</v>
      </c>
      <c r="AF545" s="1594" t="n">
        <v>1172.476</v>
      </c>
      <c r="AG545" s="1422">
        <f>AH545</f>
        <v/>
      </c>
      <c r="AH545" s="1593" t="n">
        <v>1172.476</v>
      </c>
      <c r="AI545" s="1420" t="n"/>
      <c r="AJ545" s="1420" t="n"/>
      <c r="AK545" s="1595" t="n">
        <v>0</v>
      </c>
      <c r="AL545" s="1420" t="n"/>
      <c r="AM545" s="1529" t="n"/>
      <c r="AN545" s="1420" t="n"/>
      <c r="AO545" s="1420" t="n"/>
      <c r="AP545" s="1420" t="n"/>
      <c r="AQ545" s="1420" t="n"/>
      <c r="AR545" s="1529" t="n"/>
      <c r="AS545" s="1529" t="n"/>
      <c r="AT545" s="1529" t="n"/>
      <c r="AU545" s="1529" t="n"/>
      <c r="AV545" s="1422" t="n"/>
    </row>
    <row r="546" hidden="1" outlineLevel="1" ht="14.4" customFormat="1" customHeight="1" s="1418">
      <c r="A546" s="1539" t="inlineStr">
        <is>
          <t>Redeemable convertible preferred stock cash dividends paid</t>
        </is>
      </c>
      <c r="B546" s="1698" t="n"/>
      <c r="C546" s="1529" t="n"/>
      <c r="D546" s="1529" t="n"/>
      <c r="E546" s="1529" t="n"/>
      <c r="F546" s="1529" t="n"/>
      <c r="G546" s="1529" t="n"/>
      <c r="H546" s="1529" t="n"/>
      <c r="I546" s="1529" t="n"/>
      <c r="J546" s="1529" t="n"/>
      <c r="K546" s="1529" t="n"/>
      <c r="L546" s="1529" t="n"/>
      <c r="M546" s="1529" t="n"/>
      <c r="N546" s="1529" t="n"/>
      <c r="O546" s="1420" t="n"/>
      <c r="P546" s="1420" t="n"/>
      <c r="Q546" s="1420" t="n"/>
      <c r="R546" s="1420" t="n"/>
      <c r="S546" s="1529" t="n"/>
      <c r="T546" s="1420" t="n"/>
      <c r="U546" s="1420" t="n"/>
      <c r="V546" s="1420" t="n"/>
      <c r="W546" s="1422">
        <f>X546</f>
        <v/>
      </c>
      <c r="X546" s="1593" t="n">
        <v>0</v>
      </c>
      <c r="Y546" s="1420" t="n"/>
      <c r="Z546" s="1420" t="n"/>
      <c r="AA546" s="1594" t="n">
        <v>0</v>
      </c>
      <c r="AB546" s="1422">
        <f>AC546</f>
        <v/>
      </c>
      <c r="AC546" s="1593" t="n">
        <v>0</v>
      </c>
      <c r="AD546" s="1420" t="n"/>
      <c r="AE546" s="1594" t="n">
        <v>0</v>
      </c>
      <c r="AF546" s="1594" t="n">
        <v>-29.331</v>
      </c>
      <c r="AG546" s="1422">
        <f>AH546</f>
        <v/>
      </c>
      <c r="AH546" s="1593" t="n">
        <v>-57.745</v>
      </c>
      <c r="AI546" s="1594" t="n">
        <v>-26.101</v>
      </c>
      <c r="AJ546" s="1594" t="n">
        <v>-28.693</v>
      </c>
      <c r="AK546" s="1595" t="n">
        <v>-28.693</v>
      </c>
      <c r="AL546" s="1420" t="n"/>
      <c r="AM546" s="1529" t="n"/>
      <c r="AN546" s="1420" t="n"/>
      <c r="AO546" s="1420" t="n"/>
      <c r="AP546" s="1420" t="n"/>
      <c r="AQ546" s="1420" t="n"/>
      <c r="AR546" s="1529" t="n"/>
      <c r="AS546" s="1529" t="n"/>
      <c r="AT546" s="1529" t="n"/>
      <c r="AU546" s="1529" t="n"/>
      <c r="AV546" s="1422" t="n"/>
    </row>
    <row r="547" hidden="1" outlineLevel="1" ht="14.4" customFormat="1" customHeight="1" s="1418">
      <c r="A547" s="1539" t="inlineStr">
        <is>
          <t>Proceeds from exercise of stock options</t>
        </is>
      </c>
      <c r="B547" s="1698" t="n"/>
      <c r="C547" s="1529" t="n"/>
      <c r="D547" s="1529" t="n"/>
      <c r="E547" s="1529" t="n"/>
      <c r="F547" s="1529" t="n"/>
      <c r="G547" s="1529" t="n"/>
      <c r="H547" s="1529" t="n"/>
      <c r="I547" s="1529" t="n"/>
      <c r="J547" s="1529" t="n"/>
      <c r="K547" s="1529" t="n"/>
      <c r="L547" s="1529" t="n"/>
      <c r="M547" s="1529" t="n"/>
      <c r="N547" s="1529" t="n"/>
      <c r="O547" s="1420" t="n"/>
      <c r="P547" s="1420" t="n"/>
      <c r="Q547" s="1420" t="n"/>
      <c r="R547" s="1420" t="n"/>
      <c r="S547" s="1529" t="n"/>
      <c r="T547" s="1420" t="n"/>
      <c r="U547" s="1420" t="n"/>
      <c r="V547" s="1420" t="n"/>
      <c r="W547" s="1422">
        <f>X547</f>
        <v/>
      </c>
      <c r="X547" s="1593" t="n">
        <v>0</v>
      </c>
      <c r="Y547" s="1420" t="n"/>
      <c r="Z547" s="1420" t="n"/>
      <c r="AA547" s="1594" t="n">
        <v>1.186</v>
      </c>
      <c r="AB547" s="1422">
        <f>AC547</f>
        <v/>
      </c>
      <c r="AC547" s="1593" t="n">
        <v>1.669</v>
      </c>
      <c r="AD547" s="1594" t="n">
        <v>0.045</v>
      </c>
      <c r="AE547" s="1594" t="n">
        <v>0.642</v>
      </c>
      <c r="AF547" s="1594" t="n">
        <v>1.327</v>
      </c>
      <c r="AG547" s="1422">
        <f>AH547</f>
        <v/>
      </c>
      <c r="AH547" s="1593" t="n">
        <v>2.89</v>
      </c>
      <c r="AI547" s="1594" t="n">
        <v>2.794</v>
      </c>
      <c r="AJ547" s="1594" t="n">
        <v>4.538</v>
      </c>
      <c r="AK547" s="1595" t="n">
        <v>17.519</v>
      </c>
      <c r="AL547" s="1420" t="n"/>
      <c r="AM547" s="1529" t="n"/>
      <c r="AN547" s="1420" t="n"/>
      <c r="AO547" s="1420" t="n"/>
      <c r="AP547" s="1420" t="n"/>
      <c r="AQ547" s="1420" t="n"/>
      <c r="AR547" s="1529" t="n"/>
      <c r="AS547" s="1529" t="n"/>
      <c r="AT547" s="1529" t="n"/>
      <c r="AU547" s="1529" t="n"/>
      <c r="AV547" s="1422" t="n"/>
    </row>
    <row r="548" hidden="1" outlineLevel="1" ht="14.4" customFormat="1" customHeight="1" s="1418">
      <c r="A548" s="1539" t="inlineStr">
        <is>
          <t>Common stock repurchased</t>
        </is>
      </c>
      <c r="B548" s="1698" t="n"/>
      <c r="C548" s="1529" t="n"/>
      <c r="D548" s="1529" t="n"/>
      <c r="E548" s="1529" t="n"/>
      <c r="F548" s="1529" t="n"/>
      <c r="G548" s="1529" t="n"/>
      <c r="H548" s="1529" t="n"/>
      <c r="I548" s="1529" t="n"/>
      <c r="J548" s="1529" t="n"/>
      <c r="K548" s="1529" t="n"/>
      <c r="L548" s="1529" t="n"/>
      <c r="M548" s="1529" t="n"/>
      <c r="N548" s="1529" t="n"/>
      <c r="O548" s="1420" t="n"/>
      <c r="P548" s="1420" t="n"/>
      <c r="Q548" s="1420" t="n"/>
      <c r="R548" s="1420" t="n"/>
      <c r="S548" s="1529" t="n"/>
      <c r="T548" s="1420" t="n"/>
      <c r="U548" s="1420" t="n"/>
      <c r="V548" s="1420" t="n"/>
      <c r="W548" s="1422">
        <f>X548</f>
        <v/>
      </c>
      <c r="X548" s="1593" t="n">
        <v>0</v>
      </c>
      <c r="Y548" s="1420" t="n"/>
      <c r="Z548" s="1420" t="n"/>
      <c r="AA548" s="1594" t="n">
        <v>0</v>
      </c>
      <c r="AB548" s="1422">
        <f>AC548</f>
        <v/>
      </c>
      <c r="AC548" s="1593" t="n">
        <v>-32.054</v>
      </c>
      <c r="AD548" s="1420" t="n"/>
      <c r="AE548" s="1420" t="n"/>
      <c r="AF548" s="1594" t="n">
        <v>-1.47</v>
      </c>
      <c r="AG548" s="1422">
        <f>AH548</f>
        <v/>
      </c>
      <c r="AH548" s="1593" t="n">
        <v>-1.47</v>
      </c>
      <c r="AI548" s="1420" t="n"/>
      <c r="AJ548" s="1420" t="n"/>
      <c r="AK548" s="1595" t="n">
        <v>0</v>
      </c>
      <c r="AL548" s="1420" t="n"/>
      <c r="AM548" s="1529" t="n"/>
      <c r="AN548" s="1420" t="n"/>
      <c r="AO548" s="1420" t="n"/>
      <c r="AP548" s="1420" t="n"/>
      <c r="AQ548" s="1420" t="n"/>
      <c r="AR548" s="1529" t="n"/>
      <c r="AS548" s="1529" t="n"/>
      <c r="AT548" s="1529" t="n"/>
      <c r="AU548" s="1529" t="n"/>
      <c r="AV548" s="1422" t="n"/>
    </row>
    <row r="549" hidden="1" outlineLevel="1" ht="14.4" customFormat="1" customHeight="1" s="1418">
      <c r="A549" s="1539" t="inlineStr">
        <is>
          <t>Issuance of common stock, net of underwriting discounts and commissions</t>
        </is>
      </c>
      <c r="B549" s="1698" t="n"/>
      <c r="C549" s="1529" t="n"/>
      <c r="D549" s="1529" t="n"/>
      <c r="E549" s="1529" t="n"/>
      <c r="F549" s="1529" t="n"/>
      <c r="G549" s="1529" t="n"/>
      <c r="H549" s="1529" t="n"/>
      <c r="I549" s="1529" t="n"/>
      <c r="J549" s="1529" t="n"/>
      <c r="K549" s="1529" t="n"/>
      <c r="L549" s="1529" t="n"/>
      <c r="M549" s="1529" t="n"/>
      <c r="N549" s="1529" t="n"/>
      <c r="O549" s="1420" t="n"/>
      <c r="P549" s="1420" t="n"/>
      <c r="Q549" s="1420" t="n"/>
      <c r="R549" s="1420" t="n"/>
      <c r="S549" s="1529" t="n"/>
      <c r="T549" s="1420" t="n"/>
      <c r="U549" s="1420" t="n"/>
      <c r="V549" s="1420" t="n"/>
      <c r="W549" s="1422">
        <f>X549</f>
        <v/>
      </c>
      <c r="X549" s="1529" t="n"/>
      <c r="Y549" s="1420" t="n"/>
      <c r="Z549" s="1420" t="n"/>
      <c r="AA549" s="1420" t="n"/>
      <c r="AB549" s="1422">
        <f>AC549</f>
        <v/>
      </c>
      <c r="AC549" s="1529" t="n"/>
      <c r="AD549" s="1420" t="n"/>
      <c r="AE549" s="1420" t="n"/>
      <c r="AF549" s="1420" t="n"/>
      <c r="AG549" s="1422">
        <f>AH549</f>
        <v/>
      </c>
      <c r="AH549" s="1529" t="n"/>
      <c r="AI549" s="1420" t="n"/>
      <c r="AJ549" s="1594" t="n">
        <v>67.669</v>
      </c>
      <c r="AK549" s="1595" t="n">
        <v>67.669</v>
      </c>
      <c r="AL549" s="1420" t="n"/>
      <c r="AM549" s="1529" t="n"/>
      <c r="AN549" s="1420" t="n"/>
      <c r="AO549" s="1420" t="n"/>
      <c r="AP549" s="1420" t="n"/>
      <c r="AQ549" s="1420" t="n"/>
      <c r="AR549" s="1529" t="n"/>
      <c r="AS549" s="1529" t="n"/>
      <c r="AT549" s="1529" t="n"/>
      <c r="AU549" s="1529" t="n"/>
      <c r="AV549" s="1422" t="n"/>
    </row>
    <row r="550" hidden="1" outlineLevel="1" ht="14.4" customFormat="1" customHeight="1" s="1418">
      <c r="A550" s="1539" t="inlineStr">
        <is>
          <t>Proceeds from issuance of common stock</t>
        </is>
      </c>
      <c r="B550" s="1698" t="n"/>
      <c r="C550" s="1529" t="n"/>
      <c r="D550" s="1529" t="n"/>
      <c r="E550" s="1529" t="n"/>
      <c r="F550" s="1529" t="n"/>
      <c r="G550" s="1529" t="n"/>
      <c r="H550" s="1529" t="n"/>
      <c r="I550" s="1529" t="n"/>
      <c r="J550" s="1529" t="n"/>
      <c r="K550" s="1529" t="n"/>
      <c r="L550" s="1529" t="n"/>
      <c r="M550" s="1529" t="n"/>
      <c r="N550" s="1529" t="n"/>
      <c r="O550" s="1420" t="n"/>
      <c r="P550" s="1420" t="n"/>
      <c r="Q550" s="1420" t="n"/>
      <c r="R550" s="1420" t="n"/>
      <c r="S550" s="1529" t="n"/>
      <c r="T550" s="1420" t="n"/>
      <c r="U550" s="1420" t="n"/>
      <c r="V550" s="1420" t="n"/>
      <c r="W550" s="1422">
        <f>X550</f>
        <v/>
      </c>
      <c r="X550" s="1593" t="n">
        <v>0</v>
      </c>
      <c r="Y550" s="1420" t="n"/>
      <c r="Z550" s="1420" t="n"/>
      <c r="AA550" s="1594" t="n">
        <v>14.837</v>
      </c>
      <c r="AB550" s="1422">
        <f>AC550</f>
        <v/>
      </c>
      <c r="AC550" s="1593" t="n">
        <v>14.837</v>
      </c>
      <c r="AD550" s="1420" t="n"/>
      <c r="AE550" s="1420" t="n"/>
      <c r="AF550" s="1594" t="n">
        <v>0</v>
      </c>
      <c r="AG550" s="1422">
        <f>AH550</f>
        <v/>
      </c>
      <c r="AH550" s="1593" t="n">
        <v>0</v>
      </c>
      <c r="AI550" s="1594" t="n">
        <v>1422.619</v>
      </c>
      <c r="AJ550" s="1594" t="n">
        <v>1422.619</v>
      </c>
      <c r="AK550" s="1595" t="n">
        <v>1422.619</v>
      </c>
      <c r="AL550" s="1420" t="n"/>
      <c r="AM550" s="1529" t="n"/>
      <c r="AN550" s="1420" t="n"/>
      <c r="AO550" s="1420" t="n"/>
      <c r="AP550" s="1420" t="n"/>
      <c r="AQ550" s="1420" t="n"/>
      <c r="AR550" s="1529" t="n"/>
      <c r="AS550" s="1529" t="n"/>
      <c r="AT550" s="1529" t="n"/>
      <c r="AU550" s="1529" t="n"/>
      <c r="AV550" s="1422" t="n"/>
    </row>
    <row r="551" hidden="1" outlineLevel="1" ht="14.4" customFormat="1" customHeight="1" s="1418">
      <c r="A551" s="1539" t="inlineStr">
        <is>
          <t>Dividend paid</t>
        </is>
      </c>
      <c r="B551" s="1698" t="n"/>
      <c r="C551" s="1529" t="n"/>
      <c r="D551" s="1529" t="n"/>
      <c r="E551" s="1529" t="n"/>
      <c r="F551" s="1529" t="n"/>
      <c r="G551" s="1529" t="n"/>
      <c r="H551" s="1529" t="n"/>
      <c r="I551" s="1529" t="n"/>
      <c r="J551" s="1529" t="n"/>
      <c r="K551" s="1529" t="n"/>
      <c r="L551" s="1529" t="n"/>
      <c r="M551" s="1529" t="n"/>
      <c r="N551" s="1529" t="n"/>
      <c r="O551" s="1420" t="n"/>
      <c r="P551" s="1420" t="n"/>
      <c r="Q551" s="1420" t="n"/>
      <c r="R551" s="1420" t="n"/>
      <c r="S551" s="1529" t="n"/>
      <c r="T551" s="1420" t="n"/>
      <c r="U551" s="1420" t="n"/>
      <c r="V551" s="1420" t="n"/>
      <c r="W551" s="1422">
        <f>X551</f>
        <v/>
      </c>
      <c r="X551" s="1529" t="n"/>
      <c r="Y551" s="1420" t="n"/>
      <c r="Z551" s="1420" t="n"/>
      <c r="AA551" s="1420" t="n"/>
      <c r="AB551" s="1422">
        <f>AC551</f>
        <v/>
      </c>
      <c r="AC551" s="1529" t="n"/>
      <c r="AD551" s="1420" t="n"/>
      <c r="AE551" s="1420" t="n"/>
      <c r="AF551" s="1420" t="n"/>
      <c r="AG551" s="1422">
        <f>AH551</f>
        <v/>
      </c>
      <c r="AH551" s="1529" t="n"/>
      <c r="AI551" s="1420" t="n"/>
      <c r="AJ551" s="1420" t="n"/>
      <c r="AK551" s="1421" t="n"/>
      <c r="AL551" s="1420" t="n"/>
      <c r="AM551" s="1529" t="n"/>
      <c r="AN551" s="1420" t="n"/>
      <c r="AO551" s="1420" t="n"/>
      <c r="AP551" s="1420" t="n"/>
      <c r="AQ551" s="1420" t="n"/>
      <c r="AR551" s="1529" t="n"/>
      <c r="AS551" s="1529" t="n"/>
      <c r="AT551" s="1529" t="n"/>
      <c r="AU551" s="1529" t="n"/>
      <c r="AV551" s="1422" t="n"/>
    </row>
    <row r="552" hidden="1" outlineLevel="1" ht="14.4" customFormat="1" customHeight="1" s="1418">
      <c r="A552" s="1539" t="inlineStr">
        <is>
          <t>Payment of tax withholdings on settlement of RSUs</t>
        </is>
      </c>
      <c r="B552" s="1698" t="n"/>
      <c r="C552" s="1529" t="n"/>
      <c r="D552" s="1529" t="n"/>
      <c r="E552" s="1529" t="n"/>
      <c r="F552" s="1529" t="n"/>
      <c r="G552" s="1529" t="n"/>
      <c r="H552" s="1529" t="n"/>
      <c r="I552" s="1529" t="n"/>
      <c r="J552" s="1529" t="n"/>
      <c r="K552" s="1529" t="n"/>
      <c r="L552" s="1529" t="n"/>
      <c r="M552" s="1529" t="n"/>
      <c r="N552" s="1529" t="n"/>
      <c r="O552" s="1420" t="n"/>
      <c r="P552" s="1420" t="n"/>
      <c r="Q552" s="1420" t="n"/>
      <c r="R552" s="1420" t="n"/>
      <c r="S552" s="1529" t="n"/>
      <c r="T552" s="1420" t="n"/>
      <c r="U552" s="1420" t="n"/>
      <c r="V552" s="1420" t="n"/>
      <c r="W552" s="1422">
        <f>X552</f>
        <v/>
      </c>
      <c r="X552" s="1529" t="n"/>
      <c r="Y552" s="1420" t="n"/>
      <c r="Z552" s="1420" t="n"/>
      <c r="AA552" s="1420" t="n"/>
      <c r="AB552" s="1422">
        <f>AC552</f>
        <v/>
      </c>
      <c r="AC552" s="1529" t="n"/>
      <c r="AD552" s="1420" t="n"/>
      <c r="AE552" s="1420" t="n"/>
      <c r="AF552" s="1420" t="n"/>
      <c r="AG552" s="1422">
        <f>AH552</f>
        <v/>
      </c>
      <c r="AH552" s="1529" t="n"/>
      <c r="AI552" s="1594" t="n">
        <v>-15.685</v>
      </c>
      <c r="AJ552" s="1594" t="n">
        <v>-132.558</v>
      </c>
      <c r="AK552" s="1595" t="n">
        <v>-144.043</v>
      </c>
      <c r="AL552" s="1420" t="n"/>
      <c r="AM552" s="1529" t="n"/>
      <c r="AN552" s="1420" t="n"/>
      <c r="AO552" s="1420" t="n"/>
      <c r="AP552" s="1420" t="n"/>
      <c r="AQ552" s="1420" t="n"/>
      <c r="AR552" s="1529" t="n"/>
      <c r="AS552" s="1529" t="n"/>
      <c r="AT552" s="1529" t="n"/>
      <c r="AU552" s="1529" t="n"/>
      <c r="AV552" s="1422" t="n"/>
    </row>
    <row r="553" hidden="1" outlineLevel="1" ht="14.4" customFormat="1" customHeight="1" s="1418">
      <c r="A553" s="1539" t="inlineStr">
        <is>
          <t>Deferred offering costs paid</t>
        </is>
      </c>
      <c r="B553" s="1698" t="n"/>
      <c r="C553" s="1529" t="n"/>
      <c r="D553" s="1529" t="n"/>
      <c r="E553" s="1529" t="n"/>
      <c r="F553" s="1529" t="n"/>
      <c r="G553" s="1529" t="n"/>
      <c r="H553" s="1529" t="n"/>
      <c r="I553" s="1529" t="n"/>
      <c r="J553" s="1529" t="n"/>
      <c r="K553" s="1529" t="n"/>
      <c r="L553" s="1529" t="n"/>
      <c r="M553" s="1529" t="n"/>
      <c r="N553" s="1529" t="n"/>
      <c r="O553" s="1420" t="n"/>
      <c r="P553" s="1420" t="n"/>
      <c r="Q553" s="1420" t="n"/>
      <c r="R553" s="1420" t="n"/>
      <c r="S553" s="1529" t="n"/>
      <c r="T553" s="1420" t="n"/>
      <c r="U553" s="1420" t="n"/>
      <c r="V553" s="1420" t="n"/>
      <c r="W553" s="1422">
        <f>X553</f>
        <v/>
      </c>
      <c r="X553" s="1529" t="n"/>
      <c r="Y553" s="1420" t="n"/>
      <c r="Z553" s="1420" t="n"/>
      <c r="AA553" s="1420" t="n"/>
      <c r="AB553" s="1422">
        <f>AC553</f>
        <v/>
      </c>
      <c r="AC553" s="1529" t="n"/>
      <c r="AD553" s="1420" t="n"/>
      <c r="AE553" s="1420" t="n"/>
      <c r="AF553" s="1420" t="n"/>
      <c r="AG553" s="1422">
        <f>AH553</f>
        <v/>
      </c>
      <c r="AH553" s="1529" t="n"/>
      <c r="AI553" s="1594" t="n">
        <v>-16.87</v>
      </c>
      <c r="AJ553" s="1594" t="n">
        <v>-27.763</v>
      </c>
      <c r="AK553" s="1595" t="n">
        <v>-28.769</v>
      </c>
      <c r="AL553" s="1420" t="n"/>
      <c r="AM553" s="1529" t="n"/>
      <c r="AN553" s="1420" t="n"/>
      <c r="AO553" s="1420" t="n"/>
      <c r="AP553" s="1420" t="n"/>
      <c r="AQ553" s="1420" t="n"/>
      <c r="AR553" s="1529" t="n"/>
      <c r="AS553" s="1529" t="n"/>
      <c r="AT553" s="1529" t="n"/>
      <c r="AU553" s="1529" t="n"/>
      <c r="AV553" s="1422" t="n"/>
    </row>
    <row r="554" hidden="1" outlineLevel="1" ht="14.4" customFormat="1" customHeight="1" s="1418">
      <c r="A554" s="1539" t="inlineStr">
        <is>
          <t>Other financing activities</t>
        </is>
      </c>
      <c r="B554" s="1698" t="n"/>
      <c r="C554" s="1529" t="n"/>
      <c r="D554" s="1529" t="n"/>
      <c r="E554" s="1529" t="n"/>
      <c r="F554" s="1529" t="n"/>
      <c r="G554" s="1529" t="n"/>
      <c r="H554" s="1529" t="n"/>
      <c r="I554" s="1529" t="n"/>
      <c r="J554" s="1529" t="n"/>
      <c r="K554" s="1529" t="n"/>
      <c r="L554" s="1529" t="n"/>
      <c r="M554" s="1529" t="n"/>
      <c r="N554" s="1529" t="n"/>
      <c r="O554" s="1420" t="n"/>
      <c r="P554" s="1420" t="n"/>
      <c r="Q554" s="1420" t="n"/>
      <c r="R554" s="1420" t="n"/>
      <c r="S554" s="1529" t="n"/>
      <c r="T554" s="1420" t="n"/>
      <c r="U554" s="1420" t="n"/>
      <c r="V554" s="1420" t="n"/>
      <c r="W554" s="1422">
        <f>X554</f>
        <v/>
      </c>
      <c r="X554" s="1593" t="n">
        <v>-3.84</v>
      </c>
      <c r="Y554" s="1420" t="n"/>
      <c r="Z554" s="1420" t="n"/>
      <c r="AA554" s="1594" t="n">
        <v>-14.322</v>
      </c>
      <c r="AB554" s="1422">
        <f>AC554</f>
        <v/>
      </c>
      <c r="AC554" s="1593" t="n">
        <v>-19.095</v>
      </c>
      <c r="AD554" s="1594" t="n">
        <v>-32.241</v>
      </c>
      <c r="AE554" s="1594" t="n">
        <v>-56.98</v>
      </c>
      <c r="AF554" s="1594" t="n">
        <v>-31.149</v>
      </c>
      <c r="AG554" s="1422">
        <f>AH554</f>
        <v/>
      </c>
      <c r="AH554" s="1593" t="n">
        <v>-81.453</v>
      </c>
      <c r="AI554" s="1594" t="n">
        <v>-26.743</v>
      </c>
      <c r="AJ554" s="1594" t="n">
        <v>-44.086</v>
      </c>
      <c r="AK554" s="1595" t="n">
        <v>-64.946</v>
      </c>
      <c r="AL554" s="1420" t="n"/>
      <c r="AM554" s="1529" t="n"/>
      <c r="AN554" s="1420" t="n"/>
      <c r="AO554" s="1420" t="n"/>
      <c r="AP554" s="1420" t="n"/>
      <c r="AQ554" s="1420" t="n"/>
      <c r="AR554" s="1529" t="n"/>
      <c r="AS554" s="1529" t="n"/>
      <c r="AT554" s="1529" t="n"/>
      <c r="AU554" s="1529" t="n"/>
      <c r="AV554" s="1422" t="n"/>
    </row>
    <row r="555" hidden="1" outlineLevel="1" ht="14.4" customFormat="1" customHeight="1" s="1438">
      <c r="A555" s="1542" t="inlineStr">
        <is>
          <t>Net CFF</t>
        </is>
      </c>
      <c r="B555" s="1699" t="n"/>
      <c r="C555" s="1544" t="n"/>
      <c r="D555" s="1544" t="n"/>
      <c r="E555" s="1544" t="n"/>
      <c r="F555" s="1544" t="n"/>
      <c r="G555" s="1544" t="n"/>
      <c r="H555" s="1544" t="n"/>
      <c r="I555" s="1544" t="n"/>
      <c r="J555" s="1544" t="n"/>
      <c r="K555" s="1544" t="n"/>
      <c r="L555" s="1544" t="n"/>
      <c r="M555" s="1544" t="n"/>
      <c r="N555" s="1544" t="n"/>
      <c r="O555" s="1545" t="n"/>
      <c r="P555" s="1545" t="n"/>
      <c r="Q555" s="1545" t="n"/>
      <c r="R555" s="1545" t="n"/>
      <c r="S555" s="1544" t="n"/>
      <c r="T555" s="1545" t="n"/>
      <c r="U555" s="1545" t="n"/>
      <c r="V555" s="1545" t="n"/>
      <c r="W555" s="1547">
        <f>SUM(W541:W554)</f>
        <v/>
      </c>
      <c r="X555" s="1546">
        <f>SUM(X541:X554)</f>
        <v/>
      </c>
      <c r="Y555" s="1545" t="n"/>
      <c r="Z555" s="1545" t="n"/>
      <c r="AA555" s="1547">
        <f>SUM(AA541:AA554)</f>
        <v/>
      </c>
      <c r="AB555" s="1547">
        <f>SUM(AB541:AB554)</f>
        <v/>
      </c>
      <c r="AC555" s="1546">
        <f>SUM(AC541:AC554)</f>
        <v/>
      </c>
      <c r="AD555" s="1545">
        <f>SUM(AD541:AD554)</f>
        <v/>
      </c>
      <c r="AE555" s="1545">
        <f>SUM(AE541:AE554)</f>
        <v/>
      </c>
      <c r="AF555" s="1547">
        <f>SUM(AF541:AF554)</f>
        <v/>
      </c>
      <c r="AG555" s="1547">
        <f>SUM(AG541:AG554)</f>
        <v/>
      </c>
      <c r="AH555" s="1546">
        <f>SUM(AH541:AH554)</f>
        <v/>
      </c>
      <c r="AI555" s="1545">
        <f>SUM(AI541:AI554)</f>
        <v/>
      </c>
      <c r="AJ555" s="1545">
        <f>SUM(AJ541:AJ554)</f>
        <v/>
      </c>
      <c r="AK555" s="1548">
        <f>SUM(AK541:AK554)</f>
        <v/>
      </c>
      <c r="AL555" s="1545" t="n"/>
      <c r="AM555" s="1544" t="n"/>
      <c r="AN555" s="1545" t="n"/>
      <c r="AO555" s="1545" t="n"/>
      <c r="AP555" s="1545" t="n"/>
      <c r="AQ555" s="1545" t="n"/>
      <c r="AR555" s="1544" t="n"/>
      <c r="AS555" s="1544" t="n"/>
      <c r="AT555" s="1544" t="n"/>
      <c r="AU555" s="1544" t="n"/>
      <c r="AV555" s="1446" t="n"/>
    </row>
    <row r="556" hidden="1" outlineLevel="1" ht="14.4" customFormat="1" customHeight="1" s="1438">
      <c r="A556" s="1513" t="n"/>
      <c r="B556" s="1695" t="n"/>
      <c r="C556" s="1535" t="n"/>
      <c r="D556" s="1535" t="n"/>
      <c r="E556" s="1535" t="n"/>
      <c r="F556" s="1535" t="n"/>
      <c r="G556" s="1535" t="n"/>
      <c r="H556" s="1535" t="n"/>
      <c r="I556" s="1535" t="n"/>
      <c r="J556" s="1535" t="n"/>
      <c r="K556" s="1535" t="n"/>
      <c r="L556" s="1535" t="n"/>
      <c r="M556" s="1535" t="n"/>
      <c r="N556" s="1535" t="n"/>
      <c r="O556" s="1536" t="n"/>
      <c r="P556" s="1536" t="n"/>
      <c r="Q556" s="1536" t="n"/>
      <c r="R556" s="1536" t="n"/>
      <c r="S556" s="1535" t="n"/>
      <c r="T556" s="1536" t="n"/>
      <c r="U556" s="1536" t="n"/>
      <c r="V556" s="1536" t="n"/>
      <c r="W556" s="1536" t="n"/>
      <c r="X556" s="1535" t="n"/>
      <c r="Y556" s="1536" t="n"/>
      <c r="Z556" s="1536" t="n"/>
      <c r="AA556" s="1536" t="n"/>
      <c r="AB556" s="1536" t="n"/>
      <c r="AC556" s="1535" t="n"/>
      <c r="AD556" s="1536" t="n"/>
      <c r="AE556" s="1536" t="n"/>
      <c r="AF556" s="1536" t="n"/>
      <c r="AG556" s="1536" t="n"/>
      <c r="AH556" s="1535" t="n"/>
      <c r="AI556" s="1536" t="n"/>
      <c r="AJ556" s="1536" t="n"/>
      <c r="AK556" s="1674" t="n"/>
      <c r="AL556" s="1536" t="n"/>
      <c r="AM556" s="1529" t="n"/>
      <c r="AN556" s="1536" t="n"/>
      <c r="AO556" s="1536" t="n"/>
      <c r="AP556" s="1536" t="n"/>
      <c r="AQ556" s="1536" t="n"/>
      <c r="AR556" s="1529" t="n"/>
      <c r="AS556" s="1529" t="n"/>
      <c r="AT556" s="1529" t="n"/>
      <c r="AU556" s="1529" t="n"/>
      <c r="AV556" s="1446" t="n"/>
    </row>
    <row r="557" hidden="1" outlineLevel="1" ht="14.4" customFormat="1" customHeight="1" s="1438">
      <c r="A557" s="1439" t="inlineStr">
        <is>
          <t>FX</t>
        </is>
      </c>
      <c r="B557" s="1695" t="n"/>
      <c r="C557" s="1535" t="n"/>
      <c r="D557" s="1535" t="n"/>
      <c r="E557" s="1535" t="n"/>
      <c r="F557" s="1535" t="n"/>
      <c r="G557" s="1535" t="n"/>
      <c r="H557" s="1535" t="n"/>
      <c r="I557" s="1535" t="n"/>
      <c r="J557" s="1535" t="n"/>
      <c r="K557" s="1535" t="n"/>
      <c r="L557" s="1535" t="n"/>
      <c r="M557" s="1535" t="n"/>
      <c r="N557" s="1535" t="n"/>
      <c r="O557" s="1536" t="n"/>
      <c r="P557" s="1536" t="n"/>
      <c r="Q557" s="1536" t="n"/>
      <c r="R557" s="1536" t="n"/>
      <c r="S557" s="1535" t="n"/>
      <c r="T557" s="1536" t="n"/>
      <c r="U557" s="1536" t="n"/>
      <c r="V557" s="1536" t="n"/>
      <c r="W557" s="1446">
        <f>X557</f>
        <v/>
      </c>
      <c r="X557" s="1535" t="n"/>
      <c r="Y557" s="1536" t="n"/>
      <c r="Z557" s="1536" t="n"/>
      <c r="AA557" s="1536" t="n"/>
      <c r="AB557" s="1446">
        <f>AC557</f>
        <v/>
      </c>
      <c r="AC557" s="1535" t="n"/>
      <c r="AD557" s="1536" t="n"/>
      <c r="AE557" s="1536" t="n"/>
      <c r="AF557" s="1536" t="n"/>
      <c r="AG557" s="1446">
        <f>AH557</f>
        <v/>
      </c>
      <c r="AH557" s="1535" t="n"/>
      <c r="AI557" s="1536" t="n"/>
      <c r="AJ557" s="1536" t="n"/>
      <c r="AK557" s="1674" t="n"/>
      <c r="AL557" s="1536" t="n"/>
      <c r="AM557" s="1535" t="n"/>
      <c r="AN557" s="1536" t="n"/>
      <c r="AO557" s="1536" t="n"/>
      <c r="AP557" s="1536" t="n"/>
      <c r="AQ557" s="1536" t="n"/>
      <c r="AR557" s="1535" t="n"/>
      <c r="AS557" s="1535" t="n"/>
      <c r="AT557" s="1535" t="n"/>
      <c r="AU557" s="1535" t="n"/>
      <c r="AV557" s="1446" t="n"/>
    </row>
    <row r="558" hidden="1" outlineLevel="1" ht="14.4" customFormat="1" customHeight="1" s="1438">
      <c r="A558" s="1439" t="inlineStr">
        <is>
          <t>Net Change in Cash Balance</t>
        </is>
      </c>
      <c r="B558" s="1695" t="n"/>
      <c r="C558" s="1535" t="n"/>
      <c r="D558" s="1535" t="n"/>
      <c r="E558" s="1535" t="n"/>
      <c r="F558" s="1535" t="n"/>
      <c r="G558" s="1535" t="n"/>
      <c r="H558" s="1535" t="n"/>
      <c r="I558" s="1535" t="n"/>
      <c r="J558" s="1535" t="n"/>
      <c r="K558" s="1535" t="n"/>
      <c r="L558" s="1535" t="n"/>
      <c r="M558" s="1535" t="n"/>
      <c r="N558" s="1535" t="n"/>
      <c r="O558" s="1536" t="n"/>
      <c r="P558" s="1536" t="n"/>
      <c r="Q558" s="1536" t="n"/>
      <c r="R558" s="1536" t="n"/>
      <c r="S558" s="1535" t="n"/>
      <c r="T558" s="1536" t="n"/>
      <c r="U558" s="1536" t="n"/>
      <c r="V558" s="1536" t="n"/>
      <c r="W558" s="1446">
        <f>W555+W538+W524+W557</f>
        <v/>
      </c>
      <c r="X558" s="1537">
        <f>X555+X538+X524+X557</f>
        <v/>
      </c>
      <c r="Y558" s="1536" t="n"/>
      <c r="Z558" s="1536" t="n"/>
      <c r="AA558" s="1446">
        <f>AA555+AA538+AA524+AA557</f>
        <v/>
      </c>
      <c r="AB558" s="1446">
        <f>AB555+AB538+AB524+AB557</f>
        <v/>
      </c>
      <c r="AC558" s="1537">
        <f>AC555+AC538+AC524+AC557</f>
        <v/>
      </c>
      <c r="AD558" s="1536">
        <f>AD555+AD538+AD524+AD557</f>
        <v/>
      </c>
      <c r="AE558" s="1536">
        <f>AE555+AE538+AE524+AE557</f>
        <v/>
      </c>
      <c r="AF558" s="1446">
        <f>AF555+AF538+AF524+AF557</f>
        <v/>
      </c>
      <c r="AG558" s="1446">
        <f>AG555+AG538+AG524+AG557</f>
        <v/>
      </c>
      <c r="AH558" s="1537">
        <f>AH555+AH538+AH524+AH557</f>
        <v/>
      </c>
      <c r="AI558" s="1536">
        <f>AI555+AI538+AI524+AI557</f>
        <v/>
      </c>
      <c r="AJ558" s="1536">
        <f>AJ555+AJ538+AJ524+AJ557</f>
        <v/>
      </c>
      <c r="AK558" s="1538">
        <f>AK555+AK538+AK524+AK557</f>
        <v/>
      </c>
      <c r="AL558" s="1536" t="n"/>
      <c r="AM558" s="1535" t="n"/>
      <c r="AN558" s="1536" t="n"/>
      <c r="AO558" s="1536" t="n"/>
      <c r="AP558" s="1536" t="n"/>
      <c r="AQ558" s="1536" t="n"/>
      <c r="AR558" s="1535" t="n"/>
      <c r="AS558" s="1535" t="n"/>
      <c r="AT558" s="1535" t="n"/>
      <c r="AU558" s="1535" t="n"/>
      <c r="AV558" s="1446" t="n"/>
    </row>
    <row r="559" hidden="1" outlineLevel="1" ht="14.4" customFormat="1" customHeight="1" s="1438">
      <c r="A559" s="1513" t="n"/>
      <c r="B559" s="1695" t="n"/>
      <c r="C559" s="1535" t="n"/>
      <c r="D559" s="1535" t="n"/>
      <c r="E559" s="1535" t="n"/>
      <c r="F559" s="1535" t="n"/>
      <c r="G559" s="1535" t="n"/>
      <c r="H559" s="1535" t="n"/>
      <c r="I559" s="1535" t="n"/>
      <c r="J559" s="1535" t="n"/>
      <c r="K559" s="1535" t="n"/>
      <c r="L559" s="1535" t="n"/>
      <c r="M559" s="1535" t="n"/>
      <c r="N559" s="1535" t="n"/>
      <c r="O559" s="1536" t="n"/>
      <c r="P559" s="1536" t="n"/>
      <c r="Q559" s="1536" t="n"/>
      <c r="R559" s="1536" t="n"/>
      <c r="S559" s="1535" t="n"/>
      <c r="T559" s="1536" t="n"/>
      <c r="U559" s="1536" t="n"/>
      <c r="V559" s="1536" t="n"/>
      <c r="W559" s="1536" t="n"/>
      <c r="X559" s="1535" t="n"/>
      <c r="Y559" s="1536" t="n"/>
      <c r="Z559" s="1536" t="n"/>
      <c r="AA559" s="1536" t="n"/>
      <c r="AB559" s="1536" t="n"/>
      <c r="AC559" s="1535" t="n"/>
      <c r="AD559" s="1536" t="n"/>
      <c r="AE559" s="1536" t="n"/>
      <c r="AF559" s="1536" t="n"/>
      <c r="AG559" s="1536" t="n"/>
      <c r="AH559" s="1535" t="n"/>
      <c r="AI559" s="1536" t="n"/>
      <c r="AJ559" s="1536" t="n"/>
      <c r="AK559" s="1674" t="n"/>
      <c r="AL559" s="1536" t="n"/>
      <c r="AM559" s="1535" t="n"/>
      <c r="AN559" s="1536" t="n"/>
      <c r="AO559" s="1536" t="n"/>
      <c r="AP559" s="1536" t="n"/>
      <c r="AQ559" s="1536" t="n"/>
      <c r="AR559" s="1535" t="n"/>
      <c r="AS559" s="1535" t="n"/>
      <c r="AT559" s="1535" t="n"/>
      <c r="AU559" s="1535" t="n"/>
      <c r="AV559" s="1446" t="n"/>
    </row>
    <row r="560" hidden="1" outlineLevel="1" ht="14.4" customFormat="1" customHeight="1" s="1438">
      <c r="A560" s="1439" t="inlineStr">
        <is>
          <t>Beginning Cash Balance</t>
        </is>
      </c>
      <c r="B560" s="1695" t="n"/>
      <c r="C560" s="1535" t="n"/>
      <c r="D560" s="1535" t="n"/>
      <c r="E560" s="1535" t="n"/>
      <c r="F560" s="1535" t="n"/>
      <c r="G560" s="1535" t="n"/>
      <c r="H560" s="1535" t="n"/>
      <c r="I560" s="1535" t="n"/>
      <c r="J560" s="1535" t="n"/>
      <c r="K560" s="1535" t="n"/>
      <c r="L560" s="1535" t="n"/>
      <c r="M560" s="1535" t="n"/>
      <c r="N560" s="1535" t="n"/>
      <c r="O560" s="1536" t="n"/>
      <c r="P560" s="1536" t="n"/>
      <c r="Q560" s="1536" t="n"/>
      <c r="R560" s="1536" t="n"/>
      <c r="S560" s="1535" t="n"/>
      <c r="T560" s="1536" t="n"/>
      <c r="U560" s="1536" t="n"/>
      <c r="V560" s="1536" t="n"/>
      <c r="W560" s="1446">
        <f>X560</f>
        <v/>
      </c>
      <c r="X560" s="1696" t="n">
        <v>4.203</v>
      </c>
      <c r="Y560" s="1536" t="n"/>
      <c r="Z560" s="1536" t="n"/>
      <c r="AA560" s="1446">
        <f>X561</f>
        <v/>
      </c>
      <c r="AB560" s="1446">
        <f>X561</f>
        <v/>
      </c>
      <c r="AC560" s="1537">
        <f>AB560</f>
        <v/>
      </c>
      <c r="AD560" s="1536">
        <f>AC561</f>
        <v/>
      </c>
      <c r="AE560" s="1536">
        <f>AD560</f>
        <v/>
      </c>
      <c r="AF560" s="1446">
        <f>AC561</f>
        <v/>
      </c>
      <c r="AG560" s="1446">
        <f>AC561</f>
        <v/>
      </c>
      <c r="AH560" s="1537">
        <f>AG560</f>
        <v/>
      </c>
      <c r="AI560" s="1536">
        <f>AH561</f>
        <v/>
      </c>
      <c r="AJ560" s="1536">
        <f>AI560</f>
        <v/>
      </c>
      <c r="AK560" s="1538">
        <f>AH561</f>
        <v/>
      </c>
      <c r="AL560" s="1536" t="n"/>
      <c r="AM560" s="1535" t="n"/>
      <c r="AN560" s="1536" t="n"/>
      <c r="AO560" s="1536" t="n"/>
      <c r="AP560" s="1536" t="n"/>
      <c r="AQ560" s="1536" t="n"/>
      <c r="AR560" s="1535" t="n"/>
      <c r="AS560" s="1535" t="n"/>
      <c r="AT560" s="1535" t="n"/>
      <c r="AU560" s="1535" t="n"/>
      <c r="AV560" s="1446" t="n"/>
    </row>
    <row r="561" hidden="1" outlineLevel="1" ht="14.4" customFormat="1" customHeight="1" s="1438">
      <c r="A561" s="1439" t="inlineStr">
        <is>
          <t>Ending Cash Balance</t>
        </is>
      </c>
      <c r="B561" s="1695" t="n"/>
      <c r="C561" s="1535" t="n"/>
      <c r="D561" s="1535" t="n"/>
      <c r="E561" s="1535" t="n"/>
      <c r="F561" s="1535" t="n"/>
      <c r="G561" s="1535" t="n"/>
      <c r="H561" s="1535" t="n"/>
      <c r="I561" s="1535" t="n"/>
      <c r="J561" s="1535" t="n"/>
      <c r="K561" s="1535" t="n"/>
      <c r="L561" s="1535" t="n"/>
      <c r="M561" s="1535" t="n"/>
      <c r="N561" s="1535" t="n"/>
      <c r="O561" s="1536" t="n"/>
      <c r="P561" s="1536" t="n"/>
      <c r="Q561" s="1536" t="n"/>
      <c r="R561" s="1536" t="n"/>
      <c r="S561" s="1535" t="n"/>
      <c r="T561" s="1536" t="n"/>
      <c r="U561" s="1536" t="n"/>
      <c r="V561" s="1536" t="n"/>
      <c r="W561" s="1446">
        <f>W558+W560</f>
        <v/>
      </c>
      <c r="X561" s="1537">
        <f>X558+X560</f>
        <v/>
      </c>
      <c r="Y561" s="1536" t="n"/>
      <c r="Z561" s="1536" t="n"/>
      <c r="AA561" s="1446">
        <f>AA558+AA560</f>
        <v/>
      </c>
      <c r="AB561" s="1446">
        <f>AB558+AB560</f>
        <v/>
      </c>
      <c r="AC561" s="1537">
        <f>AC558+AC560</f>
        <v/>
      </c>
      <c r="AD561" s="1536">
        <f>AD558+AD560</f>
        <v/>
      </c>
      <c r="AE561" s="1536">
        <f>AE558+AE560</f>
        <v/>
      </c>
      <c r="AF561" s="1446">
        <f>AF558+AF560</f>
        <v/>
      </c>
      <c r="AG561" s="1446">
        <f>AG558+AG560</f>
        <v/>
      </c>
      <c r="AH561" s="1537">
        <f>AH558+AH560</f>
        <v/>
      </c>
      <c r="AI561" s="1536">
        <f>AI558+AI560</f>
        <v/>
      </c>
      <c r="AJ561" s="1536">
        <f>AJ558+AJ560</f>
        <v/>
      </c>
      <c r="AK561" s="1538">
        <f>AK558+AK560</f>
        <v/>
      </c>
      <c r="AL561" s="1536" t="n"/>
      <c r="AM561" s="1535" t="n"/>
      <c r="AN561" s="1536" t="n"/>
      <c r="AO561" s="1536" t="n"/>
      <c r="AP561" s="1536" t="n"/>
      <c r="AQ561" s="1536" t="n"/>
      <c r="AR561" s="1535" t="n"/>
      <c r="AS561" s="1535" t="n"/>
      <c r="AT561" s="1535" t="n"/>
      <c r="AU561" s="1535" t="n"/>
      <c r="AV561" s="1446" t="n"/>
    </row>
    <row r="562" hidden="1" outlineLevel="1" ht="14.4" customFormat="1" customHeight="1" s="1438">
      <c r="A562" s="1513" t="n"/>
      <c r="B562" s="1695" t="n"/>
      <c r="C562" s="1535" t="n"/>
      <c r="D562" s="1535" t="n"/>
      <c r="E562" s="1535" t="n"/>
      <c r="F562" s="1535" t="n"/>
      <c r="G562" s="1535" t="n"/>
      <c r="H562" s="1535" t="n"/>
      <c r="I562" s="1535" t="n"/>
      <c r="J562" s="1535" t="n"/>
      <c r="K562" s="1535" t="n"/>
      <c r="L562" s="1535" t="n"/>
      <c r="M562" s="1535" t="n"/>
      <c r="N562" s="1535" t="n"/>
      <c r="O562" s="1536" t="n"/>
      <c r="P562" s="1536" t="n"/>
      <c r="Q562" s="1536" t="n"/>
      <c r="R562" s="1536" t="n"/>
      <c r="S562" s="1535" t="n"/>
      <c r="T562" s="1536" t="n"/>
      <c r="U562" s="1536" t="n"/>
      <c r="V562" s="1536" t="n"/>
      <c r="W562" s="1536" t="n"/>
      <c r="X562" s="1535" t="n"/>
      <c r="Y562" s="1536" t="n"/>
      <c r="Z562" s="1536" t="n"/>
      <c r="AA562" s="1536" t="n"/>
      <c r="AB562" s="1536" t="n"/>
      <c r="AC562" s="1535" t="n"/>
      <c r="AD562" s="1536" t="n"/>
      <c r="AE562" s="1536" t="n"/>
      <c r="AF562" s="1536" t="n"/>
      <c r="AG562" s="1536" t="n"/>
      <c r="AH562" s="1535" t="n"/>
      <c r="AI562" s="1536" t="n"/>
      <c r="AJ562" s="1536" t="n"/>
      <c r="AK562" s="1674" t="n"/>
      <c r="AL562" s="1536" t="n"/>
      <c r="AM562" s="1535" t="n"/>
      <c r="AN562" s="1536" t="n"/>
      <c r="AO562" s="1536" t="n"/>
      <c r="AP562" s="1536" t="n"/>
      <c r="AQ562" s="1536" t="n"/>
      <c r="AR562" s="1535" t="n"/>
      <c r="AS562" s="1535" t="n"/>
      <c r="AT562" s="1535" t="n"/>
      <c r="AU562" s="1535" t="n"/>
      <c r="AV562" s="1446" t="n"/>
    </row>
    <row r="563" hidden="1" outlineLevel="1" ht="14.4" customFormat="1" customHeight="1" s="1418">
      <c r="A563" s="1490" t="inlineStr">
        <is>
          <t>Cash paid for interest, net</t>
        </is>
      </c>
      <c r="B563" s="1698" t="n"/>
      <c r="C563" s="1529" t="n"/>
      <c r="D563" s="1529" t="n"/>
      <c r="E563" s="1529" t="n"/>
      <c r="F563" s="1529" t="n"/>
      <c r="G563" s="1529" t="n"/>
      <c r="H563" s="1529" t="n"/>
      <c r="I563" s="1529" t="n"/>
      <c r="J563" s="1529" t="n"/>
      <c r="K563" s="1529" t="n"/>
      <c r="L563" s="1529" t="n"/>
      <c r="M563" s="1529" t="n"/>
      <c r="N563" s="1529" t="n"/>
      <c r="O563" s="1420" t="n"/>
      <c r="P563" s="1420" t="n"/>
      <c r="Q563" s="1420" t="n"/>
      <c r="R563" s="1420" t="n"/>
      <c r="S563" s="1529" t="n"/>
      <c r="T563" s="1420" t="n"/>
      <c r="U563" s="1420" t="n"/>
      <c r="V563" s="1420" t="n"/>
      <c r="W563" s="1420" t="n"/>
      <c r="X563" s="1593" t="n">
        <v>5.124</v>
      </c>
      <c r="Y563" s="1420" t="n"/>
      <c r="Z563" s="1420" t="n"/>
      <c r="AA563" s="1594" t="n">
        <v>0.105</v>
      </c>
      <c r="AB563" s="1422">
        <f>AC563</f>
        <v/>
      </c>
      <c r="AC563" s="1593" t="n">
        <v>0.105</v>
      </c>
      <c r="AD563" s="1594" t="n">
        <v>1.971</v>
      </c>
      <c r="AE563" s="1594" t="n">
        <v>24.862</v>
      </c>
      <c r="AF563" s="1594" t="n">
        <v>97.426</v>
      </c>
      <c r="AG563" s="1422">
        <f>AH563</f>
        <v/>
      </c>
      <c r="AH563" s="1593" t="n">
        <v>183.657</v>
      </c>
      <c r="AI563" s="1594" t="n">
        <v>142.193</v>
      </c>
      <c r="AJ563" s="1594" t="n">
        <v>361.557</v>
      </c>
      <c r="AK563" s="1595" t="n">
        <v>557.124</v>
      </c>
      <c r="AL563" s="1420" t="n"/>
      <c r="AM563" s="1529" t="n"/>
      <c r="AN563" s="1420" t="n"/>
      <c r="AO563" s="1420" t="n"/>
      <c r="AP563" s="1420" t="n"/>
      <c r="AQ563" s="1420" t="n"/>
      <c r="AR563" s="1529" t="n"/>
      <c r="AS563" s="1529" t="n"/>
      <c r="AT563" s="1529" t="n"/>
      <c r="AU563" s="1529" t="n"/>
      <c r="AV563" s="1422" t="n"/>
    </row>
    <row r="564" hidden="1" outlineLevel="1" ht="14.4" customFormat="1" customHeight="1" s="1418">
      <c r="A564" s="1490" t="inlineStr">
        <is>
          <t>Cash paid for taxes, net</t>
        </is>
      </c>
      <c r="B564" s="1698" t="n"/>
      <c r="C564" s="1529" t="n"/>
      <c r="D564" s="1529" t="n"/>
      <c r="E564" s="1529" t="n"/>
      <c r="F564" s="1529" t="n"/>
      <c r="G564" s="1529" t="n"/>
      <c r="H564" s="1529" t="n"/>
      <c r="I564" s="1529" t="n"/>
      <c r="J564" s="1529" t="n"/>
      <c r="K564" s="1529" t="n"/>
      <c r="L564" s="1529" t="n"/>
      <c r="M564" s="1529" t="n"/>
      <c r="N564" s="1529" t="n"/>
      <c r="O564" s="1420" t="n"/>
      <c r="P564" s="1420" t="n"/>
      <c r="Q564" s="1420" t="n"/>
      <c r="R564" s="1420" t="n"/>
      <c r="S564" s="1529" t="n"/>
      <c r="T564" s="1420" t="n"/>
      <c r="U564" s="1420" t="n"/>
      <c r="V564" s="1420" t="n"/>
      <c r="W564" s="1420" t="n"/>
      <c r="X564" s="1593" t="n">
        <v>0.255</v>
      </c>
      <c r="Y564" s="1420" t="n"/>
      <c r="Z564" s="1420" t="n"/>
      <c r="AA564" s="1594" t="n">
        <v>0.253</v>
      </c>
      <c r="AB564" s="1422">
        <f>AC564</f>
        <v/>
      </c>
      <c r="AC564" s="1593" t="n">
        <v>0.214</v>
      </c>
      <c r="AD564" s="1420" t="n"/>
      <c r="AE564" s="1420" t="n"/>
      <c r="AF564" s="1594" t="n">
        <v>-0.364</v>
      </c>
      <c r="AG564" s="1422">
        <f>AH564</f>
        <v/>
      </c>
      <c r="AH564" s="1593" t="n">
        <v>14.332</v>
      </c>
      <c r="AI564" s="1420" t="n"/>
      <c r="AJ564" s="1420" t="n"/>
      <c r="AK564" s="1421" t="n"/>
      <c r="AL564" s="1420" t="n"/>
      <c r="AM564" s="1529" t="n"/>
      <c r="AN564" s="1420" t="n"/>
      <c r="AO564" s="1420" t="n"/>
      <c r="AP564" s="1420" t="n"/>
      <c r="AQ564" s="1420" t="n"/>
      <c r="AR564" s="1529" t="n"/>
      <c r="AS564" s="1529" t="n"/>
      <c r="AT564" s="1529" t="n"/>
      <c r="AU564" s="1529" t="n"/>
      <c r="AV564" s="1422" t="n"/>
    </row>
    <row r="565" collapsed="1" ht="14.4" customFormat="1" customHeight="1" s="1438">
      <c r="A565" s="1513" t="n"/>
      <c r="B565" s="1695" t="n"/>
      <c r="C565" s="1535" t="n"/>
      <c r="D565" s="1535" t="n"/>
      <c r="E565" s="1535" t="n"/>
      <c r="F565" s="1535" t="n"/>
      <c r="G565" s="1535" t="n"/>
      <c r="H565" s="1535" t="n"/>
      <c r="I565" s="1535" t="n"/>
      <c r="J565" s="1535" t="n"/>
      <c r="K565" s="1535" t="n"/>
      <c r="L565" s="1535" t="n"/>
      <c r="M565" s="1535" t="n"/>
      <c r="N565" s="1535" t="n"/>
      <c r="O565" s="1536" t="n"/>
      <c r="P565" s="1536" t="n"/>
      <c r="Q565" s="1536" t="n"/>
      <c r="R565" s="1536" t="n"/>
      <c r="S565" s="1535" t="n"/>
      <c r="T565" s="1536" t="n"/>
      <c r="U565" s="1536" t="n"/>
      <c r="V565" s="1536" t="n"/>
      <c r="W565" s="1536" t="n"/>
      <c r="X565" s="1535" t="n"/>
      <c r="Y565" s="1536" t="n"/>
      <c r="Z565" s="1536" t="n"/>
      <c r="AA565" s="1536" t="n"/>
      <c r="AB565" s="1536" t="n"/>
      <c r="AC565" s="1535" t="n"/>
      <c r="AD565" s="1536" t="n"/>
      <c r="AE565" s="1536" t="n"/>
      <c r="AF565" s="1536" t="n"/>
      <c r="AG565" s="1536" t="n"/>
      <c r="AH565" s="1535" t="n"/>
      <c r="AI565" s="1536" t="n"/>
      <c r="AJ565" s="1536" t="n"/>
      <c r="AK565" s="1674" t="n"/>
      <c r="AL565" s="1536" t="n"/>
      <c r="AM565" s="1535" t="n"/>
      <c r="AN565" s="1536" t="n"/>
      <c r="AO565" s="1536" t="n"/>
      <c r="AP565" s="1536" t="n"/>
      <c r="AQ565" s="1536" t="n"/>
      <c r="AR565" s="1535" t="n"/>
      <c r="AS565" s="1535" t="n"/>
      <c r="AT565" s="1535" t="n"/>
      <c r="AU565" s="1535" t="n"/>
      <c r="AV565" s="1446" t="n"/>
    </row>
    <row r="566" ht="14.4" customFormat="1" customHeight="1" s="1418">
      <c r="A566" s="1530" t="inlineStr">
        <is>
          <t>Cash Flow Statement</t>
        </is>
      </c>
      <c r="B566" s="1531" t="n"/>
      <c r="C566" s="1531" t="n"/>
      <c r="D566" s="1531" t="n"/>
      <c r="E566" s="1531" t="n"/>
      <c r="F566" s="1531" t="n"/>
      <c r="G566" s="1531" t="n"/>
      <c r="H566" s="1531" t="n"/>
      <c r="I566" s="1531" t="n"/>
      <c r="J566" s="1531" t="n"/>
      <c r="K566" s="1531" t="n"/>
      <c r="L566" s="1531" t="n"/>
      <c r="M566" s="1531" t="n"/>
      <c r="N566" s="1531" t="n"/>
      <c r="O566" s="1531" t="n"/>
      <c r="P566" s="1531" t="n"/>
      <c r="Q566" s="1531" t="n"/>
      <c r="R566" s="1531" t="n"/>
      <c r="S566" s="1531" t="n"/>
      <c r="T566" s="1531" t="n"/>
      <c r="U566" s="1531" t="n"/>
      <c r="V566" s="1531" t="n"/>
      <c r="W566" s="1531" t="n"/>
      <c r="X566" s="1531" t="n"/>
      <c r="Y566" s="1531" t="n"/>
      <c r="Z566" s="1531" t="n"/>
      <c r="AA566" s="1532" t="inlineStr">
        <is>
          <t>9 months</t>
        </is>
      </c>
      <c r="AB566" s="1531" t="n"/>
      <c r="AC566" s="1531" t="n"/>
      <c r="AD566" s="1531" t="n"/>
      <c r="AE566" s="1531" t="n"/>
      <c r="AF566" s="1532" t="n"/>
      <c r="AG566" s="1531" t="n"/>
      <c r="AH566" s="1531" t="n"/>
      <c r="AI566" s="1531" t="n"/>
      <c r="AJ566" s="1531" t="n"/>
      <c r="AK566" s="1659" t="n"/>
      <c r="AL566" s="1531" t="n"/>
      <c r="AM566" s="1531" t="n"/>
      <c r="AN566" s="1531" t="n"/>
      <c r="AO566" s="1531" t="n"/>
      <c r="AP566" s="1531" t="n"/>
      <c r="AQ566" s="1531" t="n"/>
      <c r="AR566" s="1531" t="n"/>
      <c r="AS566" s="1531" t="n"/>
      <c r="AT566" s="1531" t="n"/>
      <c r="AU566" s="1531" t="n"/>
      <c r="AV566" s="1422" t="n"/>
    </row>
    <row r="567" ht="14.4" customFormat="1" customHeight="1" s="1438">
      <c r="A567" s="1439">
        <f>A503</f>
        <v/>
      </c>
      <c r="B567" s="1695" t="n"/>
      <c r="C567" s="1535" t="n"/>
      <c r="D567" s="1535" t="n"/>
      <c r="E567" s="1535" t="n"/>
      <c r="F567" s="1535" t="n"/>
      <c r="G567" s="1535" t="n"/>
      <c r="H567" s="1535" t="n"/>
      <c r="I567" s="1535" t="n"/>
      <c r="J567" s="1535" t="n"/>
      <c r="K567" s="1535" t="n"/>
      <c r="L567" s="1535" t="n"/>
      <c r="M567" s="1535" t="n"/>
      <c r="N567" s="1535" t="n"/>
      <c r="O567" s="1536" t="n"/>
      <c r="P567" s="1536" t="n"/>
      <c r="Q567" s="1536" t="n"/>
      <c r="R567" s="1536" t="n"/>
      <c r="S567" s="1535" t="n"/>
      <c r="T567" s="1536" t="n"/>
      <c r="U567" s="1536" t="n"/>
      <c r="V567" s="1536" t="n"/>
      <c r="W567" s="1536" t="n"/>
      <c r="X567" s="1535" t="n"/>
      <c r="Y567" s="1536" t="n"/>
      <c r="Z567" s="1536" t="n"/>
      <c r="AA567" s="1536" t="n"/>
      <c r="AB567" s="1536" t="n"/>
      <c r="AC567" s="1535" t="n"/>
      <c r="AD567" s="1536" t="n"/>
      <c r="AE567" s="1536" t="n"/>
      <c r="AF567" s="1536" t="n"/>
      <c r="AG567" s="1536" t="n"/>
      <c r="AH567" s="1535" t="n"/>
      <c r="AI567" s="1536" t="n"/>
      <c r="AJ567" s="1536" t="n"/>
      <c r="AK567" s="1674" t="n"/>
      <c r="AL567" s="1536" t="n"/>
      <c r="AM567" s="1529" t="n"/>
      <c r="AN567" s="1536" t="n"/>
      <c r="AO567" s="1536" t="n"/>
      <c r="AP567" s="1536" t="n"/>
      <c r="AQ567" s="1536" t="n"/>
      <c r="AR567" s="1529" t="n"/>
      <c r="AS567" s="1529" t="n"/>
      <c r="AT567" s="1529" t="n"/>
      <c r="AU567" s="1529" t="n"/>
      <c r="AV567" s="1446" t="n"/>
    </row>
    <row r="568" ht="14.4" customFormat="1" customHeight="1" s="1438">
      <c r="A568" s="1700">
        <f>A504</f>
        <v/>
      </c>
      <c r="B568" s="1695" t="n"/>
      <c r="C568" s="1529" t="n"/>
      <c r="D568" s="1529" t="n"/>
      <c r="E568" s="1529" t="n"/>
      <c r="F568" s="1529" t="n"/>
      <c r="G568" s="1529" t="n"/>
      <c r="H568" s="1529" t="n"/>
      <c r="I568" s="1529" t="n"/>
      <c r="J568" s="1529" t="n"/>
      <c r="K568" s="1529" t="n"/>
      <c r="L568" s="1529" t="n"/>
      <c r="M568" s="1529" t="n"/>
      <c r="N568" s="1529" t="n"/>
      <c r="O568" s="1420" t="n"/>
      <c r="P568" s="1420" t="n"/>
      <c r="Q568" s="1420" t="n"/>
      <c r="R568" s="1420" t="n"/>
      <c r="S568" s="1529" t="n"/>
      <c r="T568" s="1420" t="n"/>
      <c r="U568" s="1420" t="n"/>
      <c r="V568" s="1420" t="n"/>
      <c r="W568" s="1420" t="n"/>
      <c r="X568" s="1540">
        <f>X504</f>
        <v/>
      </c>
      <c r="Y568" s="1420" t="n"/>
      <c r="Z568" s="1420" t="n"/>
      <c r="AA568" s="1422">
        <f>AA504-Z504</f>
        <v/>
      </c>
      <c r="AB568" s="1422">
        <f>AB504-AA504</f>
        <v/>
      </c>
      <c r="AC568" s="1540">
        <f>AC504</f>
        <v/>
      </c>
      <c r="AD568" s="1420">
        <f>AD504</f>
        <v/>
      </c>
      <c r="AE568" s="1420" t="n"/>
      <c r="AF568" s="1420" t="n"/>
      <c r="AG568" s="1422">
        <f>AG504-AF504</f>
        <v/>
      </c>
      <c r="AH568" s="1540">
        <f>AH504</f>
        <v/>
      </c>
      <c r="AI568" s="1420">
        <f>AI504</f>
        <v/>
      </c>
      <c r="AJ568" s="1420" t="n"/>
      <c r="AK568" s="1421" t="n"/>
      <c r="AL568" s="1420" t="n"/>
      <c r="AM568" s="1529" t="n"/>
      <c r="AN568" s="1420" t="n"/>
      <c r="AO568" s="1420" t="n"/>
      <c r="AP568" s="1420" t="n"/>
      <c r="AQ568" s="1420" t="n"/>
      <c r="AR568" s="1529" t="n"/>
      <c r="AS568" s="1529" t="n"/>
      <c r="AT568" s="1529" t="n"/>
      <c r="AU568" s="1529" t="n"/>
      <c r="AV568" s="1446" t="n"/>
    </row>
    <row r="569" ht="14.4" customFormat="1" customHeight="1" s="1438">
      <c r="A569" s="1701">
        <f>A505</f>
        <v/>
      </c>
      <c r="B569" s="1739" t="n"/>
      <c r="C569" s="1582" t="n"/>
      <c r="D569" s="1582" t="n"/>
      <c r="E569" s="1582" t="n"/>
      <c r="F569" s="1582" t="n"/>
      <c r="G569" s="1582" t="n"/>
      <c r="H569" s="1582" t="n"/>
      <c r="I569" s="1582" t="n"/>
      <c r="J569" s="1582" t="n"/>
      <c r="K569" s="1582" t="n"/>
      <c r="L569" s="1582" t="n"/>
      <c r="M569" s="1582" t="n"/>
      <c r="N569" s="1582" t="n"/>
      <c r="O569" s="1583" t="n"/>
      <c r="P569" s="1583" t="n"/>
      <c r="Q569" s="1583" t="n"/>
      <c r="R569" s="1583" t="n"/>
      <c r="S569" s="1582" t="n"/>
      <c r="T569" s="1583" t="n"/>
      <c r="U569" s="1583" t="n"/>
      <c r="V569" s="1583" t="n"/>
      <c r="W569" s="1583" t="n"/>
      <c r="X569" s="1889">
        <f>X505</f>
        <v/>
      </c>
      <c r="Y569" s="1583" t="n"/>
      <c r="Z569" s="1583" t="n"/>
      <c r="AA569" s="1704">
        <f>AA505-Z505</f>
        <v/>
      </c>
      <c r="AB569" s="1704">
        <f>AB505-AA505</f>
        <v/>
      </c>
      <c r="AC569" s="1889">
        <f>AC505</f>
        <v/>
      </c>
      <c r="AD569" s="1583">
        <f>AD505</f>
        <v/>
      </c>
      <c r="AE569" s="1583" t="n"/>
      <c r="AF569" s="1583" t="n"/>
      <c r="AG569" s="1704">
        <f>AG505-AF505</f>
        <v/>
      </c>
      <c r="AH569" s="1889">
        <f>AH505</f>
        <v/>
      </c>
      <c r="AI569" s="1583">
        <f>AI505</f>
        <v/>
      </c>
      <c r="AJ569" s="1583" t="n"/>
      <c r="AK569" s="1584" t="n"/>
      <c r="AL569" s="1583" t="n"/>
      <c r="AM569" s="1582" t="n"/>
      <c r="AN569" s="1583" t="n"/>
      <c r="AO569" s="1583" t="n"/>
      <c r="AP569" s="1583" t="n"/>
      <c r="AQ569" s="1583" t="n"/>
      <c r="AR569" s="1582" t="n"/>
      <c r="AS569" s="1582" t="n"/>
      <c r="AT569" s="1582" t="n"/>
      <c r="AU569" s="1582" t="n"/>
      <c r="AV569" s="1446" t="n"/>
    </row>
    <row r="570" ht="14.4" customFormat="1" customHeight="1" s="1438">
      <c r="A570" s="1539">
        <f>A506</f>
        <v/>
      </c>
      <c r="B570" s="1695" t="n"/>
      <c r="C570" s="1529" t="n"/>
      <c r="D570" s="1529" t="n"/>
      <c r="E570" s="1529" t="n"/>
      <c r="F570" s="1529" t="n"/>
      <c r="G570" s="1529" t="n"/>
      <c r="H570" s="1529" t="n"/>
      <c r="I570" s="1529" t="n"/>
      <c r="J570" s="1529" t="n"/>
      <c r="K570" s="1529" t="n"/>
      <c r="L570" s="1529" t="n"/>
      <c r="M570" s="1529" t="n"/>
      <c r="N570" s="1529" t="n"/>
      <c r="O570" s="1420" t="n"/>
      <c r="P570" s="1420" t="n"/>
      <c r="Q570" s="1420" t="n"/>
      <c r="R570" s="1420" t="n"/>
      <c r="S570" s="1529" t="n"/>
      <c r="T570" s="1420" t="n"/>
      <c r="U570" s="1420" t="n"/>
      <c r="V570" s="1420" t="n"/>
      <c r="W570" s="1420" t="n"/>
      <c r="X570" s="1540">
        <f>X506</f>
        <v/>
      </c>
      <c r="Y570" s="1420" t="n"/>
      <c r="Z570" s="1420" t="n"/>
      <c r="AA570" s="1422">
        <f>AA506-Z506</f>
        <v/>
      </c>
      <c r="AB570" s="1422">
        <f>AB506-AA506</f>
        <v/>
      </c>
      <c r="AC570" s="1540">
        <f>AC506</f>
        <v/>
      </c>
      <c r="AD570" s="1420">
        <f>AD506</f>
        <v/>
      </c>
      <c r="AE570" s="1420">
        <f>AE506-AD506</f>
        <v/>
      </c>
      <c r="AF570" s="1422">
        <f>AF506-AE506</f>
        <v/>
      </c>
      <c r="AG570" s="1422">
        <f>AG506-AF506</f>
        <v/>
      </c>
      <c r="AH570" s="1540">
        <f>AH506</f>
        <v/>
      </c>
      <c r="AI570" s="1420">
        <f>AI506</f>
        <v/>
      </c>
      <c r="AJ570" s="1420">
        <f>AJ506-AI506</f>
        <v/>
      </c>
      <c r="AK570" s="1541">
        <f>AK506-AJ506</f>
        <v/>
      </c>
      <c r="AL570" s="1422">
        <f>AL390</f>
        <v/>
      </c>
      <c r="AM570" s="1540">
        <f>SUM(AI570,AJ570,AK570,AL570)</f>
        <v/>
      </c>
      <c r="AN570" s="1422">
        <f>AN390</f>
        <v/>
      </c>
      <c r="AO570" s="1422">
        <f>AO390</f>
        <v/>
      </c>
      <c r="AP570" s="1422">
        <f>AP390</f>
        <v/>
      </c>
      <c r="AQ570" s="1422">
        <f>AQ390</f>
        <v/>
      </c>
      <c r="AR570" s="1540">
        <f>SUM(AN570,AO570,AP570,AQ570)</f>
        <v/>
      </c>
      <c r="AS570" s="1540">
        <f>AS390</f>
        <v/>
      </c>
      <c r="AT570" s="1540">
        <f>AT390</f>
        <v/>
      </c>
      <c r="AU570" s="1540">
        <f>AU390</f>
        <v/>
      </c>
      <c r="AV570" s="1446" t="n"/>
    </row>
    <row r="571" ht="14.4" customFormat="1" customHeight="1" s="1418">
      <c r="A571" s="1539">
        <f>A507</f>
        <v/>
      </c>
      <c r="B571" s="1698" t="n"/>
      <c r="C571" s="1529" t="n"/>
      <c r="D571" s="1529" t="n"/>
      <c r="E571" s="1529" t="n"/>
      <c r="F571" s="1529" t="n"/>
      <c r="G571" s="1529" t="n"/>
      <c r="H571" s="1529" t="n"/>
      <c r="I571" s="1529" t="n"/>
      <c r="J571" s="1529" t="n"/>
      <c r="K571" s="1529" t="n"/>
      <c r="L571" s="1529" t="n"/>
      <c r="M571" s="1529" t="n"/>
      <c r="N571" s="1529" t="n"/>
      <c r="O571" s="1420" t="n"/>
      <c r="P571" s="1420" t="n"/>
      <c r="Q571" s="1420" t="n"/>
      <c r="R571" s="1420" t="n"/>
      <c r="S571" s="1529" t="n"/>
      <c r="T571" s="1420" t="n"/>
      <c r="U571" s="1420" t="n"/>
      <c r="V571" s="1420" t="n"/>
      <c r="W571" s="1420" t="n"/>
      <c r="X571" s="1540">
        <f>X507</f>
        <v/>
      </c>
      <c r="Y571" s="1420" t="n"/>
      <c r="Z571" s="1420" t="n"/>
      <c r="AA571" s="1422">
        <f>AA507-Z507</f>
        <v/>
      </c>
      <c r="AB571" s="1422">
        <f>AB507-AA507</f>
        <v/>
      </c>
      <c r="AC571" s="1540">
        <f>AC507</f>
        <v/>
      </c>
      <c r="AD571" s="1420">
        <f>AD507</f>
        <v/>
      </c>
      <c r="AE571" s="1420">
        <f>AE507-AD507</f>
        <v/>
      </c>
      <c r="AF571" s="1422">
        <f>AF507-AE507</f>
        <v/>
      </c>
      <c r="AG571" s="1422">
        <f>AG507-AF507</f>
        <v/>
      </c>
      <c r="AH571" s="1540">
        <f>AH507</f>
        <v/>
      </c>
      <c r="AI571" s="1420">
        <f>AI507</f>
        <v/>
      </c>
      <c r="AJ571" s="1420">
        <f>AJ507-AI507</f>
        <v/>
      </c>
      <c r="AK571" s="1541">
        <f>AK507-AJ507</f>
        <v/>
      </c>
      <c r="AL571" s="1422">
        <f>AL129</f>
        <v/>
      </c>
      <c r="AM571" s="1540">
        <f>SUM(AI571,AJ571,AK571,AL571)</f>
        <v/>
      </c>
      <c r="AN571" s="1422">
        <f>AN129</f>
        <v/>
      </c>
      <c r="AO571" s="1422">
        <f>AO129</f>
        <v/>
      </c>
      <c r="AP571" s="1422">
        <f>AP129</f>
        <v/>
      </c>
      <c r="AQ571" s="1422">
        <f>AQ129</f>
        <v/>
      </c>
      <c r="AR571" s="1540">
        <f>SUM(AN571,AO571,AP571,AQ571)</f>
        <v/>
      </c>
      <c r="AS571" s="1540">
        <f>AS129</f>
        <v/>
      </c>
      <c r="AT571" s="1540">
        <f>AT129</f>
        <v/>
      </c>
      <c r="AU571" s="1540">
        <f>AU129</f>
        <v/>
      </c>
      <c r="AV571" s="1422" t="n"/>
    </row>
    <row r="572" ht="14.4" customFormat="1" customHeight="1" s="1418">
      <c r="A572" s="1539">
        <f>A508</f>
        <v/>
      </c>
      <c r="B572" s="1698" t="n"/>
      <c r="C572" s="1529" t="n"/>
      <c r="D572" s="1529" t="n"/>
      <c r="E572" s="1529" t="n"/>
      <c r="F572" s="1529" t="n"/>
      <c r="G572" s="1529" t="n"/>
      <c r="H572" s="1529" t="n"/>
      <c r="I572" s="1529" t="n"/>
      <c r="J572" s="1529" t="n"/>
      <c r="K572" s="1529" t="n"/>
      <c r="L572" s="1529" t="n"/>
      <c r="M572" s="1529" t="n"/>
      <c r="N572" s="1529" t="n"/>
      <c r="O572" s="1420" t="n"/>
      <c r="P572" s="1420" t="n"/>
      <c r="Q572" s="1420" t="n"/>
      <c r="R572" s="1420" t="n"/>
      <c r="S572" s="1529" t="n"/>
      <c r="T572" s="1420" t="n"/>
      <c r="U572" s="1420" t="n"/>
      <c r="V572" s="1420" t="n"/>
      <c r="W572" s="1420" t="n"/>
      <c r="X572" s="1540">
        <f>X508</f>
        <v/>
      </c>
      <c r="Y572" s="1420" t="n"/>
      <c r="Z572" s="1420" t="n"/>
      <c r="AA572" s="1422">
        <f>AA508-Z508</f>
        <v/>
      </c>
      <c r="AB572" s="1422">
        <f>AB508-AA508</f>
        <v/>
      </c>
      <c r="AC572" s="1540">
        <f>AC508</f>
        <v/>
      </c>
      <c r="AD572" s="1420">
        <f>AD508</f>
        <v/>
      </c>
      <c r="AE572" s="1420">
        <f>AE508-AD508</f>
        <v/>
      </c>
      <c r="AF572" s="1422">
        <f>AF508-AE508</f>
        <v/>
      </c>
      <c r="AG572" s="1422">
        <f>AG508-AF508</f>
        <v/>
      </c>
      <c r="AH572" s="1540">
        <f>AH508</f>
        <v/>
      </c>
      <c r="AI572" s="1420">
        <f>AI508</f>
        <v/>
      </c>
      <c r="AJ572" s="1420">
        <f>AJ508-AI508</f>
        <v/>
      </c>
      <c r="AK572" s="1541">
        <f>AK508-AJ508</f>
        <v/>
      </c>
      <c r="AL572" s="1420" t="n"/>
      <c r="AM572" s="1540">
        <f>SUM(AI572,AJ572,AK572,AL572)</f>
        <v/>
      </c>
      <c r="AN572" s="1420" t="n"/>
      <c r="AO572" s="1420" t="n"/>
      <c r="AP572" s="1420" t="n"/>
      <c r="AQ572" s="1420" t="n"/>
      <c r="AR572" s="1540">
        <f>SUM(AN572,AO572,AP572,AQ572)</f>
        <v/>
      </c>
      <c r="AS572" s="1529" t="n"/>
      <c r="AT572" s="1529" t="n"/>
      <c r="AU572" s="1529" t="n"/>
      <c r="AV572" s="1422" t="n"/>
    </row>
    <row r="573" ht="14.4" customFormat="1" customHeight="1" s="1418">
      <c r="A573" s="1539">
        <f>A509</f>
        <v/>
      </c>
      <c r="B573" s="1698" t="n"/>
      <c r="C573" s="1529" t="n"/>
      <c r="D573" s="1529" t="n"/>
      <c r="E573" s="1529" t="n"/>
      <c r="F573" s="1529" t="n"/>
      <c r="G573" s="1529" t="n"/>
      <c r="H573" s="1529" t="n"/>
      <c r="I573" s="1529" t="n"/>
      <c r="J573" s="1529" t="n"/>
      <c r="K573" s="1529" t="n"/>
      <c r="L573" s="1529" t="n"/>
      <c r="M573" s="1529" t="n"/>
      <c r="N573" s="1529" t="n"/>
      <c r="O573" s="1420" t="n"/>
      <c r="P573" s="1420" t="n"/>
      <c r="Q573" s="1420" t="n"/>
      <c r="R573" s="1420" t="n"/>
      <c r="S573" s="1529" t="n"/>
      <c r="T573" s="1420" t="n"/>
      <c r="U573" s="1420" t="n"/>
      <c r="V573" s="1420" t="n"/>
      <c r="W573" s="1420" t="n"/>
      <c r="X573" s="1540">
        <f>X509</f>
        <v/>
      </c>
      <c r="Y573" s="1420" t="n"/>
      <c r="Z573" s="1420" t="n"/>
      <c r="AA573" s="1422">
        <f>AA509-Z509</f>
        <v/>
      </c>
      <c r="AB573" s="1422">
        <f>AB509-AA509</f>
        <v/>
      </c>
      <c r="AC573" s="1540">
        <f>AC509</f>
        <v/>
      </c>
      <c r="AD573" s="1420">
        <f>AD509</f>
        <v/>
      </c>
      <c r="AE573" s="1420">
        <f>AE509-AD509</f>
        <v/>
      </c>
      <c r="AF573" s="1422">
        <f>AF509-AE509</f>
        <v/>
      </c>
      <c r="AG573" s="1422">
        <f>AG509-AF509</f>
        <v/>
      </c>
      <c r="AH573" s="1540">
        <f>AH509</f>
        <v/>
      </c>
      <c r="AI573" s="1420">
        <f>AI509</f>
        <v/>
      </c>
      <c r="AJ573" s="1420">
        <f>AJ509-AI509</f>
        <v/>
      </c>
      <c r="AK573" s="1541">
        <f>AK509-AJ509</f>
        <v/>
      </c>
      <c r="AL573" s="1420" t="n"/>
      <c r="AM573" s="1540">
        <f>SUM(AI573,AJ573,AK573,AL573)</f>
        <v/>
      </c>
      <c r="AN573" s="1420" t="n"/>
      <c r="AO573" s="1420" t="n"/>
      <c r="AP573" s="1420" t="n"/>
      <c r="AQ573" s="1420" t="n"/>
      <c r="AR573" s="1540">
        <f>SUM(AN573,AO573,AP573,AQ573)</f>
        <v/>
      </c>
      <c r="AS573" s="1529" t="n"/>
      <c r="AT573" s="1529" t="n"/>
      <c r="AU573" s="1529" t="n"/>
      <c r="AV573" s="1422" t="n"/>
    </row>
    <row r="574" ht="14.4" customFormat="1" customHeight="1" s="1418">
      <c r="A574" s="1539">
        <f>A510</f>
        <v/>
      </c>
      <c r="B574" s="1698" t="n"/>
      <c r="C574" s="1529" t="n"/>
      <c r="D574" s="1529" t="n"/>
      <c r="E574" s="1529" t="n"/>
      <c r="F574" s="1529" t="n"/>
      <c r="G574" s="1529" t="n"/>
      <c r="H574" s="1529" t="n"/>
      <c r="I574" s="1529" t="n"/>
      <c r="J574" s="1529" t="n"/>
      <c r="K574" s="1529" t="n"/>
      <c r="L574" s="1529" t="n"/>
      <c r="M574" s="1529" t="n"/>
      <c r="N574" s="1529" t="n"/>
      <c r="O574" s="1420" t="n"/>
      <c r="P574" s="1420" t="n"/>
      <c r="Q574" s="1420" t="n"/>
      <c r="R574" s="1420" t="n"/>
      <c r="S574" s="1529" t="n"/>
      <c r="T574" s="1420" t="n"/>
      <c r="U574" s="1420" t="n"/>
      <c r="V574" s="1420" t="n"/>
      <c r="W574" s="1420" t="n"/>
      <c r="X574" s="1540">
        <f>X510</f>
        <v/>
      </c>
      <c r="Y574" s="1420" t="n"/>
      <c r="Z574" s="1420" t="n"/>
      <c r="AA574" s="1422">
        <f>AA510-Z510</f>
        <v/>
      </c>
      <c r="AB574" s="1422">
        <f>AB510-AA510</f>
        <v/>
      </c>
      <c r="AC574" s="1540">
        <f>AC510</f>
        <v/>
      </c>
      <c r="AD574" s="1420">
        <f>AD510</f>
        <v/>
      </c>
      <c r="AE574" s="1420">
        <f>AE510-AD510</f>
        <v/>
      </c>
      <c r="AF574" s="1422">
        <f>AF510-AE510</f>
        <v/>
      </c>
      <c r="AG574" s="1422">
        <f>AG510-AF510</f>
        <v/>
      </c>
      <c r="AH574" s="1540">
        <f>AH510</f>
        <v/>
      </c>
      <c r="AI574" s="1420">
        <f>AI510</f>
        <v/>
      </c>
      <c r="AJ574" s="1420">
        <f>AJ510-AI510</f>
        <v/>
      </c>
      <c r="AK574" s="1541">
        <f>AK510-AJ510</f>
        <v/>
      </c>
      <c r="AL574" s="1420" t="n"/>
      <c r="AM574" s="1540">
        <f>SUM(AI574,AJ574,AK574,AL574)</f>
        <v/>
      </c>
      <c r="AN574" s="1420" t="n"/>
      <c r="AO574" s="1420" t="n"/>
      <c r="AP574" s="1420" t="n"/>
      <c r="AQ574" s="1420" t="n"/>
      <c r="AR574" s="1540">
        <f>SUM(AN574,AO574,AP574,AQ574)</f>
        <v/>
      </c>
      <c r="AS574" s="1529" t="n"/>
      <c r="AT574" s="1529" t="n"/>
      <c r="AU574" s="1529" t="n"/>
      <c r="AV574" s="1422" t="n"/>
    </row>
    <row r="575" ht="14.4" customFormat="1" customHeight="1" s="1418">
      <c r="A575" s="1539">
        <f>A511</f>
        <v/>
      </c>
      <c r="B575" s="1698" t="n"/>
      <c r="C575" s="1529" t="n"/>
      <c r="D575" s="1529" t="n"/>
      <c r="E575" s="1529" t="n"/>
      <c r="F575" s="1529" t="n"/>
      <c r="G575" s="1529" t="n"/>
      <c r="H575" s="1529" t="n"/>
      <c r="I575" s="1529" t="n"/>
      <c r="J575" s="1529" t="n"/>
      <c r="K575" s="1529" t="n"/>
      <c r="L575" s="1529" t="n"/>
      <c r="M575" s="1529" t="n"/>
      <c r="N575" s="1529" t="n"/>
      <c r="O575" s="1420" t="n"/>
      <c r="P575" s="1420" t="n"/>
      <c r="Q575" s="1420" t="n"/>
      <c r="R575" s="1420" t="n"/>
      <c r="S575" s="1529" t="n"/>
      <c r="T575" s="1420" t="n"/>
      <c r="U575" s="1420" t="n"/>
      <c r="V575" s="1420" t="n"/>
      <c r="W575" s="1420" t="n"/>
      <c r="X575" s="1540">
        <f>X511</f>
        <v/>
      </c>
      <c r="Y575" s="1420" t="n"/>
      <c r="Z575" s="1420" t="n"/>
      <c r="AA575" s="1422">
        <f>AA511-Z511</f>
        <v/>
      </c>
      <c r="AB575" s="1422">
        <f>AB511-AA511</f>
        <v/>
      </c>
      <c r="AC575" s="1540">
        <f>AC511</f>
        <v/>
      </c>
      <c r="AD575" s="1420">
        <f>AD511</f>
        <v/>
      </c>
      <c r="AE575" s="1420">
        <f>AE511-AD511</f>
        <v/>
      </c>
      <c r="AF575" s="1422">
        <f>AF511-AE511</f>
        <v/>
      </c>
      <c r="AG575" s="1422">
        <f>AG511-AF511</f>
        <v/>
      </c>
      <c r="AH575" s="1540">
        <f>AH511</f>
        <v/>
      </c>
      <c r="AI575" s="1420">
        <f>AI511</f>
        <v/>
      </c>
      <c r="AJ575" s="1420">
        <f>AJ511-AI511</f>
        <v/>
      </c>
      <c r="AK575" s="1541">
        <f>AK511-AJ511</f>
        <v/>
      </c>
      <c r="AL575" s="1422">
        <f>AL384</f>
        <v/>
      </c>
      <c r="AM575" s="1540">
        <f>SUM(AI575,AJ575,AK575,AL575)</f>
        <v/>
      </c>
      <c r="AN575" s="1422">
        <f>AN384</f>
        <v/>
      </c>
      <c r="AO575" s="1422">
        <f>AO384</f>
        <v/>
      </c>
      <c r="AP575" s="1422">
        <f>AP384</f>
        <v/>
      </c>
      <c r="AQ575" s="1422">
        <f>AQ384</f>
        <v/>
      </c>
      <c r="AR575" s="1540">
        <f>SUM(AN575,AO575,AP575,AQ575)</f>
        <v/>
      </c>
      <c r="AS575" s="1540">
        <f>AS384</f>
        <v/>
      </c>
      <c r="AT575" s="1540">
        <f>AT384</f>
        <v/>
      </c>
      <c r="AU575" s="1540">
        <f>AU384</f>
        <v/>
      </c>
      <c r="AV575" s="1422" t="n"/>
    </row>
    <row r="576" ht="14.4" customFormat="1" customHeight="1" s="1418">
      <c r="A576" s="1539">
        <f>A512</f>
        <v/>
      </c>
      <c r="B576" s="1698" t="n"/>
      <c r="C576" s="1529" t="n"/>
      <c r="D576" s="1529" t="n"/>
      <c r="E576" s="1529" t="n"/>
      <c r="F576" s="1529" t="n"/>
      <c r="G576" s="1529" t="n"/>
      <c r="H576" s="1529" t="n"/>
      <c r="I576" s="1529" t="n"/>
      <c r="J576" s="1529" t="n"/>
      <c r="K576" s="1529" t="n"/>
      <c r="L576" s="1529" t="n"/>
      <c r="M576" s="1529" t="n"/>
      <c r="N576" s="1529" t="n"/>
      <c r="O576" s="1420" t="n"/>
      <c r="P576" s="1420" t="n"/>
      <c r="Q576" s="1420" t="n"/>
      <c r="R576" s="1420" t="n"/>
      <c r="S576" s="1529" t="n"/>
      <c r="T576" s="1420" t="n"/>
      <c r="U576" s="1420" t="n"/>
      <c r="V576" s="1420" t="n"/>
      <c r="W576" s="1420" t="n"/>
      <c r="X576" s="1540">
        <f>X512</f>
        <v/>
      </c>
      <c r="Y576" s="1420" t="n"/>
      <c r="Z576" s="1420" t="n"/>
      <c r="AA576" s="1422">
        <f>AA512-Z512</f>
        <v/>
      </c>
      <c r="AB576" s="1422">
        <f>AB512-AA512</f>
        <v/>
      </c>
      <c r="AC576" s="1540">
        <f>AC512</f>
        <v/>
      </c>
      <c r="AD576" s="1420">
        <f>AD512</f>
        <v/>
      </c>
      <c r="AE576" s="1420">
        <f>AE512-AD512</f>
        <v/>
      </c>
      <c r="AF576" s="1422">
        <f>AF512-AE512</f>
        <v/>
      </c>
      <c r="AG576" s="1422">
        <f>AG512-AF512</f>
        <v/>
      </c>
      <c r="AH576" s="1540">
        <f>AH512</f>
        <v/>
      </c>
      <c r="AI576" s="1420">
        <f>AI512</f>
        <v/>
      </c>
      <c r="AJ576" s="1420">
        <f>AJ512-AI512</f>
        <v/>
      </c>
      <c r="AK576" s="1541">
        <f>AK512-AJ512</f>
        <v/>
      </c>
      <c r="AL576" s="1420" t="n"/>
      <c r="AM576" s="1540">
        <f>SUM(AI576,AJ576,AK576,AL576)</f>
        <v/>
      </c>
      <c r="AN576" s="1420" t="n"/>
      <c r="AO576" s="1420" t="n"/>
      <c r="AP576" s="1420" t="n"/>
      <c r="AQ576" s="1420" t="n"/>
      <c r="AR576" s="1540">
        <f>SUM(AN576,AO576,AP576,AQ576)</f>
        <v/>
      </c>
      <c r="AS576" s="1529" t="n"/>
      <c r="AT576" s="1529" t="n"/>
      <c r="AU576" s="1529" t="n"/>
      <c r="AV576" s="1422" t="n"/>
    </row>
    <row r="577" ht="14.4" customFormat="1" customHeight="1" s="1418">
      <c r="A577" s="1539">
        <f>A513</f>
        <v/>
      </c>
      <c r="B577" s="1698" t="n"/>
      <c r="C577" s="1529" t="n"/>
      <c r="D577" s="1529" t="n"/>
      <c r="E577" s="1529" t="n"/>
      <c r="F577" s="1529" t="n"/>
      <c r="G577" s="1529" t="n"/>
      <c r="H577" s="1529" t="n"/>
      <c r="I577" s="1529" t="n"/>
      <c r="J577" s="1529" t="n"/>
      <c r="K577" s="1529" t="n"/>
      <c r="L577" s="1529" t="n"/>
      <c r="M577" s="1529" t="n"/>
      <c r="N577" s="1529" t="n"/>
      <c r="O577" s="1420" t="n"/>
      <c r="P577" s="1420" t="n"/>
      <c r="Q577" s="1420" t="n"/>
      <c r="R577" s="1420" t="n"/>
      <c r="S577" s="1529" t="n"/>
      <c r="T577" s="1420" t="n"/>
      <c r="U577" s="1420" t="n"/>
      <c r="V577" s="1420" t="n"/>
      <c r="W577" s="1420" t="n"/>
      <c r="X577" s="1540">
        <f>X513</f>
        <v/>
      </c>
      <c r="Y577" s="1420" t="n"/>
      <c r="Z577" s="1420" t="n"/>
      <c r="AA577" s="1422">
        <f>AA513-Z513</f>
        <v/>
      </c>
      <c r="AB577" s="1422">
        <f>AB513-AA513</f>
        <v/>
      </c>
      <c r="AC577" s="1540">
        <f>AC513</f>
        <v/>
      </c>
      <c r="AD577" s="1420">
        <f>AD513</f>
        <v/>
      </c>
      <c r="AE577" s="1420">
        <f>AE513-AD513</f>
        <v/>
      </c>
      <c r="AF577" s="1422">
        <f>AF513-AE513</f>
        <v/>
      </c>
      <c r="AG577" s="1422">
        <f>AG513-AF513</f>
        <v/>
      </c>
      <c r="AH577" s="1540">
        <f>AH513</f>
        <v/>
      </c>
      <c r="AI577" s="1420">
        <f>AI513</f>
        <v/>
      </c>
      <c r="AJ577" s="1420">
        <f>AJ513-AI513</f>
        <v/>
      </c>
      <c r="AK577" s="1541">
        <f>AK513-AJ513</f>
        <v/>
      </c>
      <c r="AL577" s="1422">
        <f>AL397*AL378</f>
        <v/>
      </c>
      <c r="AM577" s="1540">
        <f>SUM(AI577,AJ577,AK577,AL577)</f>
        <v/>
      </c>
      <c r="AN577" s="1422">
        <f>AN397*AN378</f>
        <v/>
      </c>
      <c r="AO577" s="1422">
        <f>AO397*AO378</f>
        <v/>
      </c>
      <c r="AP577" s="1422">
        <f>AP397*AP378</f>
        <v/>
      </c>
      <c r="AQ577" s="1422">
        <f>AQ397*AQ378</f>
        <v/>
      </c>
      <c r="AR577" s="1540">
        <f>SUM(AN577,AO577,AP577,AQ577)</f>
        <v/>
      </c>
      <c r="AS577" s="1540">
        <f>AS397*AS378</f>
        <v/>
      </c>
      <c r="AT577" s="1540">
        <f>AT397*AT378</f>
        <v/>
      </c>
      <c r="AU577" s="1540">
        <f>AU397*AU378</f>
        <v/>
      </c>
      <c r="AV577" s="1422" t="n"/>
    </row>
    <row r="578" ht="14.4" customFormat="1" customHeight="1" s="1418">
      <c r="A578" s="1539">
        <f>A514</f>
        <v/>
      </c>
      <c r="B578" s="1698" t="n"/>
      <c r="C578" s="1529" t="n"/>
      <c r="D578" s="1529" t="n"/>
      <c r="E578" s="1529" t="n"/>
      <c r="F578" s="1529" t="n"/>
      <c r="G578" s="1529" t="n"/>
      <c r="H578" s="1529" t="n"/>
      <c r="I578" s="1529" t="n"/>
      <c r="J578" s="1529" t="n"/>
      <c r="K578" s="1529" t="n"/>
      <c r="L578" s="1529" t="n"/>
      <c r="M578" s="1529" t="n"/>
      <c r="N578" s="1529" t="n"/>
      <c r="O578" s="1420" t="n"/>
      <c r="P578" s="1420" t="n"/>
      <c r="Q578" s="1420" t="n"/>
      <c r="R578" s="1420" t="n"/>
      <c r="S578" s="1529" t="n"/>
      <c r="T578" s="1420" t="n"/>
      <c r="U578" s="1420" t="n"/>
      <c r="V578" s="1420" t="n"/>
      <c r="W578" s="1420" t="n"/>
      <c r="X578" s="1540">
        <f>X514</f>
        <v/>
      </c>
      <c r="Y578" s="1420" t="n"/>
      <c r="Z578" s="1420" t="n"/>
      <c r="AA578" s="1422">
        <f>AA514-Z514</f>
        <v/>
      </c>
      <c r="AB578" s="1422">
        <f>AB514-AA514</f>
        <v/>
      </c>
      <c r="AC578" s="1540">
        <f>AC514</f>
        <v/>
      </c>
      <c r="AD578" s="1420">
        <f>AD514</f>
        <v/>
      </c>
      <c r="AE578" s="1420">
        <f>AE514-AD514</f>
        <v/>
      </c>
      <c r="AF578" s="1422">
        <f>AF514-AE514</f>
        <v/>
      </c>
      <c r="AG578" s="1422">
        <f>AG514-AF514</f>
        <v/>
      </c>
      <c r="AH578" s="1540">
        <f>AH514</f>
        <v/>
      </c>
      <c r="AI578" s="1420">
        <f>AI514</f>
        <v/>
      </c>
      <c r="AJ578" s="1420">
        <f>AJ514-AI514</f>
        <v/>
      </c>
      <c r="AK578" s="1541">
        <f>AK514-AJ514</f>
        <v/>
      </c>
      <c r="AL578" s="1420" t="n"/>
      <c r="AM578" s="1540">
        <f>SUM(AI578,AJ578,AK578,AL578)</f>
        <v/>
      </c>
      <c r="AN578" s="1420" t="n"/>
      <c r="AO578" s="1420" t="n"/>
      <c r="AP578" s="1420" t="n"/>
      <c r="AQ578" s="1420" t="n"/>
      <c r="AR578" s="1540">
        <f>SUM(AN578,AO578,AP578,AQ578)</f>
        <v/>
      </c>
      <c r="AS578" s="1529" t="n"/>
      <c r="AT578" s="1529" t="n"/>
      <c r="AU578" s="1529" t="n"/>
      <c r="AV578" s="1422" t="n"/>
    </row>
    <row r="579" ht="14.4" customFormat="1" customHeight="1" s="1418">
      <c r="A579" s="1539">
        <f>A515</f>
        <v/>
      </c>
      <c r="B579" s="1698" t="n"/>
      <c r="C579" s="1529" t="n"/>
      <c r="D579" s="1529" t="n"/>
      <c r="E579" s="1529" t="n"/>
      <c r="F579" s="1529" t="n"/>
      <c r="G579" s="1529" t="n"/>
      <c r="H579" s="1529" t="n"/>
      <c r="I579" s="1529" t="n"/>
      <c r="J579" s="1529" t="n"/>
      <c r="K579" s="1529" t="n"/>
      <c r="L579" s="1529" t="n"/>
      <c r="M579" s="1529" t="n"/>
      <c r="N579" s="1529" t="n"/>
      <c r="O579" s="1420" t="n"/>
      <c r="P579" s="1420" t="n"/>
      <c r="Q579" s="1420" t="n"/>
      <c r="R579" s="1420" t="n"/>
      <c r="S579" s="1529" t="n"/>
      <c r="T579" s="1420" t="n"/>
      <c r="U579" s="1420" t="n"/>
      <c r="V579" s="1420" t="n"/>
      <c r="W579" s="1420" t="n"/>
      <c r="X579" s="1540">
        <f>X515</f>
        <v/>
      </c>
      <c r="Y579" s="1420" t="n"/>
      <c r="Z579" s="1420" t="n"/>
      <c r="AA579" s="1422">
        <f>AA515-Z515</f>
        <v/>
      </c>
      <c r="AB579" s="1422">
        <f>AB515-AA515</f>
        <v/>
      </c>
      <c r="AC579" s="1540">
        <f>AC515</f>
        <v/>
      </c>
      <c r="AD579" s="1420">
        <f>AD515</f>
        <v/>
      </c>
      <c r="AE579" s="1420">
        <f>AE515-AD515</f>
        <v/>
      </c>
      <c r="AF579" s="1422">
        <f>AF515-AE515</f>
        <v/>
      </c>
      <c r="AG579" s="1422">
        <f>AG515-AF515</f>
        <v/>
      </c>
      <c r="AH579" s="1540">
        <f>AH515</f>
        <v/>
      </c>
      <c r="AI579" s="1420">
        <f>AI515</f>
        <v/>
      </c>
      <c r="AJ579" s="1420">
        <f>AJ515-AI515</f>
        <v/>
      </c>
      <c r="AK579" s="1541">
        <f>AK515-AJ515</f>
        <v/>
      </c>
      <c r="AL579" s="1420" t="n"/>
      <c r="AM579" s="1540">
        <f>SUM(AI579,AJ579,AK579,AL579)</f>
        <v/>
      </c>
      <c r="AN579" s="1420" t="n"/>
      <c r="AO579" s="1420" t="n"/>
      <c r="AP579" s="1420" t="n"/>
      <c r="AQ579" s="1420" t="n"/>
      <c r="AR579" s="1540">
        <f>SUM(AN579,AO579,AP579,AQ579)</f>
        <v/>
      </c>
      <c r="AS579" s="1529" t="n"/>
      <c r="AT579" s="1529" t="n"/>
      <c r="AU579" s="1529" t="n"/>
      <c r="AV579" s="1422" t="n"/>
    </row>
    <row r="580" ht="14.4" customFormat="1" customHeight="1" s="1438">
      <c r="A580" s="1542">
        <f>A516</f>
        <v/>
      </c>
      <c r="B580" s="1699" t="n"/>
      <c r="C580" s="1544" t="n"/>
      <c r="D580" s="1544" t="n"/>
      <c r="E580" s="1544" t="n"/>
      <c r="F580" s="1544" t="n"/>
      <c r="G580" s="1544" t="n"/>
      <c r="H580" s="1544" t="n"/>
      <c r="I580" s="1544" t="n"/>
      <c r="J580" s="1544" t="n"/>
      <c r="K580" s="1544" t="n"/>
      <c r="L580" s="1544" t="n"/>
      <c r="M580" s="1544" t="n"/>
      <c r="N580" s="1544" t="n"/>
      <c r="O580" s="1545" t="n"/>
      <c r="P580" s="1545" t="n"/>
      <c r="Q580" s="1545" t="n"/>
      <c r="R580" s="1545" t="n"/>
      <c r="S580" s="1544" t="n"/>
      <c r="T580" s="1545" t="n"/>
      <c r="U580" s="1545" t="n"/>
      <c r="V580" s="1545" t="n"/>
      <c r="W580" s="1545" t="n"/>
      <c r="X580" s="1546">
        <f>SUM(X570:X579)</f>
        <v/>
      </c>
      <c r="Y580" s="1545" t="n"/>
      <c r="Z580" s="1545" t="n"/>
      <c r="AA580" s="1547">
        <f>SUM(AA570:AA579)</f>
        <v/>
      </c>
      <c r="AB580" s="1547">
        <f>SUM(AB570:AB579)</f>
        <v/>
      </c>
      <c r="AC580" s="1546">
        <f>SUM(AC570:AC579)</f>
        <v/>
      </c>
      <c r="AD580" s="1545">
        <f>SUM(AD570:AD579)</f>
        <v/>
      </c>
      <c r="AE580" s="1545">
        <f>SUM(AE570:AE579)</f>
        <v/>
      </c>
      <c r="AF580" s="1547">
        <f>SUM(AF570:AF579)</f>
        <v/>
      </c>
      <c r="AG580" s="1547">
        <f>SUM(AG570:AG579)</f>
        <v/>
      </c>
      <c r="AH580" s="1546">
        <f>SUM(AH570:AH579)</f>
        <v/>
      </c>
      <c r="AI580" s="1545">
        <f>SUM(AI570:AI579)</f>
        <v/>
      </c>
      <c r="AJ580" s="1545">
        <f>SUM(AJ570:AJ579)</f>
        <v/>
      </c>
      <c r="AK580" s="1548">
        <f>SUM(AK570:AK579)</f>
        <v/>
      </c>
      <c r="AL580" s="1547">
        <f>SUM(AL570:AL579)</f>
        <v/>
      </c>
      <c r="AM580" s="1546">
        <f>SUM(AM570:AM579)</f>
        <v/>
      </c>
      <c r="AN580" s="1547">
        <f>SUM(AN570:AN579)</f>
        <v/>
      </c>
      <c r="AO580" s="1547">
        <f>SUM(AO570:AO579)</f>
        <v/>
      </c>
      <c r="AP580" s="1547">
        <f>SUM(AP570:AP579)</f>
        <v/>
      </c>
      <c r="AQ580" s="1547">
        <f>SUM(AQ570:AQ579)</f>
        <v/>
      </c>
      <c r="AR580" s="1546">
        <f>SUM(AR570:AR579)</f>
        <v/>
      </c>
      <c r="AS580" s="1546">
        <f>SUM(AS570:AS579)</f>
        <v/>
      </c>
      <c r="AT580" s="1546">
        <f>SUM(AT570:AT579)</f>
        <v/>
      </c>
      <c r="AU580" s="1546">
        <f>SUM(AU570:AU579)</f>
        <v/>
      </c>
      <c r="AV580" s="1446" t="n"/>
    </row>
    <row r="581" ht="14.4" customFormat="1" customHeight="1" s="1418">
      <c r="A581" s="1539">
        <f>A517</f>
        <v/>
      </c>
      <c r="B581" s="1698" t="n"/>
      <c r="C581" s="1529" t="n"/>
      <c r="D581" s="1529" t="n"/>
      <c r="E581" s="1529" t="n"/>
      <c r="F581" s="1529" t="n"/>
      <c r="G581" s="1529" t="n"/>
      <c r="H581" s="1529" t="n"/>
      <c r="I581" s="1529" t="n"/>
      <c r="J581" s="1529" t="n"/>
      <c r="K581" s="1529" t="n"/>
      <c r="L581" s="1529" t="n"/>
      <c r="M581" s="1529" t="n"/>
      <c r="N581" s="1529" t="n"/>
      <c r="O581" s="1420" t="n"/>
      <c r="P581" s="1420" t="n"/>
      <c r="Q581" s="1420" t="n"/>
      <c r="R581" s="1420" t="n"/>
      <c r="S581" s="1529" t="n"/>
      <c r="T581" s="1420" t="n"/>
      <c r="U581" s="1420" t="n"/>
      <c r="V581" s="1420" t="n"/>
      <c r="W581" s="1420" t="n"/>
      <c r="X581" s="1540">
        <f>X517</f>
        <v/>
      </c>
      <c r="Y581" s="1420" t="n"/>
      <c r="Z581" s="1420" t="n"/>
      <c r="AA581" s="1422">
        <f>AA517-Z517</f>
        <v/>
      </c>
      <c r="AB581" s="1422">
        <f>AB517-AA517</f>
        <v/>
      </c>
      <c r="AC581" s="1540">
        <f>AC517</f>
        <v/>
      </c>
      <c r="AD581" s="1420">
        <f>AD517</f>
        <v/>
      </c>
      <c r="AE581" s="1420">
        <f>AE517-AD517</f>
        <v/>
      </c>
      <c r="AF581" s="1422">
        <f>AF517-AE517</f>
        <v/>
      </c>
      <c r="AG581" s="1422">
        <f>AG517-AF517</f>
        <v/>
      </c>
      <c r="AH581" s="1540">
        <f>AH517</f>
        <v/>
      </c>
      <c r="AI581" s="1420">
        <f>AI517</f>
        <v/>
      </c>
      <c r="AJ581" s="1420">
        <f>AJ517-AI517</f>
        <v/>
      </c>
      <c r="AK581" s="1541">
        <f>AK517-AJ517</f>
        <v/>
      </c>
      <c r="AL581" s="1422">
        <f>AK672-AL672</f>
        <v/>
      </c>
      <c r="AM581" s="1540">
        <f>SUM(AI581,AJ581,AK581,AL581)</f>
        <v/>
      </c>
      <c r="AN581" s="1422">
        <f>AM672-AN672</f>
        <v/>
      </c>
      <c r="AO581" s="1422">
        <f>AN672-AO672</f>
        <v/>
      </c>
      <c r="AP581" s="1422">
        <f>AO672-AP672</f>
        <v/>
      </c>
      <c r="AQ581" s="1422">
        <f>AP672-AQ672</f>
        <v/>
      </c>
      <c r="AR581" s="1540">
        <f>SUM(AN581,AO581,AP581,AQ581)</f>
        <v/>
      </c>
      <c r="AS581" s="1540">
        <f>AR672-AS672</f>
        <v/>
      </c>
      <c r="AT581" s="1540">
        <f>AS672-AT672</f>
        <v/>
      </c>
      <c r="AU581" s="1540">
        <f>AT672-AU672</f>
        <v/>
      </c>
      <c r="AV581" s="1422" t="n"/>
    </row>
    <row r="582" ht="14.4" customFormat="1" customHeight="1" s="1418">
      <c r="A582" s="1539">
        <f>A518</f>
        <v/>
      </c>
      <c r="B582" s="1698" t="n"/>
      <c r="C582" s="1529" t="n"/>
      <c r="D582" s="1529" t="n"/>
      <c r="E582" s="1529" t="n"/>
      <c r="F582" s="1529" t="n"/>
      <c r="G582" s="1529" t="n"/>
      <c r="H582" s="1529" t="n"/>
      <c r="I582" s="1529" t="n"/>
      <c r="J582" s="1529" t="n"/>
      <c r="K582" s="1529" t="n"/>
      <c r="L582" s="1529" t="n"/>
      <c r="M582" s="1529" t="n"/>
      <c r="N582" s="1529" t="n"/>
      <c r="O582" s="1420" t="n"/>
      <c r="P582" s="1420" t="n"/>
      <c r="Q582" s="1420" t="n"/>
      <c r="R582" s="1420" t="n"/>
      <c r="S582" s="1529" t="n"/>
      <c r="T582" s="1420" t="n"/>
      <c r="U582" s="1420" t="n"/>
      <c r="V582" s="1420" t="n"/>
      <c r="W582" s="1420" t="n"/>
      <c r="X582" s="1540">
        <f>X518</f>
        <v/>
      </c>
      <c r="Y582" s="1420" t="n"/>
      <c r="Z582" s="1420" t="n"/>
      <c r="AA582" s="1422">
        <f>AA518-Z518</f>
        <v/>
      </c>
      <c r="AB582" s="1422">
        <f>AB518-AA518</f>
        <v/>
      </c>
      <c r="AC582" s="1540">
        <f>AC518</f>
        <v/>
      </c>
      <c r="AD582" s="1420">
        <f>AD518</f>
        <v/>
      </c>
      <c r="AE582" s="1420">
        <f>AE518-AD518</f>
        <v/>
      </c>
      <c r="AF582" s="1422">
        <f>AF518-AE518</f>
        <v/>
      </c>
      <c r="AG582" s="1422">
        <f>AG518-AF518</f>
        <v/>
      </c>
      <c r="AH582" s="1540">
        <f>AH518</f>
        <v/>
      </c>
      <c r="AI582" s="1420">
        <f>AI518</f>
        <v/>
      </c>
      <c r="AJ582" s="1420">
        <f>AJ518-AI518</f>
        <v/>
      </c>
      <c r="AK582" s="1541">
        <f>AK518-AJ518</f>
        <v/>
      </c>
      <c r="AL582" s="1422">
        <f>AK673-AL673</f>
        <v/>
      </c>
      <c r="AM582" s="1540">
        <f>SUM(AI582,AJ582,AK582,AL582)</f>
        <v/>
      </c>
      <c r="AN582" s="1422">
        <f>AM673-AN673</f>
        <v/>
      </c>
      <c r="AO582" s="1422">
        <f>AN673-AO673</f>
        <v/>
      </c>
      <c r="AP582" s="1422">
        <f>AO673-AP673</f>
        <v/>
      </c>
      <c r="AQ582" s="1422">
        <f>AP673-AQ673</f>
        <v/>
      </c>
      <c r="AR582" s="1540">
        <f>SUM(AN582,AO582,AP582,AQ582)</f>
        <v/>
      </c>
      <c r="AS582" s="1540">
        <f>AR673-AS673</f>
        <v/>
      </c>
      <c r="AT582" s="1540">
        <f>AS673-AT673</f>
        <v/>
      </c>
      <c r="AU582" s="1540">
        <f>AT673-AU673</f>
        <v/>
      </c>
      <c r="AV582" s="1422" t="n"/>
    </row>
    <row r="583" ht="14.4" customFormat="1" customHeight="1" s="1418">
      <c r="A583" s="1539">
        <f>A519</f>
        <v/>
      </c>
      <c r="B583" s="1698" t="n"/>
      <c r="C583" s="1529" t="n"/>
      <c r="D583" s="1529" t="n"/>
      <c r="E583" s="1529" t="n"/>
      <c r="F583" s="1529" t="n"/>
      <c r="G583" s="1529" t="n"/>
      <c r="H583" s="1529" t="n"/>
      <c r="I583" s="1529" t="n"/>
      <c r="J583" s="1529" t="n"/>
      <c r="K583" s="1529" t="n"/>
      <c r="L583" s="1529" t="n"/>
      <c r="M583" s="1529" t="n"/>
      <c r="N583" s="1529" t="n"/>
      <c r="O583" s="1420" t="n"/>
      <c r="P583" s="1420" t="n"/>
      <c r="Q583" s="1420" t="n"/>
      <c r="R583" s="1420" t="n"/>
      <c r="S583" s="1529" t="n"/>
      <c r="T583" s="1420" t="n"/>
      <c r="U583" s="1420" t="n"/>
      <c r="V583" s="1420" t="n"/>
      <c r="W583" s="1420" t="n"/>
      <c r="X583" s="1540">
        <f>X519</f>
        <v/>
      </c>
      <c r="Y583" s="1420" t="n"/>
      <c r="Z583" s="1420" t="n"/>
      <c r="AA583" s="1422">
        <f>AA519-Z519</f>
        <v/>
      </c>
      <c r="AB583" s="1422">
        <f>AB519-AA519</f>
        <v/>
      </c>
      <c r="AC583" s="1540">
        <f>AC519</f>
        <v/>
      </c>
      <c r="AD583" s="1420">
        <f>AD519</f>
        <v/>
      </c>
      <c r="AE583" s="1420">
        <f>AE519-AD519</f>
        <v/>
      </c>
      <c r="AF583" s="1422">
        <f>AF519-AE519</f>
        <v/>
      </c>
      <c r="AG583" s="1422">
        <f>AG519-AF519</f>
        <v/>
      </c>
      <c r="AH583" s="1540">
        <f>AH519</f>
        <v/>
      </c>
      <c r="AI583" s="1420">
        <f>AI519</f>
        <v/>
      </c>
      <c r="AJ583" s="1420">
        <f>AJ519-AI519</f>
        <v/>
      </c>
      <c r="AK583" s="1541">
        <f>AK519-AJ519</f>
        <v/>
      </c>
      <c r="AL583" s="1422">
        <f>AL695-AK695+AL696-AK696</f>
        <v/>
      </c>
      <c r="AM583" s="1540">
        <f>SUM(AI583,AJ583,AK583,AL583)</f>
        <v/>
      </c>
      <c r="AN583" s="1422">
        <f>AN695-AM695+AN696-AM696</f>
        <v/>
      </c>
      <c r="AO583" s="1422">
        <f>AO695-AN695+AO696-AN696</f>
        <v/>
      </c>
      <c r="AP583" s="1422">
        <f>AP695-AO695+AP696-AO696</f>
        <v/>
      </c>
      <c r="AQ583" s="1422">
        <f>AQ695-AP695+AQ696-AP696</f>
        <v/>
      </c>
      <c r="AR583" s="1540">
        <f>SUM(AN583,AO583,AP583,AQ583)</f>
        <v/>
      </c>
      <c r="AS583" s="1540">
        <f>AS695-AR695+AS696-AR696</f>
        <v/>
      </c>
      <c r="AT583" s="1540">
        <f>AT695-AS695+AT696-AS696</f>
        <v/>
      </c>
      <c r="AU583" s="1540">
        <f>AU695-AT695+AU696-AT696</f>
        <v/>
      </c>
      <c r="AV583" s="1422" t="n"/>
    </row>
    <row r="584" ht="14.4" customFormat="1" customHeight="1" s="1418">
      <c r="A584" s="1539">
        <f>A520</f>
        <v/>
      </c>
      <c r="B584" s="1698" t="n"/>
      <c r="C584" s="1529" t="n"/>
      <c r="D584" s="1529" t="n"/>
      <c r="E584" s="1529" t="n"/>
      <c r="F584" s="1529" t="n"/>
      <c r="G584" s="1529" t="n"/>
      <c r="H584" s="1529" t="n"/>
      <c r="I584" s="1529" t="n"/>
      <c r="J584" s="1529" t="n"/>
      <c r="K584" s="1529" t="n"/>
      <c r="L584" s="1529" t="n"/>
      <c r="M584" s="1529" t="n"/>
      <c r="N584" s="1529" t="n"/>
      <c r="O584" s="1420" t="n"/>
      <c r="P584" s="1420" t="n"/>
      <c r="Q584" s="1420" t="n"/>
      <c r="R584" s="1420" t="n"/>
      <c r="S584" s="1529" t="n"/>
      <c r="T584" s="1420" t="n"/>
      <c r="U584" s="1420" t="n"/>
      <c r="V584" s="1420" t="n"/>
      <c r="W584" s="1420" t="n"/>
      <c r="X584" s="1540">
        <f>X520</f>
        <v/>
      </c>
      <c r="Y584" s="1420" t="n"/>
      <c r="Z584" s="1420" t="n"/>
      <c r="AA584" s="1422">
        <f>AA520-Z520</f>
        <v/>
      </c>
      <c r="AB584" s="1422">
        <f>AB520-AA520</f>
        <v/>
      </c>
      <c r="AC584" s="1540">
        <f>AC520</f>
        <v/>
      </c>
      <c r="AD584" s="1420">
        <f>AD520</f>
        <v/>
      </c>
      <c r="AE584" s="1420">
        <f>AE520-AD520</f>
        <v/>
      </c>
      <c r="AF584" s="1422">
        <f>AF520-AE520</f>
        <v/>
      </c>
      <c r="AG584" s="1422">
        <f>AG520-AF520</f>
        <v/>
      </c>
      <c r="AH584" s="1540">
        <f>AH520</f>
        <v/>
      </c>
      <c r="AI584" s="1420">
        <f>AI520</f>
        <v/>
      </c>
      <c r="AJ584" s="1420">
        <f>AJ520-AI520</f>
        <v/>
      </c>
      <c r="AK584" s="1541">
        <f>AK520-AJ520</f>
        <v/>
      </c>
      <c r="AL584" s="1422">
        <f>AL698-AK698</f>
        <v/>
      </c>
      <c r="AM584" s="1540">
        <f>SUM(AI584,AJ584,AK584,AL584)</f>
        <v/>
      </c>
      <c r="AN584" s="1422">
        <f>AN698-AM698</f>
        <v/>
      </c>
      <c r="AO584" s="1422">
        <f>AO698-AN698</f>
        <v/>
      </c>
      <c r="AP584" s="1422">
        <f>AP698-AO698</f>
        <v/>
      </c>
      <c r="AQ584" s="1422">
        <f>AQ698-AP698</f>
        <v/>
      </c>
      <c r="AR584" s="1540">
        <f>SUM(AN584,AO584,AP584,AQ584)</f>
        <v/>
      </c>
      <c r="AS584" s="1540">
        <f>AS698-AR698</f>
        <v/>
      </c>
      <c r="AT584" s="1540">
        <f>AT698-AS698</f>
        <v/>
      </c>
      <c r="AU584" s="1540">
        <f>AU698-AT698</f>
        <v/>
      </c>
      <c r="AV584" s="1422" t="n"/>
    </row>
    <row r="585" ht="14.4" customFormat="1" customHeight="1" s="1418">
      <c r="A585" s="1539">
        <f>A521</f>
        <v/>
      </c>
      <c r="B585" s="1698" t="n"/>
      <c r="C585" s="1529" t="n"/>
      <c r="D585" s="1529" t="n"/>
      <c r="E585" s="1529" t="n"/>
      <c r="F585" s="1529" t="n"/>
      <c r="G585" s="1529" t="n"/>
      <c r="H585" s="1529" t="n"/>
      <c r="I585" s="1529" t="n"/>
      <c r="J585" s="1529" t="n"/>
      <c r="K585" s="1529" t="n"/>
      <c r="L585" s="1529" t="n"/>
      <c r="M585" s="1529" t="n"/>
      <c r="N585" s="1529" t="n"/>
      <c r="O585" s="1420" t="n"/>
      <c r="P585" s="1420" t="n"/>
      <c r="Q585" s="1420" t="n"/>
      <c r="R585" s="1420" t="n"/>
      <c r="S585" s="1529" t="n"/>
      <c r="T585" s="1420" t="n"/>
      <c r="U585" s="1420" t="n"/>
      <c r="V585" s="1420" t="n"/>
      <c r="W585" s="1420" t="n"/>
      <c r="X585" s="1540">
        <f>X521</f>
        <v/>
      </c>
      <c r="Y585" s="1420" t="n"/>
      <c r="Z585" s="1420" t="n"/>
      <c r="AA585" s="1422">
        <f>AA521-Z521</f>
        <v/>
      </c>
      <c r="AB585" s="1422">
        <f>AB521-AA521</f>
        <v/>
      </c>
      <c r="AC585" s="1540">
        <f>AC521</f>
        <v/>
      </c>
      <c r="AD585" s="1420">
        <f>AD521</f>
        <v/>
      </c>
      <c r="AE585" s="1420">
        <f>AE521-AD521</f>
        <v/>
      </c>
      <c r="AF585" s="1422">
        <f>AF521-AE521</f>
        <v/>
      </c>
      <c r="AG585" s="1422">
        <f>AG521-AF521</f>
        <v/>
      </c>
      <c r="AH585" s="1540">
        <f>AH521</f>
        <v/>
      </c>
      <c r="AI585" s="1420">
        <f>AI521</f>
        <v/>
      </c>
      <c r="AJ585" s="1420">
        <f>AJ521-AI521</f>
        <v/>
      </c>
      <c r="AK585" s="1541">
        <f>AK521-AJ521</f>
        <v/>
      </c>
      <c r="AL585" s="1420" t="n"/>
      <c r="AM585" s="1540">
        <f>SUM(AI585,AJ585,AK585,AL585)</f>
        <v/>
      </c>
      <c r="AN585" s="1420" t="n"/>
      <c r="AO585" s="1420" t="n"/>
      <c r="AP585" s="1420" t="n"/>
      <c r="AQ585" s="1420" t="n"/>
      <c r="AR585" s="1540">
        <f>SUM(AN585,AO585,AP585,AQ585)</f>
        <v/>
      </c>
      <c r="AS585" s="1529" t="n"/>
      <c r="AT585" s="1529" t="n"/>
      <c r="AU585" s="1529" t="n"/>
      <c r="AV585" s="1422" t="n"/>
    </row>
    <row r="586" ht="14.4" customFormat="1" customHeight="1" s="1418">
      <c r="A586" s="1539">
        <f>A522</f>
        <v/>
      </c>
      <c r="B586" s="1698" t="n"/>
      <c r="C586" s="1529" t="n"/>
      <c r="D586" s="1529" t="n"/>
      <c r="E586" s="1529" t="n"/>
      <c r="F586" s="1529" t="n"/>
      <c r="G586" s="1529" t="n"/>
      <c r="H586" s="1529" t="n"/>
      <c r="I586" s="1529" t="n"/>
      <c r="J586" s="1529" t="n"/>
      <c r="K586" s="1529" t="n"/>
      <c r="L586" s="1529" t="n"/>
      <c r="M586" s="1529" t="n"/>
      <c r="N586" s="1529" t="n"/>
      <c r="O586" s="1420" t="n"/>
      <c r="P586" s="1420" t="n"/>
      <c r="Q586" s="1420" t="n"/>
      <c r="R586" s="1420" t="n"/>
      <c r="S586" s="1529" t="n"/>
      <c r="T586" s="1420" t="n"/>
      <c r="U586" s="1420" t="n"/>
      <c r="V586" s="1420" t="n"/>
      <c r="W586" s="1420" t="n"/>
      <c r="X586" s="1540">
        <f>X522</f>
        <v/>
      </c>
      <c r="Y586" s="1420" t="n"/>
      <c r="Z586" s="1420" t="n"/>
      <c r="AA586" s="1422">
        <f>AA522-Z522</f>
        <v/>
      </c>
      <c r="AB586" s="1422">
        <f>AB522-AA522</f>
        <v/>
      </c>
      <c r="AC586" s="1540">
        <f>AC522</f>
        <v/>
      </c>
      <c r="AD586" s="1420">
        <f>AD522</f>
        <v/>
      </c>
      <c r="AE586" s="1420">
        <f>AE522-AD522</f>
        <v/>
      </c>
      <c r="AF586" s="1422">
        <f>AF522-AE522</f>
        <v/>
      </c>
      <c r="AG586" s="1422">
        <f>AG522-AF522</f>
        <v/>
      </c>
      <c r="AH586" s="1540">
        <f>AH522</f>
        <v/>
      </c>
      <c r="AI586" s="1420">
        <f>AI522</f>
        <v/>
      </c>
      <c r="AJ586" s="1420">
        <f>AJ522-AI522</f>
        <v/>
      </c>
      <c r="AK586" s="1541">
        <f>AK522-AJ522</f>
        <v/>
      </c>
      <c r="AL586" s="1420" t="n"/>
      <c r="AM586" s="1540">
        <f>SUM(AI586,AJ586,AK586,AL586)</f>
        <v/>
      </c>
      <c r="AN586" s="1420" t="n"/>
      <c r="AO586" s="1420" t="n"/>
      <c r="AP586" s="1420" t="n"/>
      <c r="AQ586" s="1420" t="n"/>
      <c r="AR586" s="1540">
        <f>SUM(AN586,AO586,AP586,AQ586)</f>
        <v/>
      </c>
      <c r="AS586" s="1529" t="n"/>
      <c r="AT586" s="1529" t="n"/>
      <c r="AU586" s="1529" t="n"/>
      <c r="AV586" s="1422" t="n"/>
    </row>
    <row r="587" ht="14.4" customFormat="1" customHeight="1" s="1418">
      <c r="A587" s="1539">
        <f>A523</f>
        <v/>
      </c>
      <c r="B587" s="1698" t="n"/>
      <c r="C587" s="1529" t="n"/>
      <c r="D587" s="1529" t="n"/>
      <c r="E587" s="1529" t="n"/>
      <c r="F587" s="1529" t="n"/>
      <c r="G587" s="1529" t="n"/>
      <c r="H587" s="1529" t="n"/>
      <c r="I587" s="1529" t="n"/>
      <c r="J587" s="1529" t="n"/>
      <c r="K587" s="1529" t="n"/>
      <c r="L587" s="1529" t="n"/>
      <c r="M587" s="1529" t="n"/>
      <c r="N587" s="1529" t="n"/>
      <c r="O587" s="1420" t="n"/>
      <c r="P587" s="1420" t="n"/>
      <c r="Q587" s="1420" t="n"/>
      <c r="R587" s="1420" t="n"/>
      <c r="S587" s="1529" t="n"/>
      <c r="T587" s="1420" t="n"/>
      <c r="U587" s="1420" t="n"/>
      <c r="V587" s="1420" t="n"/>
      <c r="W587" s="1420" t="n"/>
      <c r="X587" s="1540">
        <f>X523</f>
        <v/>
      </c>
      <c r="Y587" s="1420" t="n"/>
      <c r="Z587" s="1420" t="n"/>
      <c r="AA587" s="1422">
        <f>AA523-Z523</f>
        <v/>
      </c>
      <c r="AB587" s="1422">
        <f>AB523-AA523</f>
        <v/>
      </c>
      <c r="AC587" s="1540">
        <f>AC523</f>
        <v/>
      </c>
      <c r="AD587" s="1420">
        <f>AD523</f>
        <v/>
      </c>
      <c r="AE587" s="1420">
        <f>AE523-AD523</f>
        <v/>
      </c>
      <c r="AF587" s="1422">
        <f>AF523-AE523</f>
        <v/>
      </c>
      <c r="AG587" s="1422">
        <f>AG523-AF523</f>
        <v/>
      </c>
      <c r="AH587" s="1540">
        <f>AH523</f>
        <v/>
      </c>
      <c r="AI587" s="1420">
        <f>AI523</f>
        <v/>
      </c>
      <c r="AJ587" s="1420">
        <f>AJ523-AI523</f>
        <v/>
      </c>
      <c r="AK587" s="1541">
        <f>AK523-AJ523</f>
        <v/>
      </c>
      <c r="AL587" s="1420" t="n"/>
      <c r="AM587" s="1540">
        <f>SUM(AI587,AJ587,AK587,AL587)</f>
        <v/>
      </c>
      <c r="AN587" s="1420" t="n"/>
      <c r="AO587" s="1420" t="n"/>
      <c r="AP587" s="1420" t="n"/>
      <c r="AQ587" s="1420" t="n"/>
      <c r="AR587" s="1540">
        <f>SUM(AN587,AO587,AP587,AQ587)</f>
        <v/>
      </c>
      <c r="AS587" s="1529" t="n"/>
      <c r="AT587" s="1529" t="n"/>
      <c r="AU587" s="1529" t="n"/>
      <c r="AV587" s="1422" t="n"/>
    </row>
    <row r="588" ht="14.4" customFormat="1" customHeight="1" s="1438">
      <c r="A588" s="1542">
        <f>A524</f>
        <v/>
      </c>
      <c r="B588" s="1699" t="n"/>
      <c r="C588" s="1544" t="n"/>
      <c r="D588" s="1544" t="n"/>
      <c r="E588" s="1544" t="n"/>
      <c r="F588" s="1544" t="n"/>
      <c r="G588" s="1544" t="n"/>
      <c r="H588" s="1544" t="n"/>
      <c r="I588" s="1544" t="n"/>
      <c r="J588" s="1544" t="n"/>
      <c r="K588" s="1544" t="n"/>
      <c r="L588" s="1544" t="n"/>
      <c r="M588" s="1544" t="n"/>
      <c r="N588" s="1544" t="n"/>
      <c r="O588" s="1545" t="n"/>
      <c r="P588" s="1545" t="n"/>
      <c r="Q588" s="1545" t="n"/>
      <c r="R588" s="1545" t="n"/>
      <c r="S588" s="1544" t="n"/>
      <c r="T588" s="1545" t="n"/>
      <c r="U588" s="1545" t="n"/>
      <c r="V588" s="1545" t="n"/>
      <c r="W588" s="1545" t="n"/>
      <c r="X588" s="1546">
        <f>SUM(X580:X587)</f>
        <v/>
      </c>
      <c r="Y588" s="1545" t="n"/>
      <c r="Z588" s="1545" t="n"/>
      <c r="AA588" s="1547">
        <f>SUM(AA580:AA587)</f>
        <v/>
      </c>
      <c r="AB588" s="1547">
        <f>SUM(AB580:AB587)</f>
        <v/>
      </c>
      <c r="AC588" s="1546">
        <f>SUM(AC580:AC587)</f>
        <v/>
      </c>
      <c r="AD588" s="1545">
        <f>SUM(AD580:AD587)</f>
        <v/>
      </c>
      <c r="AE588" s="1545">
        <f>SUM(AE580:AE587)</f>
        <v/>
      </c>
      <c r="AF588" s="1547">
        <f>SUM(AF580:AF587)</f>
        <v/>
      </c>
      <c r="AG588" s="1547">
        <f>SUM(AG580:AG587)</f>
        <v/>
      </c>
      <c r="AH588" s="1546">
        <f>SUM(AH580:AH587)</f>
        <v/>
      </c>
      <c r="AI588" s="1545">
        <f>SUM(AI580:AI587)</f>
        <v/>
      </c>
      <c r="AJ588" s="1545">
        <f>SUM(AJ580:AJ587)</f>
        <v/>
      </c>
      <c r="AK588" s="1548">
        <f>SUM(AK580:AK587)</f>
        <v/>
      </c>
      <c r="AL588" s="1547">
        <f>SUM(AL580:AL587)</f>
        <v/>
      </c>
      <c r="AM588" s="1546">
        <f>SUM(AM580:AM587)</f>
        <v/>
      </c>
      <c r="AN588" s="1547">
        <f>SUM(AN580:AN587)</f>
        <v/>
      </c>
      <c r="AO588" s="1547">
        <f>SUM(AO580:AO587)</f>
        <v/>
      </c>
      <c r="AP588" s="1547">
        <f>SUM(AP580:AP587)</f>
        <v/>
      </c>
      <c r="AQ588" s="1547">
        <f>SUM(AQ580:AQ587)</f>
        <v/>
      </c>
      <c r="AR588" s="1546">
        <f>SUM(AR580:AR587)</f>
        <v/>
      </c>
      <c r="AS588" s="1546">
        <f>SUM(AS580:AS587)</f>
        <v/>
      </c>
      <c r="AT588" s="1546">
        <f>SUM(AT580:AT587)</f>
        <v/>
      </c>
      <c r="AU588" s="1546">
        <f>SUM(AU580:AU587)</f>
        <v/>
      </c>
      <c r="AV588" s="1446" t="n"/>
    </row>
    <row r="589" ht="14.4" customFormat="1" customHeight="1" s="1438">
      <c r="A589" s="1513" t="n"/>
      <c r="B589" s="1695" t="n"/>
      <c r="C589" s="1535" t="n"/>
      <c r="D589" s="1535" t="n"/>
      <c r="E589" s="1535" t="n"/>
      <c r="F589" s="1535" t="n"/>
      <c r="G589" s="1535" t="n"/>
      <c r="H589" s="1535" t="n"/>
      <c r="I589" s="1535" t="n"/>
      <c r="J589" s="1535" t="n"/>
      <c r="K589" s="1535" t="n"/>
      <c r="L589" s="1535" t="n"/>
      <c r="M589" s="1535" t="n"/>
      <c r="N589" s="1535" t="n"/>
      <c r="O589" s="1536" t="n"/>
      <c r="P589" s="1536" t="n"/>
      <c r="Q589" s="1536" t="n"/>
      <c r="R589" s="1536" t="n"/>
      <c r="S589" s="1535" t="n"/>
      <c r="T589" s="1536" t="n"/>
      <c r="U589" s="1536" t="n"/>
      <c r="V589" s="1536" t="n"/>
      <c r="W589" s="1536" t="n"/>
      <c r="X589" s="1535" t="n"/>
      <c r="Y589" s="1536" t="n"/>
      <c r="Z589" s="1536" t="n"/>
      <c r="AA589" s="1536" t="n"/>
      <c r="AB589" s="1536" t="n"/>
      <c r="AC589" s="1535" t="n"/>
      <c r="AD589" s="1536" t="n"/>
      <c r="AE589" s="1536" t="n"/>
      <c r="AF589" s="1536" t="n"/>
      <c r="AG589" s="1536" t="n"/>
      <c r="AH589" s="1535" t="n"/>
      <c r="AI589" s="1536" t="n"/>
      <c r="AJ589" s="1536" t="n"/>
      <c r="AK589" s="1674" t="n"/>
      <c r="AL589" s="1536" t="n"/>
      <c r="AM589" s="1529" t="n"/>
      <c r="AN589" s="1536" t="n"/>
      <c r="AO589" s="1536" t="n"/>
      <c r="AP589" s="1536" t="n"/>
      <c r="AQ589" s="1536" t="n"/>
      <c r="AR589" s="1529" t="n"/>
      <c r="AS589" s="1529" t="n"/>
      <c r="AT589" s="1529" t="n"/>
      <c r="AU589" s="1529" t="n"/>
      <c r="AV589" s="1446" t="n"/>
    </row>
    <row r="590" ht="14.4" customFormat="1" customHeight="1" s="1438">
      <c r="A590" s="1439">
        <f>A526</f>
        <v/>
      </c>
      <c r="B590" s="1695" t="n"/>
      <c r="C590" s="1535" t="n"/>
      <c r="D590" s="1535" t="n"/>
      <c r="E590" s="1535" t="n"/>
      <c r="F590" s="1535" t="n"/>
      <c r="G590" s="1535" t="n"/>
      <c r="H590" s="1535" t="n"/>
      <c r="I590" s="1535" t="n"/>
      <c r="J590" s="1535" t="n"/>
      <c r="K590" s="1535" t="n"/>
      <c r="L590" s="1535" t="n"/>
      <c r="M590" s="1535" t="n"/>
      <c r="N590" s="1535" t="n"/>
      <c r="O590" s="1536" t="n"/>
      <c r="P590" s="1536" t="n"/>
      <c r="Q590" s="1536" t="n"/>
      <c r="R590" s="1536" t="n"/>
      <c r="S590" s="1535" t="n"/>
      <c r="T590" s="1536" t="n"/>
      <c r="U590" s="1536" t="n"/>
      <c r="V590" s="1536" t="n"/>
      <c r="W590" s="1536" t="n"/>
      <c r="X590" s="1535" t="n"/>
      <c r="Y590" s="1536" t="n"/>
      <c r="Z590" s="1536" t="n"/>
      <c r="AA590" s="1536" t="n"/>
      <c r="AB590" s="1536" t="n"/>
      <c r="AC590" s="1535" t="n"/>
      <c r="AD590" s="1536" t="n"/>
      <c r="AE590" s="1536" t="n"/>
      <c r="AF590" s="1536" t="n"/>
      <c r="AG590" s="1536" t="n"/>
      <c r="AH590" s="1535" t="n"/>
      <c r="AI590" s="1536" t="n"/>
      <c r="AJ590" s="1536" t="n"/>
      <c r="AK590" s="1674" t="n"/>
      <c r="AL590" s="1536" t="n"/>
      <c r="AM590" s="1529" t="n"/>
      <c r="AN590" s="1536" t="n"/>
      <c r="AO590" s="1536" t="n"/>
      <c r="AP590" s="1536" t="n"/>
      <c r="AQ590" s="1536" t="n"/>
      <c r="AR590" s="1529" t="n"/>
      <c r="AS590" s="1529" t="n"/>
      <c r="AT590" s="1529" t="n"/>
      <c r="AU590" s="1529" t="n"/>
      <c r="AV590" s="1446" t="n"/>
    </row>
    <row r="591" ht="14.4" customFormat="1" customHeight="1" s="1418">
      <c r="A591" s="1539">
        <f>A527</f>
        <v/>
      </c>
      <c r="B591" s="1698" t="n"/>
      <c r="C591" s="1529" t="n"/>
      <c r="D591" s="1529" t="n"/>
      <c r="E591" s="1529" t="n"/>
      <c r="F591" s="1529" t="n"/>
      <c r="G591" s="1529" t="n"/>
      <c r="H591" s="1529" t="n"/>
      <c r="I591" s="1529" t="n"/>
      <c r="J591" s="1529" t="n"/>
      <c r="K591" s="1529" t="n"/>
      <c r="L591" s="1529" t="n"/>
      <c r="M591" s="1529" t="n"/>
      <c r="N591" s="1529" t="n"/>
      <c r="O591" s="1420" t="n"/>
      <c r="P591" s="1420" t="n"/>
      <c r="Q591" s="1420" t="n"/>
      <c r="R591" s="1420" t="n"/>
      <c r="S591" s="1529" t="n"/>
      <c r="T591" s="1420" t="n"/>
      <c r="U591" s="1420" t="n"/>
      <c r="V591" s="1420" t="n"/>
      <c r="W591" s="1420" t="n"/>
      <c r="X591" s="1540">
        <f>X527</f>
        <v/>
      </c>
      <c r="Y591" s="1420" t="n"/>
      <c r="Z591" s="1420" t="n"/>
      <c r="AA591" s="1422">
        <f>AA527-Z527</f>
        <v/>
      </c>
      <c r="AB591" s="1422">
        <f>AB527-AA527</f>
        <v/>
      </c>
      <c r="AC591" s="1540">
        <f>AC527</f>
        <v/>
      </c>
      <c r="AD591" s="1420">
        <f>AD527</f>
        <v/>
      </c>
      <c r="AE591" s="1420">
        <f>AE527-AD527</f>
        <v/>
      </c>
      <c r="AF591" s="1422">
        <f>AF527-AE527</f>
        <v/>
      </c>
      <c r="AG591" s="1422">
        <f>AG527-AF527</f>
        <v/>
      </c>
      <c r="AH591" s="1540">
        <f>AH527</f>
        <v/>
      </c>
      <c r="AI591" s="1420">
        <f>AI527</f>
        <v/>
      </c>
      <c r="AJ591" s="1420">
        <f>AJ527-AI527</f>
        <v/>
      </c>
      <c r="AK591" s="1541">
        <f>AK527-AJ527</f>
        <v/>
      </c>
      <c r="AL591" s="1422">
        <f>AL436</f>
        <v/>
      </c>
      <c r="AM591" s="1540">
        <f>SUM(AI591,AJ591,AK591,AL591)</f>
        <v/>
      </c>
      <c r="AN591" s="1422">
        <f>AN436</f>
        <v/>
      </c>
      <c r="AO591" s="1422">
        <f>AO436</f>
        <v/>
      </c>
      <c r="AP591" s="1422">
        <f>AP436</f>
        <v/>
      </c>
      <c r="AQ591" s="1422">
        <f>AQ436</f>
        <v/>
      </c>
      <c r="AR591" s="1540">
        <f>SUM(AN591,AO591,AP591,AQ591)</f>
        <v/>
      </c>
      <c r="AS591" s="1540">
        <f>AS436</f>
        <v/>
      </c>
      <c r="AT591" s="1540">
        <f>AT436</f>
        <v/>
      </c>
      <c r="AU591" s="1540">
        <f>AU436</f>
        <v/>
      </c>
      <c r="AV591" s="1422" t="n"/>
    </row>
    <row r="592" ht="14.4" customFormat="1" customHeight="1" s="1418">
      <c r="A592" s="1539">
        <f>A528</f>
        <v/>
      </c>
      <c r="B592" s="1698" t="n"/>
      <c r="C592" s="1529" t="n"/>
      <c r="D592" s="1529" t="n"/>
      <c r="E592" s="1529" t="n"/>
      <c r="F592" s="1529" t="n"/>
      <c r="G592" s="1529" t="n"/>
      <c r="H592" s="1529" t="n"/>
      <c r="I592" s="1529" t="n"/>
      <c r="J592" s="1529" t="n"/>
      <c r="K592" s="1529" t="n"/>
      <c r="L592" s="1529" t="n"/>
      <c r="M592" s="1529" t="n"/>
      <c r="N592" s="1529" t="n"/>
      <c r="O592" s="1420" t="n"/>
      <c r="P592" s="1420" t="n"/>
      <c r="Q592" s="1420" t="n"/>
      <c r="R592" s="1420" t="n"/>
      <c r="S592" s="1529" t="n"/>
      <c r="T592" s="1420" t="n"/>
      <c r="U592" s="1420" t="n"/>
      <c r="V592" s="1420" t="n"/>
      <c r="W592" s="1420" t="n"/>
      <c r="X592" s="1540">
        <f>X528</f>
        <v/>
      </c>
      <c r="Y592" s="1420" t="n"/>
      <c r="Z592" s="1420" t="n"/>
      <c r="AA592" s="1422">
        <f>AA528-Z528</f>
        <v/>
      </c>
      <c r="AB592" s="1422">
        <f>AB528-AA528</f>
        <v/>
      </c>
      <c r="AC592" s="1540">
        <f>AC528</f>
        <v/>
      </c>
      <c r="AD592" s="1420">
        <f>AD528</f>
        <v/>
      </c>
      <c r="AE592" s="1420">
        <f>AE528-AD528</f>
        <v/>
      </c>
      <c r="AF592" s="1422">
        <f>AF528-AE528</f>
        <v/>
      </c>
      <c r="AG592" s="1422">
        <f>AG528-AF528</f>
        <v/>
      </c>
      <c r="AH592" s="1540">
        <f>AH528</f>
        <v/>
      </c>
      <c r="AI592" s="1420">
        <f>AI528</f>
        <v/>
      </c>
      <c r="AJ592" s="1420">
        <f>AJ528-AI528</f>
        <v/>
      </c>
      <c r="AK592" s="1541">
        <f>AK528-AJ528</f>
        <v/>
      </c>
      <c r="AL592" s="1420" t="n"/>
      <c r="AM592" s="1540">
        <f>SUM(AI592,AJ592,AK592,AL592)</f>
        <v/>
      </c>
      <c r="AN592" s="1420" t="n"/>
      <c r="AO592" s="1420" t="n"/>
      <c r="AP592" s="1420" t="n"/>
      <c r="AQ592" s="1420" t="n"/>
      <c r="AR592" s="1540">
        <f>SUM(AN592,AO592,AP592,AQ592)</f>
        <v/>
      </c>
      <c r="AS592" s="1529" t="n"/>
      <c r="AT592" s="1529" t="n"/>
      <c r="AU592" s="1529" t="n"/>
      <c r="AV592" s="1422" t="n"/>
    </row>
    <row r="593" ht="14.4" customFormat="1" customHeight="1" s="1418">
      <c r="A593" s="1539">
        <f>A529</f>
        <v/>
      </c>
      <c r="B593" s="1698" t="n"/>
      <c r="C593" s="1529" t="n"/>
      <c r="D593" s="1529" t="n"/>
      <c r="E593" s="1529" t="n"/>
      <c r="F593" s="1529" t="n"/>
      <c r="G593" s="1529" t="n"/>
      <c r="H593" s="1529" t="n"/>
      <c r="I593" s="1529" t="n"/>
      <c r="J593" s="1529" t="n"/>
      <c r="K593" s="1529" t="n"/>
      <c r="L593" s="1529" t="n"/>
      <c r="M593" s="1529" t="n"/>
      <c r="N593" s="1529" t="n"/>
      <c r="O593" s="1420" t="n"/>
      <c r="P593" s="1420" t="n"/>
      <c r="Q593" s="1420" t="n"/>
      <c r="R593" s="1420" t="n"/>
      <c r="S593" s="1529" t="n"/>
      <c r="T593" s="1420" t="n"/>
      <c r="U593" s="1420" t="n"/>
      <c r="V593" s="1420" t="n"/>
      <c r="W593" s="1420" t="n"/>
      <c r="X593" s="1540">
        <f>X529</f>
        <v/>
      </c>
      <c r="Y593" s="1420" t="n"/>
      <c r="Z593" s="1420" t="n"/>
      <c r="AA593" s="1422">
        <f>AA529-Z529</f>
        <v/>
      </c>
      <c r="AB593" s="1422">
        <f>AB529-AA529</f>
        <v/>
      </c>
      <c r="AC593" s="1540">
        <f>AC529</f>
        <v/>
      </c>
      <c r="AD593" s="1420">
        <f>AD529</f>
        <v/>
      </c>
      <c r="AE593" s="1420">
        <f>AE529-AD529</f>
        <v/>
      </c>
      <c r="AF593" s="1422">
        <f>AF529-AE529</f>
        <v/>
      </c>
      <c r="AG593" s="1422">
        <f>AG529-AF529</f>
        <v/>
      </c>
      <c r="AH593" s="1540">
        <f>AH529</f>
        <v/>
      </c>
      <c r="AI593" s="1420">
        <f>AI529</f>
        <v/>
      </c>
      <c r="AJ593" s="1420">
        <f>AJ529-AI529</f>
        <v/>
      </c>
      <c r="AK593" s="1541">
        <f>AK529-AJ529</f>
        <v/>
      </c>
      <c r="AL593" s="1420" t="n"/>
      <c r="AM593" s="1540">
        <f>SUM(AI593,AJ593,AK593,AL593)</f>
        <v/>
      </c>
      <c r="AN593" s="1420" t="n"/>
      <c r="AO593" s="1420" t="n"/>
      <c r="AP593" s="1420" t="n"/>
      <c r="AQ593" s="1420" t="n"/>
      <c r="AR593" s="1540">
        <f>SUM(AN593,AO593,AP593,AQ593)</f>
        <v/>
      </c>
      <c r="AS593" s="1529" t="n"/>
      <c r="AT593" s="1529" t="n"/>
      <c r="AU593" s="1529" t="n"/>
      <c r="AV593" s="1422" t="n"/>
    </row>
    <row r="594" ht="14.4" customFormat="1" customHeight="1" s="1418">
      <c r="A594" s="1539">
        <f>A530</f>
        <v/>
      </c>
      <c r="B594" s="1698" t="n"/>
      <c r="C594" s="1529" t="n"/>
      <c r="D594" s="1529" t="n"/>
      <c r="E594" s="1529" t="n"/>
      <c r="F594" s="1529" t="n"/>
      <c r="G594" s="1529" t="n"/>
      <c r="H594" s="1529" t="n"/>
      <c r="I594" s="1529" t="n"/>
      <c r="J594" s="1529" t="n"/>
      <c r="K594" s="1529" t="n"/>
      <c r="L594" s="1529" t="n"/>
      <c r="M594" s="1529" t="n"/>
      <c r="N594" s="1529" t="n"/>
      <c r="O594" s="1420" t="n"/>
      <c r="P594" s="1420" t="n"/>
      <c r="Q594" s="1420" t="n"/>
      <c r="R594" s="1420" t="n"/>
      <c r="S594" s="1529" t="n"/>
      <c r="T594" s="1420" t="n"/>
      <c r="U594" s="1420" t="n"/>
      <c r="V594" s="1420" t="n"/>
      <c r="W594" s="1420" t="n"/>
      <c r="X594" s="1540">
        <f>X530</f>
        <v/>
      </c>
      <c r="Y594" s="1420" t="n"/>
      <c r="Z594" s="1420" t="n"/>
      <c r="AA594" s="1422">
        <f>AA530-Z530</f>
        <v/>
      </c>
      <c r="AB594" s="1422">
        <f>AB530-AA530</f>
        <v/>
      </c>
      <c r="AC594" s="1540">
        <f>AC530</f>
        <v/>
      </c>
      <c r="AD594" s="1420">
        <f>AD530</f>
        <v/>
      </c>
      <c r="AE594" s="1420">
        <f>AE530-AD530</f>
        <v/>
      </c>
      <c r="AF594" s="1422">
        <f>AF530-AE530</f>
        <v/>
      </c>
      <c r="AG594" s="1422">
        <f>AG530-AF530</f>
        <v/>
      </c>
      <c r="AH594" s="1540">
        <f>AH530</f>
        <v/>
      </c>
      <c r="AI594" s="1420">
        <f>AI530</f>
        <v/>
      </c>
      <c r="AJ594" s="1420">
        <f>AJ530-AI530</f>
        <v/>
      </c>
      <c r="AK594" s="1541">
        <f>AK530-AJ530</f>
        <v/>
      </c>
      <c r="AL594" s="1420" t="n"/>
      <c r="AM594" s="1540">
        <f>SUM(AI594,AJ594,AK594,AL594)</f>
        <v/>
      </c>
      <c r="AN594" s="1420" t="n"/>
      <c r="AO594" s="1420" t="n"/>
      <c r="AP594" s="1420" t="n"/>
      <c r="AQ594" s="1420" t="n"/>
      <c r="AR594" s="1540">
        <f>SUM(AN594,AO594,AP594,AQ594)</f>
        <v/>
      </c>
      <c r="AS594" s="1529" t="n"/>
      <c r="AT594" s="1529" t="n"/>
      <c r="AU594" s="1529" t="n"/>
      <c r="AV594" s="1422" t="n"/>
    </row>
    <row r="595" ht="14.4" customFormat="1" customHeight="1" s="1418">
      <c r="A595" s="1539">
        <f>A531</f>
        <v/>
      </c>
      <c r="B595" s="1698" t="n"/>
      <c r="C595" s="1529" t="n"/>
      <c r="D595" s="1529" t="n"/>
      <c r="E595" s="1529" t="n"/>
      <c r="F595" s="1529" t="n"/>
      <c r="G595" s="1529" t="n"/>
      <c r="H595" s="1529" t="n"/>
      <c r="I595" s="1529" t="n"/>
      <c r="J595" s="1529" t="n"/>
      <c r="K595" s="1529" t="n"/>
      <c r="L595" s="1529" t="n"/>
      <c r="M595" s="1529" t="n"/>
      <c r="N595" s="1529" t="n"/>
      <c r="O595" s="1420" t="n"/>
      <c r="P595" s="1420" t="n"/>
      <c r="Q595" s="1420" t="n"/>
      <c r="R595" s="1420" t="n"/>
      <c r="S595" s="1529" t="n"/>
      <c r="T595" s="1420" t="n"/>
      <c r="U595" s="1420" t="n"/>
      <c r="V595" s="1420" t="n"/>
      <c r="W595" s="1420" t="n"/>
      <c r="X595" s="1540">
        <f>X531</f>
        <v/>
      </c>
      <c r="Y595" s="1420" t="n"/>
      <c r="Z595" s="1420" t="n"/>
      <c r="AA595" s="1422">
        <f>AA531-Z531</f>
        <v/>
      </c>
      <c r="AB595" s="1422">
        <f>AB531-AA531</f>
        <v/>
      </c>
      <c r="AC595" s="1540">
        <f>AC531</f>
        <v/>
      </c>
      <c r="AD595" s="1420">
        <f>AD531</f>
        <v/>
      </c>
      <c r="AE595" s="1420">
        <f>AE531-AD531</f>
        <v/>
      </c>
      <c r="AF595" s="1422">
        <f>AF531-AE531</f>
        <v/>
      </c>
      <c r="AG595" s="1422">
        <f>AG531-AF531</f>
        <v/>
      </c>
      <c r="AH595" s="1540">
        <f>AH531</f>
        <v/>
      </c>
      <c r="AI595" s="1420">
        <f>AI531</f>
        <v/>
      </c>
      <c r="AJ595" s="1420">
        <f>AJ531-AI531</f>
        <v/>
      </c>
      <c r="AK595" s="1541">
        <f>AK531-AJ531</f>
        <v/>
      </c>
      <c r="AL595" s="1420" t="n"/>
      <c r="AM595" s="1540">
        <f>SUM(AI595,AJ595,AK595,AL595)</f>
        <v/>
      </c>
      <c r="AN595" s="1420" t="n"/>
      <c r="AO595" s="1420" t="n"/>
      <c r="AP595" s="1420" t="n"/>
      <c r="AQ595" s="1420" t="n"/>
      <c r="AR595" s="1540">
        <f>SUM(AN595,AO595,AP595,AQ595)</f>
        <v/>
      </c>
      <c r="AS595" s="1529" t="n"/>
      <c r="AT595" s="1529" t="n"/>
      <c r="AU595" s="1529" t="n"/>
      <c r="AV595" s="1422" t="n"/>
    </row>
    <row r="596" ht="14.4" customFormat="1" customHeight="1" s="1418">
      <c r="A596" s="1539">
        <f>A532</f>
        <v/>
      </c>
      <c r="B596" s="1698" t="n"/>
      <c r="C596" s="1529" t="n"/>
      <c r="D596" s="1529" t="n"/>
      <c r="E596" s="1529" t="n"/>
      <c r="F596" s="1529" t="n"/>
      <c r="G596" s="1529" t="n"/>
      <c r="H596" s="1529" t="n"/>
      <c r="I596" s="1529" t="n"/>
      <c r="J596" s="1529" t="n"/>
      <c r="K596" s="1529" t="n"/>
      <c r="L596" s="1529" t="n"/>
      <c r="M596" s="1529" t="n"/>
      <c r="N596" s="1529" t="n"/>
      <c r="O596" s="1420" t="n"/>
      <c r="P596" s="1420" t="n"/>
      <c r="Q596" s="1420" t="n"/>
      <c r="R596" s="1420" t="n"/>
      <c r="S596" s="1529" t="n"/>
      <c r="T596" s="1420" t="n"/>
      <c r="U596" s="1420" t="n"/>
      <c r="V596" s="1420" t="n"/>
      <c r="W596" s="1420" t="n"/>
      <c r="X596" s="1540">
        <f>X532</f>
        <v/>
      </c>
      <c r="Y596" s="1420" t="n"/>
      <c r="Z596" s="1420" t="n"/>
      <c r="AA596" s="1422">
        <f>AA532-Z532</f>
        <v/>
      </c>
      <c r="AB596" s="1422">
        <f>AB532-AA532</f>
        <v/>
      </c>
      <c r="AC596" s="1540">
        <f>AC532</f>
        <v/>
      </c>
      <c r="AD596" s="1420">
        <f>AD532</f>
        <v/>
      </c>
      <c r="AE596" s="1420">
        <f>AE532-AD532</f>
        <v/>
      </c>
      <c r="AF596" s="1422">
        <f>AF532-AE532</f>
        <v/>
      </c>
      <c r="AG596" s="1422">
        <f>AG532-AF532</f>
        <v/>
      </c>
      <c r="AH596" s="1540">
        <f>AH532</f>
        <v/>
      </c>
      <c r="AI596" s="1420">
        <f>AI532</f>
        <v/>
      </c>
      <c r="AJ596" s="1420">
        <f>AJ532-AI532</f>
        <v/>
      </c>
      <c r="AK596" s="1541">
        <f>AK532-AJ532</f>
        <v/>
      </c>
      <c r="AL596" s="1420" t="n"/>
      <c r="AM596" s="1540">
        <f>SUM(AI596,AJ596,AK596,AL596)</f>
        <v/>
      </c>
      <c r="AN596" s="1420" t="n"/>
      <c r="AO596" s="1420" t="n"/>
      <c r="AP596" s="1420" t="n"/>
      <c r="AQ596" s="1420" t="n"/>
      <c r="AR596" s="1540">
        <f>SUM(AN596,AO596,AP596,AQ596)</f>
        <v/>
      </c>
      <c r="AS596" s="1529" t="n"/>
      <c r="AT596" s="1529" t="n"/>
      <c r="AU596" s="1529" t="n"/>
      <c r="AV596" s="1422" t="n"/>
    </row>
    <row r="597" ht="14.4" customFormat="1" customHeight="1" s="1418">
      <c r="A597" s="1539">
        <f>A533</f>
        <v/>
      </c>
      <c r="B597" s="1698" t="n"/>
      <c r="C597" s="1529" t="n"/>
      <c r="D597" s="1529" t="n"/>
      <c r="E597" s="1529" t="n"/>
      <c r="F597" s="1529" t="n"/>
      <c r="G597" s="1529" t="n"/>
      <c r="H597" s="1529" t="n"/>
      <c r="I597" s="1529" t="n"/>
      <c r="J597" s="1529" t="n"/>
      <c r="K597" s="1529" t="n"/>
      <c r="L597" s="1529" t="n"/>
      <c r="M597" s="1529" t="n"/>
      <c r="N597" s="1529" t="n"/>
      <c r="O597" s="1420" t="n"/>
      <c r="P597" s="1420" t="n"/>
      <c r="Q597" s="1420" t="n"/>
      <c r="R597" s="1420" t="n"/>
      <c r="S597" s="1529" t="n"/>
      <c r="T597" s="1420" t="n"/>
      <c r="U597" s="1420" t="n"/>
      <c r="V597" s="1420" t="n"/>
      <c r="W597" s="1420" t="n"/>
      <c r="X597" s="1540">
        <f>X533</f>
        <v/>
      </c>
      <c r="Y597" s="1420" t="n"/>
      <c r="Z597" s="1420" t="n"/>
      <c r="AA597" s="1422">
        <f>AA533-Z533</f>
        <v/>
      </c>
      <c r="AB597" s="1422">
        <f>AB533-AA533</f>
        <v/>
      </c>
      <c r="AC597" s="1540">
        <f>AC533</f>
        <v/>
      </c>
      <c r="AD597" s="1420">
        <f>AD533</f>
        <v/>
      </c>
      <c r="AE597" s="1420">
        <f>AE533-AD533</f>
        <v/>
      </c>
      <c r="AF597" s="1422">
        <f>AF533-AE533</f>
        <v/>
      </c>
      <c r="AG597" s="1422">
        <f>AG533-AF533</f>
        <v/>
      </c>
      <c r="AH597" s="1540">
        <f>AH533</f>
        <v/>
      </c>
      <c r="AI597" s="1420">
        <f>AI533</f>
        <v/>
      </c>
      <c r="AJ597" s="1420">
        <f>AJ533-AI533</f>
        <v/>
      </c>
      <c r="AK597" s="1541">
        <f>AK533-AJ533</f>
        <v/>
      </c>
      <c r="AL597" s="1420" t="n"/>
      <c r="AM597" s="1540">
        <f>SUM(AI597,AJ597,AK597,AL597)</f>
        <v/>
      </c>
      <c r="AN597" s="1420" t="n"/>
      <c r="AO597" s="1420" t="n"/>
      <c r="AP597" s="1420" t="n"/>
      <c r="AQ597" s="1420" t="n"/>
      <c r="AR597" s="1540">
        <f>SUM(AN597,AO597,AP597,AQ597)</f>
        <v/>
      </c>
      <c r="AS597" s="1529" t="n"/>
      <c r="AT597" s="1529" t="n"/>
      <c r="AU597" s="1529" t="n"/>
      <c r="AV597" s="1422" t="n"/>
    </row>
    <row r="598" ht="14.4" customFormat="1" customHeight="1" s="1418">
      <c r="A598" s="1539">
        <f>A534</f>
        <v/>
      </c>
      <c r="B598" s="1698" t="n"/>
      <c r="C598" s="1529" t="n"/>
      <c r="D598" s="1529" t="n"/>
      <c r="E598" s="1529" t="n"/>
      <c r="F598" s="1529" t="n"/>
      <c r="G598" s="1529" t="n"/>
      <c r="H598" s="1529" t="n"/>
      <c r="I598" s="1529" t="n"/>
      <c r="J598" s="1529" t="n"/>
      <c r="K598" s="1529" t="n"/>
      <c r="L598" s="1529" t="n"/>
      <c r="M598" s="1529" t="n"/>
      <c r="N598" s="1529" t="n"/>
      <c r="O598" s="1420" t="n"/>
      <c r="P598" s="1420" t="n"/>
      <c r="Q598" s="1420" t="n"/>
      <c r="R598" s="1420" t="n"/>
      <c r="S598" s="1529" t="n"/>
      <c r="T598" s="1420" t="n"/>
      <c r="U598" s="1420" t="n"/>
      <c r="V598" s="1420" t="n"/>
      <c r="W598" s="1420" t="n"/>
      <c r="X598" s="1540">
        <f>X534</f>
        <v/>
      </c>
      <c r="Y598" s="1420" t="n"/>
      <c r="Z598" s="1420" t="n"/>
      <c r="AA598" s="1422">
        <f>AA534-Z534</f>
        <v/>
      </c>
      <c r="AB598" s="1422">
        <f>AB534-AA534</f>
        <v/>
      </c>
      <c r="AC598" s="1540">
        <f>AC534</f>
        <v/>
      </c>
      <c r="AD598" s="1420">
        <f>AD534</f>
        <v/>
      </c>
      <c r="AE598" s="1420">
        <f>AE534-AD534</f>
        <v/>
      </c>
      <c r="AF598" s="1422">
        <f>AF534-AE534</f>
        <v/>
      </c>
      <c r="AG598" s="1422">
        <f>AG534-AF534</f>
        <v/>
      </c>
      <c r="AH598" s="1540">
        <f>AH534</f>
        <v/>
      </c>
      <c r="AI598" s="1420">
        <f>AI534</f>
        <v/>
      </c>
      <c r="AJ598" s="1420">
        <f>AJ534-AI534</f>
        <v/>
      </c>
      <c r="AK598" s="1541">
        <f>AK534-AJ534</f>
        <v/>
      </c>
      <c r="AL598" s="1420" t="n"/>
      <c r="AM598" s="1540">
        <f>SUM(AI598,AJ598,AK598,AL598)</f>
        <v/>
      </c>
      <c r="AN598" s="1420" t="n"/>
      <c r="AO598" s="1420" t="n"/>
      <c r="AP598" s="1420" t="n"/>
      <c r="AQ598" s="1420" t="n"/>
      <c r="AR598" s="1540">
        <f>SUM(AN598,AO598,AP598,AQ598)</f>
        <v/>
      </c>
      <c r="AS598" s="1529" t="n"/>
      <c r="AT598" s="1529" t="n"/>
      <c r="AU598" s="1529" t="n"/>
      <c r="AV598" s="1422" t="n"/>
    </row>
    <row r="599" ht="14.4" customFormat="1" customHeight="1" s="1418">
      <c r="A599" s="1539">
        <f>A535</f>
        <v/>
      </c>
      <c r="B599" s="1698" t="n"/>
      <c r="C599" s="1529" t="n"/>
      <c r="D599" s="1529" t="n"/>
      <c r="E599" s="1529" t="n"/>
      <c r="F599" s="1529" t="n"/>
      <c r="G599" s="1529" t="n"/>
      <c r="H599" s="1529" t="n"/>
      <c r="I599" s="1529" t="n"/>
      <c r="J599" s="1529" t="n"/>
      <c r="K599" s="1529" t="n"/>
      <c r="L599" s="1529" t="n"/>
      <c r="M599" s="1529" t="n"/>
      <c r="N599" s="1529" t="n"/>
      <c r="O599" s="1420" t="n"/>
      <c r="P599" s="1420" t="n"/>
      <c r="Q599" s="1420" t="n"/>
      <c r="R599" s="1420" t="n"/>
      <c r="S599" s="1529" t="n"/>
      <c r="T599" s="1420" t="n"/>
      <c r="U599" s="1420" t="n"/>
      <c r="V599" s="1420" t="n"/>
      <c r="W599" s="1420" t="n"/>
      <c r="X599" s="1540">
        <f>X535</f>
        <v/>
      </c>
      <c r="Y599" s="1420" t="n"/>
      <c r="Z599" s="1420" t="n"/>
      <c r="AA599" s="1422">
        <f>AA535-Z535</f>
        <v/>
      </c>
      <c r="AB599" s="1422">
        <f>AB535-AA535</f>
        <v/>
      </c>
      <c r="AC599" s="1540">
        <f>AC535</f>
        <v/>
      </c>
      <c r="AD599" s="1420">
        <f>AD535</f>
        <v/>
      </c>
      <c r="AE599" s="1420">
        <f>AE535-AD535</f>
        <v/>
      </c>
      <c r="AF599" s="1422">
        <f>AF535-AE535</f>
        <v/>
      </c>
      <c r="AG599" s="1422">
        <f>AG535-AF535</f>
        <v/>
      </c>
      <c r="AH599" s="1540">
        <f>AH535</f>
        <v/>
      </c>
      <c r="AI599" s="1420">
        <f>AI535</f>
        <v/>
      </c>
      <c r="AJ599" s="1420">
        <f>AJ535-AI535</f>
        <v/>
      </c>
      <c r="AK599" s="1541">
        <f>AK535-AJ535</f>
        <v/>
      </c>
      <c r="AL599" s="1422">
        <f>AL438</f>
        <v/>
      </c>
      <c r="AM599" s="1540">
        <f>SUM(AI599,AJ599,AK599,AL599)</f>
        <v/>
      </c>
      <c r="AN599" s="1422">
        <f>AN438</f>
        <v/>
      </c>
      <c r="AO599" s="1422">
        <f>AO438</f>
        <v/>
      </c>
      <c r="AP599" s="1422">
        <f>AP438</f>
        <v/>
      </c>
      <c r="AQ599" s="1422">
        <f>AQ438</f>
        <v/>
      </c>
      <c r="AR599" s="1540">
        <f>SUM(AN599,AO599,AP599,AQ599)</f>
        <v/>
      </c>
      <c r="AS599" s="1540">
        <f>AS438</f>
        <v/>
      </c>
      <c r="AT599" s="1540">
        <f>AT438</f>
        <v/>
      </c>
      <c r="AU599" s="1540">
        <f>AU438</f>
        <v/>
      </c>
      <c r="AV599" s="1422" t="n"/>
    </row>
    <row r="600" ht="14.4" customFormat="1" customHeight="1" s="1418">
      <c r="A600" s="1539">
        <f>A536</f>
        <v/>
      </c>
      <c r="B600" s="1698" t="n"/>
      <c r="C600" s="1529" t="n"/>
      <c r="D600" s="1529" t="n"/>
      <c r="E600" s="1529" t="n"/>
      <c r="F600" s="1529" t="n"/>
      <c r="G600" s="1529" t="n"/>
      <c r="H600" s="1529" t="n"/>
      <c r="I600" s="1529" t="n"/>
      <c r="J600" s="1529" t="n"/>
      <c r="K600" s="1529" t="n"/>
      <c r="L600" s="1529" t="n"/>
      <c r="M600" s="1529" t="n"/>
      <c r="N600" s="1529" t="n"/>
      <c r="O600" s="1420" t="n"/>
      <c r="P600" s="1420" t="n"/>
      <c r="Q600" s="1420" t="n"/>
      <c r="R600" s="1420" t="n"/>
      <c r="S600" s="1529" t="n"/>
      <c r="T600" s="1420" t="n"/>
      <c r="U600" s="1420" t="n"/>
      <c r="V600" s="1420" t="n"/>
      <c r="W600" s="1420" t="n"/>
      <c r="X600" s="1540">
        <f>X536</f>
        <v/>
      </c>
      <c r="Y600" s="1420" t="n"/>
      <c r="Z600" s="1420" t="n"/>
      <c r="AA600" s="1422">
        <f>AA536-Z536</f>
        <v/>
      </c>
      <c r="AB600" s="1422">
        <f>AB536-AA536</f>
        <v/>
      </c>
      <c r="AC600" s="1540">
        <f>AC536</f>
        <v/>
      </c>
      <c r="AD600" s="1420">
        <f>AD536</f>
        <v/>
      </c>
      <c r="AE600" s="1420">
        <f>AE536-AD536</f>
        <v/>
      </c>
      <c r="AF600" s="1422">
        <f>AF536-AE536</f>
        <v/>
      </c>
      <c r="AG600" s="1422">
        <f>AG536-AF536</f>
        <v/>
      </c>
      <c r="AH600" s="1540">
        <f>AH536</f>
        <v/>
      </c>
      <c r="AI600" s="1420">
        <f>AI536</f>
        <v/>
      </c>
      <c r="AJ600" s="1420">
        <f>AJ536-AI536</f>
        <v/>
      </c>
      <c r="AK600" s="1541">
        <f>AK536-AJ536</f>
        <v/>
      </c>
      <c r="AL600" s="1422">
        <f>AL439</f>
        <v/>
      </c>
      <c r="AM600" s="1540">
        <f>SUM(AI600,AJ600,AK600,AL600)</f>
        <v/>
      </c>
      <c r="AN600" s="1422">
        <f>AN439</f>
        <v/>
      </c>
      <c r="AO600" s="1422">
        <f>AO439</f>
        <v/>
      </c>
      <c r="AP600" s="1422">
        <f>AP439</f>
        <v/>
      </c>
      <c r="AQ600" s="1422">
        <f>AQ439</f>
        <v/>
      </c>
      <c r="AR600" s="1540">
        <f>SUM(AN600,AO600,AP600,AQ600)</f>
        <v/>
      </c>
      <c r="AS600" s="1540">
        <f>AS439</f>
        <v/>
      </c>
      <c r="AT600" s="1540">
        <f>AT439</f>
        <v/>
      </c>
      <c r="AU600" s="1540">
        <f>AU439</f>
        <v/>
      </c>
      <c r="AV600" s="1422" t="n"/>
    </row>
    <row r="601" ht="14.4" customFormat="1" customHeight="1" s="1418">
      <c r="A601" s="1539">
        <f>A537</f>
        <v/>
      </c>
      <c r="B601" s="1698" t="n"/>
      <c r="C601" s="1529" t="n"/>
      <c r="D601" s="1529" t="n"/>
      <c r="E601" s="1529" t="n"/>
      <c r="F601" s="1529" t="n"/>
      <c r="G601" s="1529" t="n"/>
      <c r="H601" s="1529" t="n"/>
      <c r="I601" s="1529" t="n"/>
      <c r="J601" s="1529" t="n"/>
      <c r="K601" s="1529" t="n"/>
      <c r="L601" s="1529" t="n"/>
      <c r="M601" s="1529" t="n"/>
      <c r="N601" s="1529" t="n"/>
      <c r="O601" s="1420" t="n"/>
      <c r="P601" s="1420" t="n"/>
      <c r="Q601" s="1420" t="n"/>
      <c r="R601" s="1420" t="n"/>
      <c r="S601" s="1529" t="n"/>
      <c r="T601" s="1420" t="n"/>
      <c r="U601" s="1420" t="n"/>
      <c r="V601" s="1420" t="n"/>
      <c r="W601" s="1420" t="n"/>
      <c r="X601" s="1540">
        <f>X537</f>
        <v/>
      </c>
      <c r="Y601" s="1420" t="n"/>
      <c r="Z601" s="1420" t="n"/>
      <c r="AA601" s="1422">
        <f>AA537-Z537</f>
        <v/>
      </c>
      <c r="AB601" s="1422">
        <f>AB537-AA537</f>
        <v/>
      </c>
      <c r="AC601" s="1540">
        <f>AC537</f>
        <v/>
      </c>
      <c r="AD601" s="1420">
        <f>AD537</f>
        <v/>
      </c>
      <c r="AE601" s="1420">
        <f>AE537-AD537</f>
        <v/>
      </c>
      <c r="AF601" s="1422">
        <f>AF537-AE537</f>
        <v/>
      </c>
      <c r="AG601" s="1422">
        <f>AG537-AF537</f>
        <v/>
      </c>
      <c r="AH601" s="1540">
        <f>AH537</f>
        <v/>
      </c>
      <c r="AI601" s="1420">
        <f>AI537</f>
        <v/>
      </c>
      <c r="AJ601" s="1420">
        <f>AJ537-AI537</f>
        <v/>
      </c>
      <c r="AK601" s="1541">
        <f>AK537-AJ537</f>
        <v/>
      </c>
      <c r="AL601" s="1420" t="n"/>
      <c r="AM601" s="1540">
        <f>SUM(AI601,AJ601,AK601,AL601)</f>
        <v/>
      </c>
      <c r="AN601" s="1420" t="n"/>
      <c r="AO601" s="1420" t="n"/>
      <c r="AP601" s="1420" t="n"/>
      <c r="AQ601" s="1420" t="n"/>
      <c r="AR601" s="1540">
        <f>SUM(AN601,AO601,AP601,AQ601)</f>
        <v/>
      </c>
      <c r="AS601" s="1529" t="n"/>
      <c r="AT601" s="1529" t="n"/>
      <c r="AU601" s="1529" t="n"/>
      <c r="AV601" s="1422" t="n"/>
    </row>
    <row r="602" ht="14.4" customFormat="1" customHeight="1" s="1438">
      <c r="A602" s="1542">
        <f>A538</f>
        <v/>
      </c>
      <c r="B602" s="1699" t="n"/>
      <c r="C602" s="1544" t="n"/>
      <c r="D602" s="1544" t="n"/>
      <c r="E602" s="1544" t="n"/>
      <c r="F602" s="1544" t="n"/>
      <c r="G602" s="1544" t="n"/>
      <c r="H602" s="1544" t="n"/>
      <c r="I602" s="1544" t="n"/>
      <c r="J602" s="1544" t="n"/>
      <c r="K602" s="1544" t="n"/>
      <c r="L602" s="1544" t="n"/>
      <c r="M602" s="1544" t="n"/>
      <c r="N602" s="1544" t="n"/>
      <c r="O602" s="1545" t="n"/>
      <c r="P602" s="1545" t="n"/>
      <c r="Q602" s="1545" t="n"/>
      <c r="R602" s="1545" t="n"/>
      <c r="S602" s="1544" t="n"/>
      <c r="T602" s="1545" t="n"/>
      <c r="U602" s="1545" t="n"/>
      <c r="V602" s="1545" t="n"/>
      <c r="W602" s="1545" t="n"/>
      <c r="X602" s="1546">
        <f>SUM(X591:X601)</f>
        <v/>
      </c>
      <c r="Y602" s="1545" t="n"/>
      <c r="Z602" s="1545" t="n"/>
      <c r="AA602" s="1547">
        <f>SUM(AA591:AA601)</f>
        <v/>
      </c>
      <c r="AB602" s="1547">
        <f>SUM(AB591:AB601)</f>
        <v/>
      </c>
      <c r="AC602" s="1546">
        <f>SUM(AC591:AC601)</f>
        <v/>
      </c>
      <c r="AD602" s="1545">
        <f>SUM(AD591:AD601)</f>
        <v/>
      </c>
      <c r="AE602" s="1545">
        <f>SUM(AE591:AE601)</f>
        <v/>
      </c>
      <c r="AF602" s="1547">
        <f>SUM(AF591:AF601)</f>
        <v/>
      </c>
      <c r="AG602" s="1547">
        <f>SUM(AG591:AG601)</f>
        <v/>
      </c>
      <c r="AH602" s="1546">
        <f>SUM(AH591:AH601)</f>
        <v/>
      </c>
      <c r="AI602" s="1545">
        <f>SUM(AI591:AI601)</f>
        <v/>
      </c>
      <c r="AJ602" s="1545">
        <f>SUM(AJ591:AJ601)</f>
        <v/>
      </c>
      <c r="AK602" s="1548">
        <f>SUM(AK591:AK601)</f>
        <v/>
      </c>
      <c r="AL602" s="1547">
        <f>SUM(AL591:AL601)</f>
        <v/>
      </c>
      <c r="AM602" s="1546">
        <f>SUM(AM591:AM601)</f>
        <v/>
      </c>
      <c r="AN602" s="1547">
        <f>SUM(AN591:AN601)</f>
        <v/>
      </c>
      <c r="AO602" s="1547">
        <f>SUM(AO591:AO601)</f>
        <v/>
      </c>
      <c r="AP602" s="1547">
        <f>SUM(AP591:AP601)</f>
        <v/>
      </c>
      <c r="AQ602" s="1547">
        <f>SUM(AQ591:AQ601)</f>
        <v/>
      </c>
      <c r="AR602" s="1546">
        <f>SUM(AR591:AR601)</f>
        <v/>
      </c>
      <c r="AS602" s="1546">
        <f>SUM(AS591:AS601)</f>
        <v/>
      </c>
      <c r="AT602" s="1546">
        <f>SUM(AT591:AT601)</f>
        <v/>
      </c>
      <c r="AU602" s="1546">
        <f>SUM(AU591:AU601)</f>
        <v/>
      </c>
      <c r="AV602" s="1446" t="n"/>
    </row>
    <row r="603" ht="14.4" customFormat="1" customHeight="1" s="1438">
      <c r="A603" s="1513" t="n"/>
      <c r="B603" s="1695" t="n"/>
      <c r="C603" s="1535" t="n"/>
      <c r="D603" s="1535" t="n"/>
      <c r="E603" s="1535" t="n"/>
      <c r="F603" s="1535" t="n"/>
      <c r="G603" s="1535" t="n"/>
      <c r="H603" s="1535" t="n"/>
      <c r="I603" s="1535" t="n"/>
      <c r="J603" s="1535" t="n"/>
      <c r="K603" s="1535" t="n"/>
      <c r="L603" s="1535" t="n"/>
      <c r="M603" s="1535" t="n"/>
      <c r="N603" s="1535" t="n"/>
      <c r="O603" s="1536" t="n"/>
      <c r="P603" s="1536" t="n"/>
      <c r="Q603" s="1536" t="n"/>
      <c r="R603" s="1536" t="n"/>
      <c r="S603" s="1535" t="n"/>
      <c r="T603" s="1536" t="n"/>
      <c r="U603" s="1536" t="n"/>
      <c r="V603" s="1536" t="n"/>
      <c r="W603" s="1536" t="n"/>
      <c r="X603" s="1535" t="n"/>
      <c r="Y603" s="1536" t="n"/>
      <c r="Z603" s="1536" t="n"/>
      <c r="AA603" s="1536" t="n"/>
      <c r="AB603" s="1536" t="n"/>
      <c r="AC603" s="1535" t="n"/>
      <c r="AD603" s="1536" t="n"/>
      <c r="AE603" s="1536" t="n"/>
      <c r="AF603" s="1536" t="n"/>
      <c r="AG603" s="1536" t="n"/>
      <c r="AH603" s="1535" t="n"/>
      <c r="AI603" s="1536" t="n"/>
      <c r="AJ603" s="1536" t="n"/>
      <c r="AK603" s="1674" t="n"/>
      <c r="AL603" s="1536" t="n"/>
      <c r="AM603" s="1529" t="n"/>
      <c r="AN603" s="1536" t="n"/>
      <c r="AO603" s="1536" t="n"/>
      <c r="AP603" s="1536" t="n"/>
      <c r="AQ603" s="1536" t="n"/>
      <c r="AR603" s="1529" t="n"/>
      <c r="AS603" s="1529" t="n"/>
      <c r="AT603" s="1529" t="n"/>
      <c r="AU603" s="1529" t="n"/>
      <c r="AV603" s="1446" t="n"/>
    </row>
    <row r="604" ht="14.4" customFormat="1" customHeight="1" s="1438">
      <c r="A604" s="1439">
        <f>A540</f>
        <v/>
      </c>
      <c r="B604" s="1695" t="n"/>
      <c r="C604" s="1535" t="n"/>
      <c r="D604" s="1535" t="n"/>
      <c r="E604" s="1535" t="n"/>
      <c r="F604" s="1535" t="n"/>
      <c r="G604" s="1535" t="n"/>
      <c r="H604" s="1535" t="n"/>
      <c r="I604" s="1535" t="n"/>
      <c r="J604" s="1535" t="n"/>
      <c r="K604" s="1535" t="n"/>
      <c r="L604" s="1535" t="n"/>
      <c r="M604" s="1535" t="n"/>
      <c r="N604" s="1535" t="n"/>
      <c r="O604" s="1536" t="n"/>
      <c r="P604" s="1536" t="n"/>
      <c r="Q604" s="1536" t="n"/>
      <c r="R604" s="1536" t="n"/>
      <c r="S604" s="1535" t="n"/>
      <c r="T604" s="1536" t="n"/>
      <c r="U604" s="1536" t="n"/>
      <c r="V604" s="1536" t="n"/>
      <c r="W604" s="1536" t="n"/>
      <c r="X604" s="1535" t="n"/>
      <c r="Y604" s="1536" t="n"/>
      <c r="Z604" s="1536" t="n"/>
      <c r="AA604" s="1536" t="n"/>
      <c r="AB604" s="1536" t="n"/>
      <c r="AC604" s="1535" t="n"/>
      <c r="AD604" s="1536" t="n"/>
      <c r="AE604" s="1536" t="n"/>
      <c r="AF604" s="1536" t="n"/>
      <c r="AG604" s="1536" t="n"/>
      <c r="AH604" s="1535" t="n"/>
      <c r="AI604" s="1536" t="n"/>
      <c r="AJ604" s="1536" t="n"/>
      <c r="AK604" s="1674" t="n"/>
      <c r="AL604" s="1536" t="n"/>
      <c r="AM604" s="1529" t="n"/>
      <c r="AN604" s="1536" t="n"/>
      <c r="AO604" s="1536" t="n"/>
      <c r="AP604" s="1536" t="n"/>
      <c r="AQ604" s="1536" t="n"/>
      <c r="AR604" s="1529" t="n"/>
      <c r="AS604" s="1529" t="n"/>
      <c r="AT604" s="1529" t="n"/>
      <c r="AU604" s="1529" t="n"/>
      <c r="AV604" s="1446" t="n"/>
    </row>
    <row r="605" ht="14.4" customFormat="1" customHeight="1" s="1418">
      <c r="A605" s="1539">
        <f>A541</f>
        <v/>
      </c>
      <c r="B605" s="1698" t="n"/>
      <c r="C605" s="1529" t="n"/>
      <c r="D605" s="1529" t="n"/>
      <c r="E605" s="1529" t="n"/>
      <c r="F605" s="1529" t="n"/>
      <c r="G605" s="1529" t="n"/>
      <c r="H605" s="1529" t="n"/>
      <c r="I605" s="1529" t="n"/>
      <c r="J605" s="1529" t="n"/>
      <c r="K605" s="1529" t="n"/>
      <c r="L605" s="1529" t="n"/>
      <c r="M605" s="1529" t="n"/>
      <c r="N605" s="1529" t="n"/>
      <c r="O605" s="1420" t="n"/>
      <c r="P605" s="1420" t="n"/>
      <c r="Q605" s="1420" t="n"/>
      <c r="R605" s="1420" t="n"/>
      <c r="S605" s="1529" t="n"/>
      <c r="T605" s="1420" t="n"/>
      <c r="U605" s="1420" t="n"/>
      <c r="V605" s="1420" t="n"/>
      <c r="W605" s="1420" t="n"/>
      <c r="X605" s="1540">
        <f>X541</f>
        <v/>
      </c>
      <c r="Y605" s="1420" t="n"/>
      <c r="Z605" s="1420" t="n"/>
      <c r="AA605" s="1422">
        <f>AA541-Z541</f>
        <v/>
      </c>
      <c r="AB605" s="1422">
        <f>AB541-AA541</f>
        <v/>
      </c>
      <c r="AC605" s="1540">
        <f>AC541</f>
        <v/>
      </c>
      <c r="AD605" s="1420">
        <f>AD541</f>
        <v/>
      </c>
      <c r="AE605" s="1420">
        <f>AE541-AD541</f>
        <v/>
      </c>
      <c r="AF605" s="1422">
        <f>AF541-AE541</f>
        <v/>
      </c>
      <c r="AG605" s="1422">
        <f>AG541-AF541</f>
        <v/>
      </c>
      <c r="AH605" s="1540">
        <f>AH541</f>
        <v/>
      </c>
      <c r="AI605" s="1420">
        <f>AI541</f>
        <v/>
      </c>
      <c r="AJ605" s="1420">
        <f>AJ541-AI541</f>
        <v/>
      </c>
      <c r="AK605" s="1541">
        <f>AK541-AJ541</f>
        <v/>
      </c>
      <c r="AL605" s="1422">
        <f>AL443</f>
        <v/>
      </c>
      <c r="AM605" s="1540">
        <f>SUM(AI605,AJ605,AK605,AL605)</f>
        <v/>
      </c>
      <c r="AN605" s="1422">
        <f>AN443</f>
        <v/>
      </c>
      <c r="AO605" s="1422">
        <f>AO443</f>
        <v/>
      </c>
      <c r="AP605" s="1422">
        <f>AP443</f>
        <v/>
      </c>
      <c r="AQ605" s="1422">
        <f>AQ443</f>
        <v/>
      </c>
      <c r="AR605" s="1540">
        <f>SUM(AN605,AO605,AP605,AQ605)</f>
        <v/>
      </c>
      <c r="AS605" s="1540">
        <f>AS443</f>
        <v/>
      </c>
      <c r="AT605" s="1540">
        <f>AT443</f>
        <v/>
      </c>
      <c r="AU605" s="1540">
        <f>AU443</f>
        <v/>
      </c>
      <c r="AV605" s="1422" t="n"/>
    </row>
    <row r="606" ht="14.4" customFormat="1" customHeight="1" s="1418">
      <c r="A606" s="1539">
        <f>A542</f>
        <v/>
      </c>
      <c r="B606" s="1698" t="n"/>
      <c r="C606" s="1529" t="n"/>
      <c r="D606" s="1529" t="n"/>
      <c r="E606" s="1529" t="n"/>
      <c r="F606" s="1529" t="n"/>
      <c r="G606" s="1529" t="n"/>
      <c r="H606" s="1529" t="n"/>
      <c r="I606" s="1529" t="n"/>
      <c r="J606" s="1529" t="n"/>
      <c r="K606" s="1529" t="n"/>
      <c r="L606" s="1529" t="n"/>
      <c r="M606" s="1529" t="n"/>
      <c r="N606" s="1529" t="n"/>
      <c r="O606" s="1420" t="n"/>
      <c r="P606" s="1420" t="n"/>
      <c r="Q606" s="1420" t="n"/>
      <c r="R606" s="1420" t="n"/>
      <c r="S606" s="1529" t="n"/>
      <c r="T606" s="1420" t="n"/>
      <c r="U606" s="1420" t="n"/>
      <c r="V606" s="1420" t="n"/>
      <c r="W606" s="1420" t="n"/>
      <c r="X606" s="1540">
        <f>X542</f>
        <v/>
      </c>
      <c r="Y606" s="1420" t="n"/>
      <c r="Z606" s="1420" t="n"/>
      <c r="AA606" s="1422">
        <f>AA542-Z542</f>
        <v/>
      </c>
      <c r="AB606" s="1422">
        <f>AB542-AA542</f>
        <v/>
      </c>
      <c r="AC606" s="1540">
        <f>AC542</f>
        <v/>
      </c>
      <c r="AD606" s="1420">
        <f>AD542</f>
        <v/>
      </c>
      <c r="AE606" s="1420">
        <f>AE542-AD542</f>
        <v/>
      </c>
      <c r="AF606" s="1422">
        <f>AF542-AE542</f>
        <v/>
      </c>
      <c r="AG606" s="1422">
        <f>AG542-AF542</f>
        <v/>
      </c>
      <c r="AH606" s="1540">
        <f>AH542</f>
        <v/>
      </c>
      <c r="AI606" s="1420">
        <f>AI542</f>
        <v/>
      </c>
      <c r="AJ606" s="1420">
        <f>AJ542-AI542</f>
        <v/>
      </c>
      <c r="AK606" s="1541">
        <f>AK542-AJ542</f>
        <v/>
      </c>
      <c r="AL606" s="1420" t="n"/>
      <c r="AM606" s="1540">
        <f>SUM(AI606,AJ606,AK606,AL606)</f>
        <v/>
      </c>
      <c r="AN606" s="1420" t="n"/>
      <c r="AO606" s="1420" t="n"/>
      <c r="AP606" s="1420" t="n"/>
      <c r="AQ606" s="1420" t="n"/>
      <c r="AR606" s="1540">
        <f>SUM(AN606,AO606,AP606,AQ606)</f>
        <v/>
      </c>
      <c r="AS606" s="1529" t="n"/>
      <c r="AT606" s="1529" t="n"/>
      <c r="AU606" s="1529" t="n"/>
      <c r="AV606" s="1422" t="n"/>
    </row>
    <row r="607" ht="14.4" customFormat="1" customHeight="1" s="1418">
      <c r="A607" s="1539">
        <f>A543</f>
        <v/>
      </c>
      <c r="B607" s="1698" t="n"/>
      <c r="C607" s="1529" t="n"/>
      <c r="D607" s="1529" t="n"/>
      <c r="E607" s="1529" t="n"/>
      <c r="F607" s="1529" t="n"/>
      <c r="G607" s="1529" t="n"/>
      <c r="H607" s="1529" t="n"/>
      <c r="I607" s="1529" t="n"/>
      <c r="J607" s="1529" t="n"/>
      <c r="K607" s="1529" t="n"/>
      <c r="L607" s="1529" t="n"/>
      <c r="M607" s="1529" t="n"/>
      <c r="N607" s="1529" t="n"/>
      <c r="O607" s="1420" t="n"/>
      <c r="P607" s="1420" t="n"/>
      <c r="Q607" s="1420" t="n"/>
      <c r="R607" s="1420" t="n"/>
      <c r="S607" s="1529" t="n"/>
      <c r="T607" s="1420" t="n"/>
      <c r="U607" s="1420" t="n"/>
      <c r="V607" s="1420" t="n"/>
      <c r="W607" s="1420" t="n"/>
      <c r="X607" s="1540">
        <f>X543</f>
        <v/>
      </c>
      <c r="Y607" s="1420" t="n"/>
      <c r="Z607" s="1420" t="n"/>
      <c r="AA607" s="1422">
        <f>AA543-Z543</f>
        <v/>
      </c>
      <c r="AB607" s="1422">
        <f>AB543-AA543</f>
        <v/>
      </c>
      <c r="AC607" s="1540">
        <f>AC543</f>
        <v/>
      </c>
      <c r="AD607" s="1420">
        <f>AD543</f>
        <v/>
      </c>
      <c r="AE607" s="1420">
        <f>AE543-AD543</f>
        <v/>
      </c>
      <c r="AF607" s="1422">
        <f>AF543-AE543</f>
        <v/>
      </c>
      <c r="AG607" s="1422">
        <f>AG543-AF543</f>
        <v/>
      </c>
      <c r="AH607" s="1540">
        <f>AH543</f>
        <v/>
      </c>
      <c r="AI607" s="1420">
        <f>AI543</f>
        <v/>
      </c>
      <c r="AJ607" s="1420">
        <f>AJ543-AI543</f>
        <v/>
      </c>
      <c r="AK607" s="1541">
        <f>AK543-AJ543</f>
        <v/>
      </c>
      <c r="AL607" s="1420" t="n"/>
      <c r="AM607" s="1540">
        <f>SUM(AI607,AJ607,AK607,AL607)</f>
        <v/>
      </c>
      <c r="AN607" s="1420" t="n"/>
      <c r="AO607" s="1420" t="n"/>
      <c r="AP607" s="1420" t="n"/>
      <c r="AQ607" s="1420" t="n"/>
      <c r="AR607" s="1540">
        <f>SUM(AN607,AO607,AP607,AQ607)</f>
        <v/>
      </c>
      <c r="AS607" s="1529" t="n"/>
      <c r="AT607" s="1529" t="n"/>
      <c r="AU607" s="1529" t="n"/>
      <c r="AV607" s="1422" t="n"/>
    </row>
    <row r="608" ht="14.4" customFormat="1" customHeight="1" s="1418">
      <c r="A608" s="1539">
        <f>A544</f>
        <v/>
      </c>
      <c r="B608" s="1698" t="n"/>
      <c r="C608" s="1529" t="n"/>
      <c r="D608" s="1529" t="n"/>
      <c r="E608" s="1529" t="n"/>
      <c r="F608" s="1529" t="n"/>
      <c r="G608" s="1529" t="n"/>
      <c r="H608" s="1529" t="n"/>
      <c r="I608" s="1529" t="n"/>
      <c r="J608" s="1529" t="n"/>
      <c r="K608" s="1529" t="n"/>
      <c r="L608" s="1529" t="n"/>
      <c r="M608" s="1529" t="n"/>
      <c r="N608" s="1529" t="n"/>
      <c r="O608" s="1420" t="n"/>
      <c r="P608" s="1420" t="n"/>
      <c r="Q608" s="1420" t="n"/>
      <c r="R608" s="1420" t="n"/>
      <c r="S608" s="1529" t="n"/>
      <c r="T608" s="1420" t="n"/>
      <c r="U608" s="1420" t="n"/>
      <c r="V608" s="1420" t="n"/>
      <c r="W608" s="1420" t="n"/>
      <c r="X608" s="1540">
        <f>X544</f>
        <v/>
      </c>
      <c r="Y608" s="1420" t="n"/>
      <c r="Z608" s="1420" t="n"/>
      <c r="AA608" s="1422">
        <f>AA544-Z544</f>
        <v/>
      </c>
      <c r="AB608" s="1422">
        <f>AB544-AA544</f>
        <v/>
      </c>
      <c r="AC608" s="1540">
        <f>AC544</f>
        <v/>
      </c>
      <c r="AD608" s="1420">
        <f>AD544</f>
        <v/>
      </c>
      <c r="AE608" s="1420">
        <f>AE544-AD544</f>
        <v/>
      </c>
      <c r="AF608" s="1422">
        <f>AF544-AE544</f>
        <v/>
      </c>
      <c r="AG608" s="1422">
        <f>AG544-AF544</f>
        <v/>
      </c>
      <c r="AH608" s="1540">
        <f>AH544</f>
        <v/>
      </c>
      <c r="AI608" s="1420">
        <f>AI544</f>
        <v/>
      </c>
      <c r="AJ608" s="1420">
        <f>AJ544-AI544</f>
        <v/>
      </c>
      <c r="AK608" s="1541">
        <f>AK544-AJ544</f>
        <v/>
      </c>
      <c r="AL608" s="1420" t="n"/>
      <c r="AM608" s="1540">
        <f>SUM(AI608,AJ608,AK608,AL608)</f>
        <v/>
      </c>
      <c r="AN608" s="1420" t="n"/>
      <c r="AO608" s="1420" t="n"/>
      <c r="AP608" s="1420" t="n"/>
      <c r="AQ608" s="1420" t="n"/>
      <c r="AR608" s="1540">
        <f>SUM(AN608,AO608,AP608,AQ608)</f>
        <v/>
      </c>
      <c r="AS608" s="1529" t="n"/>
      <c r="AT608" s="1529" t="n"/>
      <c r="AU608" s="1529" t="n"/>
      <c r="AV608" s="1422" t="n"/>
    </row>
    <row r="609" ht="14.4" customFormat="1" customHeight="1" s="1418">
      <c r="A609" s="1539">
        <f>A545</f>
        <v/>
      </c>
      <c r="B609" s="1698" t="n"/>
      <c r="C609" s="1529" t="n"/>
      <c r="D609" s="1529" t="n"/>
      <c r="E609" s="1529" t="n"/>
      <c r="F609" s="1529" t="n"/>
      <c r="G609" s="1529" t="n"/>
      <c r="H609" s="1529" t="n"/>
      <c r="I609" s="1529" t="n"/>
      <c r="J609" s="1529" t="n"/>
      <c r="K609" s="1529" t="n"/>
      <c r="L609" s="1529" t="n"/>
      <c r="M609" s="1529" t="n"/>
      <c r="N609" s="1529" t="n"/>
      <c r="O609" s="1420" t="n"/>
      <c r="P609" s="1420" t="n"/>
      <c r="Q609" s="1420" t="n"/>
      <c r="R609" s="1420" t="n"/>
      <c r="S609" s="1529" t="n"/>
      <c r="T609" s="1420" t="n"/>
      <c r="U609" s="1420" t="n"/>
      <c r="V609" s="1420" t="n"/>
      <c r="W609" s="1420" t="n"/>
      <c r="X609" s="1540">
        <f>X545</f>
        <v/>
      </c>
      <c r="Y609" s="1420" t="n"/>
      <c r="Z609" s="1420" t="n"/>
      <c r="AA609" s="1422">
        <f>AA545-Z545</f>
        <v/>
      </c>
      <c r="AB609" s="1422">
        <f>AB545-AA545</f>
        <v/>
      </c>
      <c r="AC609" s="1540">
        <f>AC545</f>
        <v/>
      </c>
      <c r="AD609" s="1420">
        <f>AD545</f>
        <v/>
      </c>
      <c r="AE609" s="1420">
        <f>AE545-AD545</f>
        <v/>
      </c>
      <c r="AF609" s="1422">
        <f>AF545-AE545</f>
        <v/>
      </c>
      <c r="AG609" s="1422">
        <f>AG545-AF545</f>
        <v/>
      </c>
      <c r="AH609" s="1540">
        <f>AH545</f>
        <v/>
      </c>
      <c r="AI609" s="1420">
        <f>AI545</f>
        <v/>
      </c>
      <c r="AJ609" s="1420">
        <f>AJ545-AI545</f>
        <v/>
      </c>
      <c r="AK609" s="1541">
        <f>AK545-AJ545</f>
        <v/>
      </c>
      <c r="AL609" s="1420" t="n"/>
      <c r="AM609" s="1540">
        <f>SUM(AI609,AJ609,AK609,AL609)</f>
        <v/>
      </c>
      <c r="AN609" s="1420" t="n"/>
      <c r="AO609" s="1420" t="n"/>
      <c r="AP609" s="1420" t="n"/>
      <c r="AQ609" s="1420" t="n"/>
      <c r="AR609" s="1540">
        <f>SUM(AN609,AO609,AP609,AQ609)</f>
        <v/>
      </c>
      <c r="AS609" s="1529" t="n"/>
      <c r="AT609" s="1529" t="n"/>
      <c r="AU609" s="1529" t="n"/>
      <c r="AV609" s="1422" t="n"/>
    </row>
    <row r="610" ht="14.4" customFormat="1" customHeight="1" s="1418">
      <c r="A610" s="1539">
        <f>A546</f>
        <v/>
      </c>
      <c r="B610" s="1698" t="n"/>
      <c r="C610" s="1529" t="n"/>
      <c r="D610" s="1529" t="n"/>
      <c r="E610" s="1529" t="n"/>
      <c r="F610" s="1529" t="n"/>
      <c r="G610" s="1529" t="n"/>
      <c r="H610" s="1529" t="n"/>
      <c r="I610" s="1529" t="n"/>
      <c r="J610" s="1529" t="n"/>
      <c r="K610" s="1529" t="n"/>
      <c r="L610" s="1529" t="n"/>
      <c r="M610" s="1529" t="n"/>
      <c r="N610" s="1529" t="n"/>
      <c r="O610" s="1420" t="n"/>
      <c r="P610" s="1420" t="n"/>
      <c r="Q610" s="1420" t="n"/>
      <c r="R610" s="1420" t="n"/>
      <c r="S610" s="1529" t="n"/>
      <c r="T610" s="1420" t="n"/>
      <c r="U610" s="1420" t="n"/>
      <c r="V610" s="1420" t="n"/>
      <c r="W610" s="1420" t="n"/>
      <c r="X610" s="1540">
        <f>X546</f>
        <v/>
      </c>
      <c r="Y610" s="1420" t="n"/>
      <c r="Z610" s="1420" t="n"/>
      <c r="AA610" s="1422">
        <f>AA546-Z546</f>
        <v/>
      </c>
      <c r="AB610" s="1422">
        <f>AB546-AA546</f>
        <v/>
      </c>
      <c r="AC610" s="1540">
        <f>AC546</f>
        <v/>
      </c>
      <c r="AD610" s="1420">
        <f>AD546</f>
        <v/>
      </c>
      <c r="AE610" s="1420">
        <f>AE546-AD546</f>
        <v/>
      </c>
      <c r="AF610" s="1422">
        <f>AF546-AE546</f>
        <v/>
      </c>
      <c r="AG610" s="1422">
        <f>AG546-AF546</f>
        <v/>
      </c>
      <c r="AH610" s="1540">
        <f>AH546</f>
        <v/>
      </c>
      <c r="AI610" s="1420">
        <f>AI546</f>
        <v/>
      </c>
      <c r="AJ610" s="1420">
        <f>AJ546-AI546</f>
        <v/>
      </c>
      <c r="AK610" s="1541">
        <f>AK546-AJ546</f>
        <v/>
      </c>
      <c r="AL610" s="1420" t="n"/>
      <c r="AM610" s="1540">
        <f>SUM(AI610,AJ610,AK610,AL610)</f>
        <v/>
      </c>
      <c r="AN610" s="1420" t="n"/>
      <c r="AO610" s="1420" t="n"/>
      <c r="AP610" s="1420" t="n"/>
      <c r="AQ610" s="1420" t="n"/>
      <c r="AR610" s="1540">
        <f>SUM(AN610,AO610,AP610,AQ610)</f>
        <v/>
      </c>
      <c r="AS610" s="1529" t="n"/>
      <c r="AT610" s="1529" t="n"/>
      <c r="AU610" s="1529" t="n"/>
      <c r="AV610" s="1422" t="n"/>
    </row>
    <row r="611" ht="14.4" customFormat="1" customHeight="1" s="1418">
      <c r="A611" s="1539">
        <f>A547</f>
        <v/>
      </c>
      <c r="B611" s="1698" t="n"/>
      <c r="C611" s="1529" t="n"/>
      <c r="D611" s="1529" t="n"/>
      <c r="E611" s="1529" t="n"/>
      <c r="F611" s="1529" t="n"/>
      <c r="G611" s="1529" t="n"/>
      <c r="H611" s="1529" t="n"/>
      <c r="I611" s="1529" t="n"/>
      <c r="J611" s="1529" t="n"/>
      <c r="K611" s="1529" t="n"/>
      <c r="L611" s="1529" t="n"/>
      <c r="M611" s="1529" t="n"/>
      <c r="N611" s="1529" t="n"/>
      <c r="O611" s="1420" t="n"/>
      <c r="P611" s="1420" t="n"/>
      <c r="Q611" s="1420" t="n"/>
      <c r="R611" s="1420" t="n"/>
      <c r="S611" s="1529" t="n"/>
      <c r="T611" s="1420" t="n"/>
      <c r="U611" s="1420" t="n"/>
      <c r="V611" s="1420" t="n"/>
      <c r="W611" s="1420" t="n"/>
      <c r="X611" s="1540">
        <f>X547</f>
        <v/>
      </c>
      <c r="Y611" s="1420" t="n"/>
      <c r="Z611" s="1420" t="n"/>
      <c r="AA611" s="1422">
        <f>AA547-Z547</f>
        <v/>
      </c>
      <c r="AB611" s="1422">
        <f>AB547-AA547</f>
        <v/>
      </c>
      <c r="AC611" s="1540">
        <f>AC547</f>
        <v/>
      </c>
      <c r="AD611" s="1420">
        <f>AD547</f>
        <v/>
      </c>
      <c r="AE611" s="1420">
        <f>AE547-AD547</f>
        <v/>
      </c>
      <c r="AF611" s="1422">
        <f>AF547-AE547</f>
        <v/>
      </c>
      <c r="AG611" s="1422">
        <f>AG547-AF547</f>
        <v/>
      </c>
      <c r="AH611" s="1540">
        <f>AH547</f>
        <v/>
      </c>
      <c r="AI611" s="1420">
        <f>AI547</f>
        <v/>
      </c>
      <c r="AJ611" s="1420">
        <f>AJ547-AI547</f>
        <v/>
      </c>
      <c r="AK611" s="1541">
        <f>AK547-AJ547</f>
        <v/>
      </c>
      <c r="AL611" s="1420" t="n"/>
      <c r="AM611" s="1540">
        <f>SUM(AI611,AJ611,AK611,AL611)</f>
        <v/>
      </c>
      <c r="AN611" s="1420" t="n"/>
      <c r="AO611" s="1420" t="n"/>
      <c r="AP611" s="1420" t="n"/>
      <c r="AQ611" s="1420" t="n"/>
      <c r="AR611" s="1540">
        <f>SUM(AN611,AO611,AP611,AQ611)</f>
        <v/>
      </c>
      <c r="AS611" s="1529" t="n"/>
      <c r="AT611" s="1529" t="n"/>
      <c r="AU611" s="1529" t="n"/>
      <c r="AV611" s="1422" t="n"/>
    </row>
    <row r="612" ht="14.4" customFormat="1" customHeight="1" s="1418">
      <c r="A612" s="1539">
        <f>A548</f>
        <v/>
      </c>
      <c r="B612" s="1698" t="n"/>
      <c r="C612" s="1529" t="n"/>
      <c r="D612" s="1529" t="n"/>
      <c r="E612" s="1529" t="n"/>
      <c r="F612" s="1529" t="n"/>
      <c r="G612" s="1529" t="n"/>
      <c r="H612" s="1529" t="n"/>
      <c r="I612" s="1529" t="n"/>
      <c r="J612" s="1529" t="n"/>
      <c r="K612" s="1529" t="n"/>
      <c r="L612" s="1529" t="n"/>
      <c r="M612" s="1529" t="n"/>
      <c r="N612" s="1529" t="n"/>
      <c r="O612" s="1420" t="n"/>
      <c r="P612" s="1420" t="n"/>
      <c r="Q612" s="1420" t="n"/>
      <c r="R612" s="1420" t="n"/>
      <c r="S612" s="1529" t="n"/>
      <c r="T612" s="1420" t="n"/>
      <c r="U612" s="1420" t="n"/>
      <c r="V612" s="1420" t="n"/>
      <c r="W612" s="1420" t="n"/>
      <c r="X612" s="1540">
        <f>X548</f>
        <v/>
      </c>
      <c r="Y612" s="1420" t="n"/>
      <c r="Z612" s="1420" t="n"/>
      <c r="AA612" s="1422">
        <f>AA548-Z548</f>
        <v/>
      </c>
      <c r="AB612" s="1422">
        <f>AB548-AA548</f>
        <v/>
      </c>
      <c r="AC612" s="1540">
        <f>AC548</f>
        <v/>
      </c>
      <c r="AD612" s="1420">
        <f>AD548</f>
        <v/>
      </c>
      <c r="AE612" s="1420">
        <f>AE548-AD548</f>
        <v/>
      </c>
      <c r="AF612" s="1422">
        <f>AF548-AE548</f>
        <v/>
      </c>
      <c r="AG612" s="1422">
        <f>AG548-AF548</f>
        <v/>
      </c>
      <c r="AH612" s="1540">
        <f>AH548</f>
        <v/>
      </c>
      <c r="AI612" s="1420">
        <f>AI548</f>
        <v/>
      </c>
      <c r="AJ612" s="1420">
        <f>AJ548-AI548</f>
        <v/>
      </c>
      <c r="AK612" s="1541">
        <f>AK548-AJ548</f>
        <v/>
      </c>
      <c r="AL612" s="1422">
        <f>AL444</f>
        <v/>
      </c>
      <c r="AM612" s="1540">
        <f>SUM(AI612,AJ612,AK612,AL612)</f>
        <v/>
      </c>
      <c r="AN612" s="1422">
        <f>AN444</f>
        <v/>
      </c>
      <c r="AO612" s="1422">
        <f>AO444</f>
        <v/>
      </c>
      <c r="AP612" s="1422">
        <f>AP444</f>
        <v/>
      </c>
      <c r="AQ612" s="1422">
        <f>AQ444</f>
        <v/>
      </c>
      <c r="AR612" s="1540">
        <f>SUM(AN612,AO612,AP612,AQ612)</f>
        <v/>
      </c>
      <c r="AS612" s="1540">
        <f>AS444</f>
        <v/>
      </c>
      <c r="AT612" s="1540">
        <f>AT444</f>
        <v/>
      </c>
      <c r="AU612" s="1540">
        <f>AU444</f>
        <v/>
      </c>
      <c r="AV612" s="1422" t="n"/>
    </row>
    <row r="613" ht="14.4" customFormat="1" customHeight="1" s="1418">
      <c r="A613" s="1539">
        <f>A549</f>
        <v/>
      </c>
      <c r="B613" s="1698" t="n"/>
      <c r="C613" s="1529" t="n"/>
      <c r="D613" s="1529" t="n"/>
      <c r="E613" s="1529" t="n"/>
      <c r="F613" s="1529" t="n"/>
      <c r="G613" s="1529" t="n"/>
      <c r="H613" s="1529" t="n"/>
      <c r="I613" s="1529" t="n"/>
      <c r="J613" s="1529" t="n"/>
      <c r="K613" s="1529" t="n"/>
      <c r="L613" s="1529" t="n"/>
      <c r="M613" s="1529" t="n"/>
      <c r="N613" s="1529" t="n"/>
      <c r="O613" s="1420" t="n"/>
      <c r="P613" s="1420" t="n"/>
      <c r="Q613" s="1420" t="n"/>
      <c r="R613" s="1420" t="n"/>
      <c r="S613" s="1529" t="n"/>
      <c r="T613" s="1420" t="n"/>
      <c r="U613" s="1420" t="n"/>
      <c r="V613" s="1420" t="n"/>
      <c r="W613" s="1420" t="n"/>
      <c r="X613" s="1540">
        <f>X549</f>
        <v/>
      </c>
      <c r="Y613" s="1420" t="n"/>
      <c r="Z613" s="1420" t="n"/>
      <c r="AA613" s="1422">
        <f>AA549-Z549</f>
        <v/>
      </c>
      <c r="AB613" s="1422">
        <f>AB549-AA549</f>
        <v/>
      </c>
      <c r="AC613" s="1540">
        <f>AC549</f>
        <v/>
      </c>
      <c r="AD613" s="1420">
        <f>AD549</f>
        <v/>
      </c>
      <c r="AE613" s="1420">
        <f>AE549-AD549</f>
        <v/>
      </c>
      <c r="AF613" s="1422">
        <f>AF549-AE549</f>
        <v/>
      </c>
      <c r="AG613" s="1422">
        <f>AG549-AF549</f>
        <v/>
      </c>
      <c r="AH613" s="1540">
        <f>AH549</f>
        <v/>
      </c>
      <c r="AI613" s="1420">
        <f>AI549</f>
        <v/>
      </c>
      <c r="AJ613" s="1420">
        <f>AJ549-AI549</f>
        <v/>
      </c>
      <c r="AK613" s="1541">
        <f>AK549-AJ549</f>
        <v/>
      </c>
      <c r="AL613" s="1420" t="n"/>
      <c r="AM613" s="1540">
        <f>SUM(AI613,AJ613,AK613,AL613)</f>
        <v/>
      </c>
      <c r="AN613" s="1420" t="n"/>
      <c r="AO613" s="1420" t="n"/>
      <c r="AP613" s="1420" t="n"/>
      <c r="AQ613" s="1420" t="n"/>
      <c r="AR613" s="1540">
        <f>SUM(AN613,AO613,AP613,AQ613)</f>
        <v/>
      </c>
      <c r="AS613" s="1529" t="n"/>
      <c r="AT613" s="1529" t="n"/>
      <c r="AU613" s="1529" t="n"/>
      <c r="AV613" s="1422" t="n"/>
    </row>
    <row r="614" ht="14.4" customFormat="1" customHeight="1" s="1418">
      <c r="A614" s="1539">
        <f>A550</f>
        <v/>
      </c>
      <c r="B614" s="1698" t="n"/>
      <c r="C614" s="1529" t="n"/>
      <c r="D614" s="1529" t="n"/>
      <c r="E614" s="1529" t="n"/>
      <c r="F614" s="1529" t="n"/>
      <c r="G614" s="1529" t="n"/>
      <c r="H614" s="1529" t="n"/>
      <c r="I614" s="1529" t="n"/>
      <c r="J614" s="1529" t="n"/>
      <c r="K614" s="1529" t="n"/>
      <c r="L614" s="1529" t="n"/>
      <c r="M614" s="1529" t="n"/>
      <c r="N614" s="1529" t="n"/>
      <c r="O614" s="1420" t="n"/>
      <c r="P614" s="1420" t="n"/>
      <c r="Q614" s="1420" t="n"/>
      <c r="R614" s="1420" t="n"/>
      <c r="S614" s="1529" t="n"/>
      <c r="T614" s="1420" t="n"/>
      <c r="U614" s="1420" t="n"/>
      <c r="V614" s="1420" t="n"/>
      <c r="W614" s="1420" t="n"/>
      <c r="X614" s="1540">
        <f>X550</f>
        <v/>
      </c>
      <c r="Y614" s="1420" t="n"/>
      <c r="Z614" s="1420" t="n"/>
      <c r="AA614" s="1422">
        <f>AA550-Z550</f>
        <v/>
      </c>
      <c r="AB614" s="1422">
        <f>AB550-AA550</f>
        <v/>
      </c>
      <c r="AC614" s="1540">
        <f>AC550</f>
        <v/>
      </c>
      <c r="AD614" s="1420">
        <f>AD550</f>
        <v/>
      </c>
      <c r="AE614" s="1420">
        <f>AE550-AD550</f>
        <v/>
      </c>
      <c r="AF614" s="1422">
        <f>AF550-AE550</f>
        <v/>
      </c>
      <c r="AG614" s="1422">
        <f>AG550-AF550</f>
        <v/>
      </c>
      <c r="AH614" s="1540">
        <f>AH550</f>
        <v/>
      </c>
      <c r="AI614" s="1420">
        <f>AI550</f>
        <v/>
      </c>
      <c r="AJ614" s="1420">
        <f>AJ550-AI550</f>
        <v/>
      </c>
      <c r="AK614" s="1541">
        <f>AK550-AJ550</f>
        <v/>
      </c>
      <c r="AL614" s="1420" t="n"/>
      <c r="AM614" s="1540">
        <f>SUM(AI614,AJ614,AK614,AL614)</f>
        <v/>
      </c>
      <c r="AN614" s="1420" t="n"/>
      <c r="AO614" s="1420" t="n"/>
      <c r="AP614" s="1420" t="n"/>
      <c r="AQ614" s="1420" t="n"/>
      <c r="AR614" s="1540">
        <f>SUM(AN614,AO614,AP614,AQ614)</f>
        <v/>
      </c>
      <c r="AS614" s="1529" t="n"/>
      <c r="AT614" s="1529" t="n"/>
      <c r="AU614" s="1529" t="n"/>
      <c r="AV614" s="1422" t="n"/>
    </row>
    <row r="615" ht="14.4" customFormat="1" customHeight="1" s="1418">
      <c r="A615" s="1539">
        <f>A551</f>
        <v/>
      </c>
      <c r="B615" s="1698" t="n"/>
      <c r="C615" s="1529" t="n"/>
      <c r="D615" s="1529" t="n"/>
      <c r="E615" s="1529" t="n"/>
      <c r="F615" s="1529" t="n"/>
      <c r="G615" s="1529" t="n"/>
      <c r="H615" s="1529" t="n"/>
      <c r="I615" s="1529" t="n"/>
      <c r="J615" s="1529" t="n"/>
      <c r="K615" s="1529" t="n"/>
      <c r="L615" s="1529" t="n"/>
      <c r="M615" s="1529" t="n"/>
      <c r="N615" s="1529" t="n"/>
      <c r="O615" s="1420" t="n"/>
      <c r="P615" s="1420" t="n"/>
      <c r="Q615" s="1420" t="n"/>
      <c r="R615" s="1420" t="n"/>
      <c r="S615" s="1529" t="n"/>
      <c r="T615" s="1420" t="n"/>
      <c r="U615" s="1420" t="n"/>
      <c r="V615" s="1420" t="n"/>
      <c r="W615" s="1420" t="n"/>
      <c r="X615" s="1540">
        <f>X551</f>
        <v/>
      </c>
      <c r="Y615" s="1420" t="n"/>
      <c r="Z615" s="1420" t="n"/>
      <c r="AA615" s="1422">
        <f>AA551-Z551</f>
        <v/>
      </c>
      <c r="AB615" s="1422">
        <f>AB551-AA551</f>
        <v/>
      </c>
      <c r="AC615" s="1540">
        <f>AC551</f>
        <v/>
      </c>
      <c r="AD615" s="1420">
        <f>AD551</f>
        <v/>
      </c>
      <c r="AE615" s="1420">
        <f>AE551-AD551</f>
        <v/>
      </c>
      <c r="AF615" s="1422">
        <f>AF551-AE551</f>
        <v/>
      </c>
      <c r="AG615" s="1422">
        <f>AG551-AF551</f>
        <v/>
      </c>
      <c r="AH615" s="1540">
        <f>AH551</f>
        <v/>
      </c>
      <c r="AI615" s="1420">
        <f>AI551</f>
        <v/>
      </c>
      <c r="AJ615" s="1420">
        <f>AJ551-AI551</f>
        <v/>
      </c>
      <c r="AK615" s="1541">
        <f>AK551-AJ551</f>
        <v/>
      </c>
      <c r="AL615" s="1422">
        <f>AL440</f>
        <v/>
      </c>
      <c r="AM615" s="1540">
        <f>SUM(AI615,AJ615,AK615,AL615)</f>
        <v/>
      </c>
      <c r="AN615" s="1422">
        <f>AN440</f>
        <v/>
      </c>
      <c r="AO615" s="1422">
        <f>AO440</f>
        <v/>
      </c>
      <c r="AP615" s="1422">
        <f>AP440</f>
        <v/>
      </c>
      <c r="AQ615" s="1422">
        <f>AQ440</f>
        <v/>
      </c>
      <c r="AR615" s="1540">
        <f>SUM(AN615,AO615,AP615,AQ615)</f>
        <v/>
      </c>
      <c r="AS615" s="1540">
        <f>AS440</f>
        <v/>
      </c>
      <c r="AT615" s="1540">
        <f>AT440</f>
        <v/>
      </c>
      <c r="AU615" s="1540">
        <f>AU440</f>
        <v/>
      </c>
      <c r="AV615" s="1422" t="n"/>
    </row>
    <row r="616" ht="14.4" customFormat="1" customHeight="1" s="1418">
      <c r="A616" s="1539">
        <f>A552</f>
        <v/>
      </c>
      <c r="B616" s="1698" t="n"/>
      <c r="C616" s="1529" t="n"/>
      <c r="D616" s="1529" t="n"/>
      <c r="E616" s="1529" t="n"/>
      <c r="F616" s="1529" t="n"/>
      <c r="G616" s="1529" t="n"/>
      <c r="H616" s="1529" t="n"/>
      <c r="I616" s="1529" t="n"/>
      <c r="J616" s="1529" t="n"/>
      <c r="K616" s="1529" t="n"/>
      <c r="L616" s="1529" t="n"/>
      <c r="M616" s="1529" t="n"/>
      <c r="N616" s="1529" t="n"/>
      <c r="O616" s="1420" t="n"/>
      <c r="P616" s="1420" t="n"/>
      <c r="Q616" s="1420" t="n"/>
      <c r="R616" s="1420" t="n"/>
      <c r="S616" s="1529" t="n"/>
      <c r="T616" s="1420" t="n"/>
      <c r="U616" s="1420" t="n"/>
      <c r="V616" s="1420" t="n"/>
      <c r="W616" s="1420" t="n"/>
      <c r="X616" s="1540">
        <f>X552</f>
        <v/>
      </c>
      <c r="Y616" s="1420" t="n"/>
      <c r="Z616" s="1420" t="n"/>
      <c r="AA616" s="1422">
        <f>AA552-Z552</f>
        <v/>
      </c>
      <c r="AB616" s="1422">
        <f>AB552-AA552</f>
        <v/>
      </c>
      <c r="AC616" s="1540">
        <f>AC552</f>
        <v/>
      </c>
      <c r="AD616" s="1420">
        <f>AD552</f>
        <v/>
      </c>
      <c r="AE616" s="1420">
        <f>AE552-AD552</f>
        <v/>
      </c>
      <c r="AF616" s="1422">
        <f>AF552-AE552</f>
        <v/>
      </c>
      <c r="AG616" s="1422">
        <f>AG552-AF552</f>
        <v/>
      </c>
      <c r="AH616" s="1540">
        <f>AH552</f>
        <v/>
      </c>
      <c r="AI616" s="1420">
        <f>AI552</f>
        <v/>
      </c>
      <c r="AJ616" s="1420">
        <f>AJ552-AI552</f>
        <v/>
      </c>
      <c r="AK616" s="1541">
        <f>AK552-AJ552</f>
        <v/>
      </c>
      <c r="AL616" s="1420" t="n"/>
      <c r="AM616" s="1540">
        <f>SUM(AI616,AJ616,AK616,AL616)</f>
        <v/>
      </c>
      <c r="AN616" s="1420" t="n"/>
      <c r="AO616" s="1420" t="n"/>
      <c r="AP616" s="1420" t="n"/>
      <c r="AQ616" s="1420" t="n"/>
      <c r="AR616" s="1540">
        <f>SUM(AN616,AO616,AP616,AQ616)</f>
        <v/>
      </c>
      <c r="AS616" s="1529" t="n"/>
      <c r="AT616" s="1529" t="n"/>
      <c r="AU616" s="1529" t="n"/>
      <c r="AV616" s="1422" t="n"/>
    </row>
    <row r="617" ht="14.4" customFormat="1" customHeight="1" s="1418">
      <c r="A617" s="1539">
        <f>A553</f>
        <v/>
      </c>
      <c r="B617" s="1698" t="n"/>
      <c r="C617" s="1529" t="n"/>
      <c r="D617" s="1529" t="n"/>
      <c r="E617" s="1529" t="n"/>
      <c r="F617" s="1529" t="n"/>
      <c r="G617" s="1529" t="n"/>
      <c r="H617" s="1529" t="n"/>
      <c r="I617" s="1529" t="n"/>
      <c r="J617" s="1529" t="n"/>
      <c r="K617" s="1529" t="n"/>
      <c r="L617" s="1529" t="n"/>
      <c r="M617" s="1529" t="n"/>
      <c r="N617" s="1529" t="n"/>
      <c r="O617" s="1420" t="n"/>
      <c r="P617" s="1420" t="n"/>
      <c r="Q617" s="1420" t="n"/>
      <c r="R617" s="1420" t="n"/>
      <c r="S617" s="1529" t="n"/>
      <c r="T617" s="1420" t="n"/>
      <c r="U617" s="1420" t="n"/>
      <c r="V617" s="1420" t="n"/>
      <c r="W617" s="1420" t="n"/>
      <c r="X617" s="1540">
        <f>X553</f>
        <v/>
      </c>
      <c r="Y617" s="1420" t="n"/>
      <c r="Z617" s="1420" t="n"/>
      <c r="AA617" s="1422">
        <f>AA553-Z553</f>
        <v/>
      </c>
      <c r="AB617" s="1422">
        <f>AB553-AA553</f>
        <v/>
      </c>
      <c r="AC617" s="1540">
        <f>AC553</f>
        <v/>
      </c>
      <c r="AD617" s="1420">
        <f>AD553</f>
        <v/>
      </c>
      <c r="AE617" s="1420">
        <f>AE553-AD553</f>
        <v/>
      </c>
      <c r="AF617" s="1422">
        <f>AF553-AE553</f>
        <v/>
      </c>
      <c r="AG617" s="1422">
        <f>AG553-AF553</f>
        <v/>
      </c>
      <c r="AH617" s="1540">
        <f>AH553</f>
        <v/>
      </c>
      <c r="AI617" s="1420">
        <f>AI553</f>
        <v/>
      </c>
      <c r="AJ617" s="1420">
        <f>AJ553-AI553</f>
        <v/>
      </c>
      <c r="AK617" s="1541">
        <f>AK553-AJ553</f>
        <v/>
      </c>
      <c r="AL617" s="1420" t="n"/>
      <c r="AM617" s="1540">
        <f>SUM(AI617,AJ617,AK617,AL617)</f>
        <v/>
      </c>
      <c r="AN617" s="1420" t="n"/>
      <c r="AO617" s="1420" t="n"/>
      <c r="AP617" s="1420" t="n"/>
      <c r="AQ617" s="1420" t="n"/>
      <c r="AR617" s="1540">
        <f>SUM(AN617,AO617,AP617,AQ617)</f>
        <v/>
      </c>
      <c r="AS617" s="1529" t="n"/>
      <c r="AT617" s="1529" t="n"/>
      <c r="AU617" s="1529" t="n"/>
      <c r="AV617" s="1422" t="n"/>
    </row>
    <row r="618" ht="14.4" customFormat="1" customHeight="1" s="1418">
      <c r="A618" s="1539">
        <f>A554</f>
        <v/>
      </c>
      <c r="B618" s="1698" t="n"/>
      <c r="C618" s="1529" t="n"/>
      <c r="D618" s="1529" t="n"/>
      <c r="E618" s="1529" t="n"/>
      <c r="F618" s="1529" t="n"/>
      <c r="G618" s="1529" t="n"/>
      <c r="H618" s="1529" t="n"/>
      <c r="I618" s="1529" t="n"/>
      <c r="J618" s="1529" t="n"/>
      <c r="K618" s="1529" t="n"/>
      <c r="L618" s="1529" t="n"/>
      <c r="M618" s="1529" t="n"/>
      <c r="N618" s="1529" t="n"/>
      <c r="O618" s="1420" t="n"/>
      <c r="P618" s="1420" t="n"/>
      <c r="Q618" s="1420" t="n"/>
      <c r="R618" s="1420" t="n"/>
      <c r="S618" s="1529" t="n"/>
      <c r="T618" s="1420" t="n"/>
      <c r="U618" s="1420" t="n"/>
      <c r="V618" s="1420" t="n"/>
      <c r="W618" s="1420" t="n"/>
      <c r="X618" s="1540">
        <f>X554</f>
        <v/>
      </c>
      <c r="Y618" s="1420" t="n"/>
      <c r="Z618" s="1420" t="n"/>
      <c r="AA618" s="1422">
        <f>AA554-Z554</f>
        <v/>
      </c>
      <c r="AB618" s="1422">
        <f>AB554-AA554</f>
        <v/>
      </c>
      <c r="AC618" s="1540">
        <f>AC554</f>
        <v/>
      </c>
      <c r="AD618" s="1420">
        <f>AD554</f>
        <v/>
      </c>
      <c r="AE618" s="1420">
        <f>AE554-AD554</f>
        <v/>
      </c>
      <c r="AF618" s="1422">
        <f>AF554-AE554</f>
        <v/>
      </c>
      <c r="AG618" s="1422">
        <f>AG554-AF554</f>
        <v/>
      </c>
      <c r="AH618" s="1540">
        <f>AH554</f>
        <v/>
      </c>
      <c r="AI618" s="1420">
        <f>AI554</f>
        <v/>
      </c>
      <c r="AJ618" s="1420">
        <f>AJ554-AI554</f>
        <v/>
      </c>
      <c r="AK618" s="1541">
        <f>AK554-AJ554</f>
        <v/>
      </c>
      <c r="AL618" s="1420" t="n"/>
      <c r="AM618" s="1540">
        <f>SUM(AI618,AJ618,AK618,AL618)</f>
        <v/>
      </c>
      <c r="AN618" s="1420" t="n"/>
      <c r="AO618" s="1420" t="n"/>
      <c r="AP618" s="1420" t="n"/>
      <c r="AQ618" s="1420" t="n"/>
      <c r="AR618" s="1540">
        <f>SUM(AN618,AO618,AP618,AQ618)</f>
        <v/>
      </c>
      <c r="AS618" s="1529" t="n"/>
      <c r="AT618" s="1529" t="n"/>
      <c r="AU618" s="1529" t="n"/>
      <c r="AV618" s="1422" t="n"/>
    </row>
    <row r="619" ht="14.4" customFormat="1" customHeight="1" s="1438">
      <c r="A619" s="1542">
        <f>A555</f>
        <v/>
      </c>
      <c r="B619" s="1699" t="n"/>
      <c r="C619" s="1544" t="n"/>
      <c r="D619" s="1544" t="n"/>
      <c r="E619" s="1544" t="n"/>
      <c r="F619" s="1544" t="n"/>
      <c r="G619" s="1544" t="n"/>
      <c r="H619" s="1544" t="n"/>
      <c r="I619" s="1544" t="n"/>
      <c r="J619" s="1544" t="n"/>
      <c r="K619" s="1544" t="n"/>
      <c r="L619" s="1544" t="n"/>
      <c r="M619" s="1544" t="n"/>
      <c r="N619" s="1544" t="n"/>
      <c r="O619" s="1545" t="n"/>
      <c r="P619" s="1545" t="n"/>
      <c r="Q619" s="1545" t="n"/>
      <c r="R619" s="1545" t="n"/>
      <c r="S619" s="1544" t="n"/>
      <c r="T619" s="1545" t="n"/>
      <c r="U619" s="1545" t="n"/>
      <c r="V619" s="1545" t="n"/>
      <c r="W619" s="1545" t="n"/>
      <c r="X619" s="1546">
        <f>SUM(X605:X618)</f>
        <v/>
      </c>
      <c r="Y619" s="1545" t="n"/>
      <c r="Z619" s="1545" t="n"/>
      <c r="AA619" s="1547">
        <f>SUM(AA605:AA618)</f>
        <v/>
      </c>
      <c r="AB619" s="1547">
        <f>SUM(AB605:AB618)</f>
        <v/>
      </c>
      <c r="AC619" s="1546">
        <f>SUM(AC605:AC618)</f>
        <v/>
      </c>
      <c r="AD619" s="1545">
        <f>SUM(AD605:AD618)</f>
        <v/>
      </c>
      <c r="AE619" s="1545">
        <f>SUM(AE605:AE618)</f>
        <v/>
      </c>
      <c r="AF619" s="1547">
        <f>SUM(AF605:AF618)</f>
        <v/>
      </c>
      <c r="AG619" s="1547">
        <f>SUM(AG605:AG618)</f>
        <v/>
      </c>
      <c r="AH619" s="1546">
        <f>SUM(AH605:AH618)</f>
        <v/>
      </c>
      <c r="AI619" s="1545">
        <f>SUM(AI605:AI618)</f>
        <v/>
      </c>
      <c r="AJ619" s="1545">
        <f>SUM(AJ605:AJ618)</f>
        <v/>
      </c>
      <c r="AK619" s="1548">
        <f>SUM(AK605:AK618)</f>
        <v/>
      </c>
      <c r="AL619" s="1547">
        <f>SUM(AL605:AL618)</f>
        <v/>
      </c>
      <c r="AM619" s="1546">
        <f>SUM(AM605:AM618)</f>
        <v/>
      </c>
      <c r="AN619" s="1547">
        <f>SUM(AN605:AN618)</f>
        <v/>
      </c>
      <c r="AO619" s="1547">
        <f>SUM(AO605:AO618)</f>
        <v/>
      </c>
      <c r="AP619" s="1547">
        <f>SUM(AP605:AP618)</f>
        <v/>
      </c>
      <c r="AQ619" s="1547">
        <f>SUM(AQ605:AQ618)</f>
        <v/>
      </c>
      <c r="AR619" s="1546">
        <f>SUM(AR605:AR618)</f>
        <v/>
      </c>
      <c r="AS619" s="1546">
        <f>SUM(AS605:AS618)</f>
        <v/>
      </c>
      <c r="AT619" s="1546">
        <f>SUM(AT605:AT618)</f>
        <v/>
      </c>
      <c r="AU619" s="1546">
        <f>SUM(AU605:AU618)</f>
        <v/>
      </c>
      <c r="AV619" s="1446" t="n"/>
    </row>
    <row r="620" ht="14.4" customFormat="1" customHeight="1" s="1438">
      <c r="A620" s="1513" t="n"/>
      <c r="B620" s="1695" t="n"/>
      <c r="C620" s="1535" t="n"/>
      <c r="D620" s="1535" t="n"/>
      <c r="E620" s="1535" t="n"/>
      <c r="F620" s="1535" t="n"/>
      <c r="G620" s="1535" t="n"/>
      <c r="H620" s="1535" t="n"/>
      <c r="I620" s="1535" t="n"/>
      <c r="J620" s="1535" t="n"/>
      <c r="K620" s="1535" t="n"/>
      <c r="L620" s="1535" t="n"/>
      <c r="M620" s="1535" t="n"/>
      <c r="N620" s="1535" t="n"/>
      <c r="O620" s="1536" t="n"/>
      <c r="P620" s="1536" t="n"/>
      <c r="Q620" s="1536" t="n"/>
      <c r="R620" s="1536" t="n"/>
      <c r="S620" s="1535" t="n"/>
      <c r="T620" s="1536" t="n"/>
      <c r="U620" s="1536" t="n"/>
      <c r="V620" s="1536" t="n"/>
      <c r="W620" s="1536" t="n"/>
      <c r="X620" s="1535" t="n"/>
      <c r="Y620" s="1536" t="n"/>
      <c r="Z620" s="1536" t="n"/>
      <c r="AA620" s="1536" t="n"/>
      <c r="AB620" s="1536" t="n"/>
      <c r="AC620" s="1535" t="n"/>
      <c r="AD620" s="1536" t="n"/>
      <c r="AE620" s="1536" t="n"/>
      <c r="AF620" s="1536" t="n"/>
      <c r="AG620" s="1536" t="n"/>
      <c r="AH620" s="1535" t="n"/>
      <c r="AI620" s="1536" t="n"/>
      <c r="AJ620" s="1536" t="n"/>
      <c r="AK620" s="1674" t="n"/>
      <c r="AL620" s="1536" t="n"/>
      <c r="AM620" s="1535" t="n"/>
      <c r="AN620" s="1536" t="n"/>
      <c r="AO620" s="1536" t="n"/>
      <c r="AP620" s="1536" t="n"/>
      <c r="AQ620" s="1536" t="n"/>
      <c r="AR620" s="1535" t="n"/>
      <c r="AS620" s="1535" t="n"/>
      <c r="AT620" s="1535" t="n"/>
      <c r="AU620" s="1535" t="n"/>
      <c r="AV620" s="1446" t="n"/>
    </row>
    <row r="621" ht="14.4" customFormat="1" customHeight="1" s="1438">
      <c r="A621" s="1439">
        <f>A557</f>
        <v/>
      </c>
      <c r="B621" s="1695" t="n"/>
      <c r="C621" s="1535" t="n"/>
      <c r="D621" s="1535" t="n"/>
      <c r="E621" s="1535" t="n"/>
      <c r="F621" s="1535" t="n"/>
      <c r="G621" s="1535" t="n"/>
      <c r="H621" s="1535" t="n"/>
      <c r="I621" s="1535" t="n"/>
      <c r="J621" s="1535" t="n"/>
      <c r="K621" s="1535" t="n"/>
      <c r="L621" s="1535" t="n"/>
      <c r="M621" s="1535" t="n"/>
      <c r="N621" s="1535" t="n"/>
      <c r="O621" s="1536" t="n"/>
      <c r="P621" s="1536" t="n"/>
      <c r="Q621" s="1536" t="n"/>
      <c r="R621" s="1536" t="n"/>
      <c r="S621" s="1535" t="n"/>
      <c r="T621" s="1536" t="n"/>
      <c r="U621" s="1536" t="n"/>
      <c r="V621" s="1536" t="n"/>
      <c r="W621" s="1536" t="n"/>
      <c r="X621" s="1537">
        <f>X557</f>
        <v/>
      </c>
      <c r="Y621" s="1536" t="n"/>
      <c r="Z621" s="1536" t="n"/>
      <c r="AA621" s="1446">
        <f>AA557-Z557</f>
        <v/>
      </c>
      <c r="AB621" s="1446">
        <f>AB557-AA557</f>
        <v/>
      </c>
      <c r="AC621" s="1537">
        <f>AC557</f>
        <v/>
      </c>
      <c r="AD621" s="1536">
        <f>AD557</f>
        <v/>
      </c>
      <c r="AE621" s="1536">
        <f>AE557-AD557</f>
        <v/>
      </c>
      <c r="AF621" s="1446">
        <f>AF557-AE557</f>
        <v/>
      </c>
      <c r="AG621" s="1446">
        <f>AG557-AF557</f>
        <v/>
      </c>
      <c r="AH621" s="1537">
        <f>AH557</f>
        <v/>
      </c>
      <c r="AI621" s="1536">
        <f>AI557</f>
        <v/>
      </c>
      <c r="AJ621" s="1536">
        <f>AJ557-AI557</f>
        <v/>
      </c>
      <c r="AK621" s="1538">
        <f>AK557-AJ557</f>
        <v/>
      </c>
      <c r="AL621" s="1536" t="n"/>
      <c r="AM621" s="1535">
        <f>SUM(AI621,AJ621,AK621,AL621)</f>
        <v/>
      </c>
      <c r="AN621" s="1536" t="n"/>
      <c r="AO621" s="1536" t="n"/>
      <c r="AP621" s="1536" t="n"/>
      <c r="AQ621" s="1536" t="n"/>
      <c r="AR621" s="1535">
        <f>SUM(AN621,AO621,AP621,AQ621)</f>
        <v/>
      </c>
      <c r="AS621" s="1535" t="n"/>
      <c r="AT621" s="1535" t="n"/>
      <c r="AU621" s="1535" t="n"/>
      <c r="AV621" s="1446" t="n"/>
    </row>
    <row r="622" ht="14.4" customFormat="1" customHeight="1" s="1418">
      <c r="A622" s="1439">
        <f>A558</f>
        <v/>
      </c>
      <c r="B622" s="1695" t="n"/>
      <c r="C622" s="1535" t="n"/>
      <c r="D622" s="1535" t="n"/>
      <c r="E622" s="1535" t="n"/>
      <c r="F622" s="1535" t="n"/>
      <c r="G622" s="1535" t="n"/>
      <c r="H622" s="1535" t="n"/>
      <c r="I622" s="1535" t="n"/>
      <c r="J622" s="1535" t="n"/>
      <c r="K622" s="1535" t="n"/>
      <c r="L622" s="1535" t="n"/>
      <c r="M622" s="1535" t="n"/>
      <c r="N622" s="1535" t="n"/>
      <c r="O622" s="1536" t="n"/>
      <c r="P622" s="1536" t="n"/>
      <c r="Q622" s="1536" t="n"/>
      <c r="R622" s="1536" t="n"/>
      <c r="S622" s="1535" t="n"/>
      <c r="T622" s="1536" t="n"/>
      <c r="U622" s="1536" t="n"/>
      <c r="V622" s="1536" t="n"/>
      <c r="W622" s="1536" t="n"/>
      <c r="X622" s="1537">
        <f>X619+X602+X588+X621</f>
        <v/>
      </c>
      <c r="Y622" s="1536" t="n"/>
      <c r="Z622" s="1536" t="n"/>
      <c r="AA622" s="1446">
        <f>AA619+AA602+AA588+AA621</f>
        <v/>
      </c>
      <c r="AB622" s="1446">
        <f>AB619+AB602+AB588+AB621</f>
        <v/>
      </c>
      <c r="AC622" s="1537">
        <f>AC619+AC602+AC588+AC621</f>
        <v/>
      </c>
      <c r="AD622" s="1536">
        <f>AD619+AD602+AD588+AD621</f>
        <v/>
      </c>
      <c r="AE622" s="1536">
        <f>AE619+AE602+AE588+AE621</f>
        <v/>
      </c>
      <c r="AF622" s="1446">
        <f>AF619+AF602+AF588+AF621</f>
        <v/>
      </c>
      <c r="AG622" s="1446">
        <f>AG619+AG602+AG588+AG621</f>
        <v/>
      </c>
      <c r="AH622" s="1537">
        <f>AH619+AH602+AH588+AH621</f>
        <v/>
      </c>
      <c r="AI622" s="1536">
        <f>AI619+AI602+AI588+AI621</f>
        <v/>
      </c>
      <c r="AJ622" s="1536">
        <f>AJ619+AJ602+AJ588+AJ621</f>
        <v/>
      </c>
      <c r="AK622" s="1538">
        <f>AK619+AK602+AK588+AK621</f>
        <v/>
      </c>
      <c r="AL622" s="1536">
        <f>AL619+AL602+AL588+AL621</f>
        <v/>
      </c>
      <c r="AM622" s="1535">
        <f>AM619+AM602+AM588+AM621</f>
        <v/>
      </c>
      <c r="AN622" s="1536">
        <f>AN619+AN602+AN588+AN621</f>
        <v/>
      </c>
      <c r="AO622" s="1536">
        <f>AO619+AO602+AO588+AO621</f>
        <v/>
      </c>
      <c r="AP622" s="1536">
        <f>AP619+AP602+AP588+AP621</f>
        <v/>
      </c>
      <c r="AQ622" s="1536">
        <f>AQ619+AQ602+AQ588+AQ621</f>
        <v/>
      </c>
      <c r="AR622" s="1535">
        <f>AR619+AR602+AR588+AR621</f>
        <v/>
      </c>
      <c r="AS622" s="1535">
        <f>AS619+AS602+AS588+AS621</f>
        <v/>
      </c>
      <c r="AT622" s="1535">
        <f>AT619+AT602+AT588+AT621</f>
        <v/>
      </c>
      <c r="AU622" s="1535">
        <f>AU619+AU602+AU588+AU621</f>
        <v/>
      </c>
      <c r="AV622" s="1422" t="n"/>
    </row>
    <row r="623" ht="14.4" customFormat="1" customHeight="1" s="1438">
      <c r="A623" s="1513" t="n"/>
      <c r="B623" s="1695" t="n"/>
      <c r="C623" s="1535" t="n"/>
      <c r="D623" s="1535" t="n"/>
      <c r="E623" s="1535" t="n"/>
      <c r="F623" s="1535" t="n"/>
      <c r="G623" s="1535" t="n"/>
      <c r="H623" s="1535" t="n"/>
      <c r="I623" s="1535" t="n"/>
      <c r="J623" s="1535" t="n"/>
      <c r="K623" s="1535" t="n"/>
      <c r="L623" s="1535" t="n"/>
      <c r="M623" s="1535" t="n"/>
      <c r="N623" s="1535" t="n"/>
      <c r="O623" s="1536" t="n"/>
      <c r="P623" s="1536" t="n"/>
      <c r="Q623" s="1536" t="n"/>
      <c r="R623" s="1536" t="n"/>
      <c r="S623" s="1535" t="n"/>
      <c r="T623" s="1536" t="n"/>
      <c r="U623" s="1536" t="n"/>
      <c r="V623" s="1536" t="n"/>
      <c r="W623" s="1536" t="n"/>
      <c r="X623" s="1535" t="n"/>
      <c r="Y623" s="1536" t="n"/>
      <c r="Z623" s="1536" t="n"/>
      <c r="AA623" s="1536" t="n"/>
      <c r="AB623" s="1536" t="n"/>
      <c r="AC623" s="1535" t="n"/>
      <c r="AD623" s="1536" t="n"/>
      <c r="AE623" s="1536" t="n"/>
      <c r="AF623" s="1536" t="n"/>
      <c r="AG623" s="1536" t="n"/>
      <c r="AH623" s="1535" t="n"/>
      <c r="AI623" s="1536" t="n"/>
      <c r="AJ623" s="1536" t="n"/>
      <c r="AK623" s="1674" t="n"/>
      <c r="AL623" s="1536" t="n"/>
      <c r="AM623" s="1529" t="n"/>
      <c r="AN623" s="1536" t="n"/>
      <c r="AO623" s="1536" t="n"/>
      <c r="AP623" s="1536" t="n"/>
      <c r="AQ623" s="1536" t="n"/>
      <c r="AR623" s="1529" t="n"/>
      <c r="AS623" s="1529" t="n"/>
      <c r="AT623" s="1529" t="n"/>
      <c r="AU623" s="1529" t="n"/>
      <c r="AV623" s="1446" t="n"/>
    </row>
    <row r="624" ht="14.4" customFormat="1" customHeight="1" s="1438">
      <c r="A624" s="1439">
        <f>A560</f>
        <v/>
      </c>
      <c r="B624" s="1695" t="n"/>
      <c r="C624" s="1535" t="n"/>
      <c r="D624" s="1535" t="n"/>
      <c r="E624" s="1535" t="n"/>
      <c r="F624" s="1535" t="n"/>
      <c r="G624" s="1535" t="n"/>
      <c r="H624" s="1535" t="n"/>
      <c r="I624" s="1535" t="n"/>
      <c r="J624" s="1535" t="n"/>
      <c r="K624" s="1535" t="n"/>
      <c r="L624" s="1535" t="n"/>
      <c r="M624" s="1535" t="n"/>
      <c r="N624" s="1535" t="n"/>
      <c r="O624" s="1536" t="n"/>
      <c r="P624" s="1536" t="n"/>
      <c r="Q624" s="1536" t="n"/>
      <c r="R624" s="1536" t="n"/>
      <c r="S624" s="1535" t="n"/>
      <c r="T624" s="1536" t="n"/>
      <c r="U624" s="1536" t="n"/>
      <c r="V624" s="1536" t="n"/>
      <c r="W624" s="1536" t="n"/>
      <c r="X624" s="1537">
        <f>X560</f>
        <v/>
      </c>
      <c r="Y624" s="1536" t="n"/>
      <c r="Z624" s="1536" t="n"/>
      <c r="AA624" s="1446">
        <f>X625</f>
        <v/>
      </c>
      <c r="AB624" s="1446">
        <f>AA625</f>
        <v/>
      </c>
      <c r="AC624" s="1537">
        <f>X625</f>
        <v/>
      </c>
      <c r="AD624" s="1536">
        <f>AC625</f>
        <v/>
      </c>
      <c r="AE624" s="1536">
        <f>AD625</f>
        <v/>
      </c>
      <c r="AF624" s="1446">
        <f>AE625</f>
        <v/>
      </c>
      <c r="AG624" s="1446">
        <f>AF625</f>
        <v/>
      </c>
      <c r="AH624" s="1537">
        <f>AC625</f>
        <v/>
      </c>
      <c r="AI624" s="1536">
        <f>AH625</f>
        <v/>
      </c>
      <c r="AJ624" s="1536">
        <f>AI625</f>
        <v/>
      </c>
      <c r="AK624" s="1538">
        <f>AJ625</f>
        <v/>
      </c>
      <c r="AL624" s="1536">
        <f>AK625</f>
        <v/>
      </c>
      <c r="AM624" s="1535">
        <f>AH625</f>
        <v/>
      </c>
      <c r="AN624" s="1536">
        <f>AM625</f>
        <v/>
      </c>
      <c r="AO624" s="1536">
        <f>AN625</f>
        <v/>
      </c>
      <c r="AP624" s="1536">
        <f>AO625</f>
        <v/>
      </c>
      <c r="AQ624" s="1536">
        <f>AP625</f>
        <v/>
      </c>
      <c r="AR624" s="1535">
        <f>AM625</f>
        <v/>
      </c>
      <c r="AS624" s="1535">
        <f>AR625</f>
        <v/>
      </c>
      <c r="AT624" s="1535">
        <f>AS625</f>
        <v/>
      </c>
      <c r="AU624" s="1535">
        <f>AT625</f>
        <v/>
      </c>
      <c r="AV624" s="1446" t="n"/>
    </row>
    <row r="625" ht="14.4" customFormat="1" customHeight="1" s="1438">
      <c r="A625" s="1439">
        <f>A561</f>
        <v/>
      </c>
      <c r="B625" s="1695" t="n"/>
      <c r="C625" s="1535" t="n"/>
      <c r="D625" s="1535" t="n"/>
      <c r="E625" s="1535" t="n"/>
      <c r="F625" s="1535" t="n"/>
      <c r="G625" s="1535" t="n"/>
      <c r="H625" s="1535" t="n"/>
      <c r="I625" s="1535" t="n"/>
      <c r="J625" s="1535" t="n"/>
      <c r="K625" s="1535" t="n"/>
      <c r="L625" s="1535" t="n"/>
      <c r="M625" s="1535" t="n"/>
      <c r="N625" s="1535" t="n"/>
      <c r="O625" s="1536" t="n"/>
      <c r="P625" s="1536" t="n"/>
      <c r="Q625" s="1536" t="n"/>
      <c r="R625" s="1536" t="n"/>
      <c r="S625" s="1535" t="n"/>
      <c r="T625" s="1536" t="n"/>
      <c r="U625" s="1536" t="n"/>
      <c r="V625" s="1536" t="n"/>
      <c r="W625" s="1536" t="n"/>
      <c r="X625" s="1537">
        <f>X624+X622</f>
        <v/>
      </c>
      <c r="Y625" s="1536" t="n"/>
      <c r="Z625" s="1536" t="n"/>
      <c r="AA625" s="1446">
        <f>AA624+AA622</f>
        <v/>
      </c>
      <c r="AB625" s="1446">
        <f>AB624+AB622</f>
        <v/>
      </c>
      <c r="AC625" s="1537">
        <f>AC624+AC622</f>
        <v/>
      </c>
      <c r="AD625" s="1536">
        <f>AD624+AD622</f>
        <v/>
      </c>
      <c r="AE625" s="1536">
        <f>AE624+AE622</f>
        <v/>
      </c>
      <c r="AF625" s="1446">
        <f>AF624+AF622</f>
        <v/>
      </c>
      <c r="AG625" s="1446">
        <f>AG624+AG622</f>
        <v/>
      </c>
      <c r="AH625" s="1537">
        <f>AH624+AH622</f>
        <v/>
      </c>
      <c r="AI625" s="1536">
        <f>AI624+AI622</f>
        <v/>
      </c>
      <c r="AJ625" s="1536">
        <f>AJ624+AJ622</f>
        <v/>
      </c>
      <c r="AK625" s="1538">
        <f>AK624+AK622</f>
        <v/>
      </c>
      <c r="AL625" s="1536">
        <f>AL624+AL622</f>
        <v/>
      </c>
      <c r="AM625" s="1535">
        <f>AM624+AM622</f>
        <v/>
      </c>
      <c r="AN625" s="1536">
        <f>AN624+AN622</f>
        <v/>
      </c>
      <c r="AO625" s="1536">
        <f>AO624+AO622</f>
        <v/>
      </c>
      <c r="AP625" s="1536">
        <f>AP624+AP622</f>
        <v/>
      </c>
      <c r="AQ625" s="1536">
        <f>AQ624+AQ622</f>
        <v/>
      </c>
      <c r="AR625" s="1535">
        <f>AR624+AR622</f>
        <v/>
      </c>
      <c r="AS625" s="1535">
        <f>AS624+AS622</f>
        <v/>
      </c>
      <c r="AT625" s="1535">
        <f>AT624+AT622</f>
        <v/>
      </c>
      <c r="AU625" s="1535">
        <f>AU624+AU622</f>
        <v/>
      </c>
      <c r="AV625" s="1446" t="n"/>
    </row>
    <row r="626" ht="14.4" customFormat="1" customHeight="1" s="1438">
      <c r="A626" s="1513" t="n"/>
      <c r="B626" s="1695" t="n"/>
      <c r="C626" s="1535" t="n"/>
      <c r="D626" s="1535" t="n"/>
      <c r="E626" s="1535" t="n"/>
      <c r="F626" s="1535" t="n"/>
      <c r="G626" s="1535" t="n"/>
      <c r="H626" s="1535" t="n"/>
      <c r="I626" s="1535" t="n"/>
      <c r="J626" s="1535" t="n"/>
      <c r="K626" s="1535" t="n"/>
      <c r="L626" s="1535" t="n"/>
      <c r="M626" s="1535" t="n"/>
      <c r="N626" s="1535" t="n"/>
      <c r="O626" s="1536" t="n"/>
      <c r="P626" s="1536" t="n"/>
      <c r="Q626" s="1536" t="n"/>
      <c r="R626" s="1536" t="n"/>
      <c r="S626" s="1535" t="n"/>
      <c r="T626" s="1536" t="n"/>
      <c r="U626" s="1536" t="n"/>
      <c r="V626" s="1536" t="n"/>
      <c r="W626" s="1536" t="n"/>
      <c r="X626" s="1535" t="n"/>
      <c r="Y626" s="1536" t="n"/>
      <c r="Z626" s="1536" t="n"/>
      <c r="AA626" s="1536" t="n"/>
      <c r="AB626" s="1536" t="n"/>
      <c r="AC626" s="1535" t="n"/>
      <c r="AD626" s="1536" t="n"/>
      <c r="AE626" s="1536" t="n"/>
      <c r="AF626" s="1536" t="n"/>
      <c r="AG626" s="1536" t="n"/>
      <c r="AH626" s="1535" t="n"/>
      <c r="AI626" s="1536" t="n"/>
      <c r="AJ626" s="1536" t="n"/>
      <c r="AK626" s="1674" t="n"/>
      <c r="AL626" s="1536" t="n"/>
      <c r="AM626" s="1535" t="n"/>
      <c r="AN626" s="1536" t="n"/>
      <c r="AO626" s="1536" t="n"/>
      <c r="AP626" s="1536" t="n"/>
      <c r="AQ626" s="1536" t="n"/>
      <c r="AR626" s="1535" t="n"/>
      <c r="AS626" s="1535" t="n"/>
      <c r="AT626" s="1535" t="n"/>
      <c r="AU626" s="1535" t="n"/>
      <c r="AV626" s="1446" t="n"/>
    </row>
    <row r="627" ht="14.4" customFormat="1" customHeight="1" s="1418">
      <c r="A627" s="1490">
        <f>A563</f>
        <v/>
      </c>
      <c r="B627" s="1698" t="n"/>
      <c r="C627" s="1529" t="n"/>
      <c r="D627" s="1529" t="n"/>
      <c r="E627" s="1529" t="n"/>
      <c r="F627" s="1529" t="n"/>
      <c r="G627" s="1529" t="n"/>
      <c r="H627" s="1529" t="n"/>
      <c r="I627" s="1529" t="n"/>
      <c r="J627" s="1529" t="n"/>
      <c r="K627" s="1529" t="n"/>
      <c r="L627" s="1529" t="n"/>
      <c r="M627" s="1529" t="n"/>
      <c r="N627" s="1529" t="n"/>
      <c r="O627" s="1420" t="n"/>
      <c r="P627" s="1420" t="n"/>
      <c r="Q627" s="1420" t="n"/>
      <c r="R627" s="1420" t="n"/>
      <c r="S627" s="1529" t="n"/>
      <c r="T627" s="1420" t="n"/>
      <c r="U627" s="1420" t="n"/>
      <c r="V627" s="1420" t="n"/>
      <c r="W627" s="1420" t="n"/>
      <c r="X627" s="1540">
        <f>X563</f>
        <v/>
      </c>
      <c r="Y627" s="1420" t="n"/>
      <c r="Z627" s="1420" t="n"/>
      <c r="AA627" s="1422">
        <f>AA563-Z563</f>
        <v/>
      </c>
      <c r="AB627" s="1422">
        <f>AB563-AA563</f>
        <v/>
      </c>
      <c r="AC627" s="1540">
        <f>AC563</f>
        <v/>
      </c>
      <c r="AD627" s="1420">
        <f>AD563</f>
        <v/>
      </c>
      <c r="AE627" s="1420">
        <f>AE563-AD563</f>
        <v/>
      </c>
      <c r="AF627" s="1422">
        <f>AF563-AE563</f>
        <v/>
      </c>
      <c r="AG627" s="1422">
        <f>AG563-AF563</f>
        <v/>
      </c>
      <c r="AH627" s="1540">
        <f>AH563</f>
        <v/>
      </c>
      <c r="AI627" s="1420">
        <f>AI563</f>
        <v/>
      </c>
      <c r="AJ627" s="1420">
        <f>AJ563-AI563</f>
        <v/>
      </c>
      <c r="AK627" s="1421">
        <f>AK563-AJ563</f>
        <v/>
      </c>
      <c r="AL627" s="1420" t="n"/>
      <c r="AM627" s="1529" t="n"/>
      <c r="AN627" s="1420" t="n"/>
      <c r="AO627" s="1420" t="n"/>
      <c r="AP627" s="1420" t="n"/>
      <c r="AQ627" s="1420" t="n"/>
      <c r="AR627" s="1529" t="n"/>
      <c r="AS627" s="1529" t="n"/>
      <c r="AT627" s="1529" t="n"/>
      <c r="AU627" s="1529" t="n"/>
      <c r="AV627" s="1422" t="n"/>
    </row>
    <row r="628" ht="14.4" customFormat="1" customHeight="1" s="1418">
      <c r="A628" s="1490">
        <f>A564</f>
        <v/>
      </c>
      <c r="B628" s="1698" t="n"/>
      <c r="C628" s="1529" t="n"/>
      <c r="D628" s="1529" t="n"/>
      <c r="E628" s="1529" t="n"/>
      <c r="F628" s="1529" t="n"/>
      <c r="G628" s="1529" t="n"/>
      <c r="H628" s="1529" t="n"/>
      <c r="I628" s="1529" t="n"/>
      <c r="J628" s="1529" t="n"/>
      <c r="K628" s="1529" t="n"/>
      <c r="L628" s="1529" t="n"/>
      <c r="M628" s="1529" t="n"/>
      <c r="N628" s="1529" t="n"/>
      <c r="O628" s="1420" t="n"/>
      <c r="P628" s="1420" t="n"/>
      <c r="Q628" s="1420" t="n"/>
      <c r="R628" s="1420" t="n"/>
      <c r="S628" s="1529" t="n"/>
      <c r="T628" s="1420" t="n"/>
      <c r="U628" s="1420" t="n"/>
      <c r="V628" s="1420" t="n"/>
      <c r="W628" s="1420" t="n"/>
      <c r="X628" s="1540">
        <f>X564</f>
        <v/>
      </c>
      <c r="Y628" s="1420" t="n"/>
      <c r="Z628" s="1420" t="n"/>
      <c r="AA628" s="1422">
        <f>AA564-Z564</f>
        <v/>
      </c>
      <c r="AB628" s="1422">
        <f>AB564-AA564</f>
        <v/>
      </c>
      <c r="AC628" s="1540">
        <f>AC564</f>
        <v/>
      </c>
      <c r="AD628" s="1420" t="n"/>
      <c r="AE628" s="1420" t="n"/>
      <c r="AF628" s="1422">
        <f>AF564-AE564</f>
        <v/>
      </c>
      <c r="AG628" s="1422">
        <f>AG564-AF564</f>
        <v/>
      </c>
      <c r="AH628" s="1540">
        <f>AH564</f>
        <v/>
      </c>
      <c r="AI628" s="1420" t="n"/>
      <c r="AJ628" s="1420" t="n"/>
      <c r="AK628" s="1421" t="n"/>
      <c r="AL628" s="1420" t="n"/>
      <c r="AM628" s="1529" t="n"/>
      <c r="AN628" s="1420" t="n"/>
      <c r="AO628" s="1420" t="n"/>
      <c r="AP628" s="1420" t="n"/>
      <c r="AQ628" s="1420" t="n"/>
      <c r="AR628" s="1529" t="n"/>
      <c r="AS628" s="1529" t="n"/>
      <c r="AT628" s="1529" t="n"/>
      <c r="AU628" s="1529" t="n"/>
      <c r="AV628" s="1422" t="n"/>
    </row>
    <row r="629" ht="14.4" customFormat="1" customHeight="1" s="1438">
      <c r="A629" s="1513" t="n"/>
      <c r="B629" s="1695" t="n"/>
      <c r="C629" s="1535" t="n"/>
      <c r="D629" s="1535" t="n"/>
      <c r="E629" s="1535" t="n"/>
      <c r="F629" s="1535" t="n"/>
      <c r="G629" s="1535" t="n"/>
      <c r="H629" s="1535" t="n"/>
      <c r="I629" s="1535" t="n"/>
      <c r="J629" s="1535" t="n"/>
      <c r="K629" s="1535" t="n"/>
      <c r="L629" s="1535" t="n"/>
      <c r="M629" s="1535" t="n"/>
      <c r="N629" s="1535" t="n"/>
      <c r="O629" s="1536" t="n"/>
      <c r="P629" s="1536" t="n"/>
      <c r="Q629" s="1536" t="n"/>
      <c r="R629" s="1536" t="n"/>
      <c r="S629" s="1535" t="n"/>
      <c r="T629" s="1536" t="n"/>
      <c r="U629" s="1536" t="n"/>
      <c r="V629" s="1536" t="n"/>
      <c r="W629" s="1536" t="n"/>
      <c r="X629" s="1535" t="n"/>
      <c r="Y629" s="1536" t="n"/>
      <c r="Z629" s="1536" t="n"/>
      <c r="AA629" s="1536" t="n"/>
      <c r="AB629" s="1536" t="n"/>
      <c r="AC629" s="1535" t="n"/>
      <c r="AD629" s="1536" t="n"/>
      <c r="AE629" s="1536" t="n"/>
      <c r="AF629" s="1536" t="n"/>
      <c r="AG629" s="1536" t="n"/>
      <c r="AH629" s="1535" t="n"/>
      <c r="AI629" s="1536" t="n"/>
      <c r="AJ629" s="1536" t="n"/>
      <c r="AK629" s="1674" t="n"/>
      <c r="AL629" s="1536" t="n"/>
      <c r="AM629" s="1535" t="n"/>
      <c r="AN629" s="1536" t="n"/>
      <c r="AO629" s="1536" t="n"/>
      <c r="AP629" s="1536" t="n"/>
      <c r="AQ629" s="1536" t="n"/>
      <c r="AR629" s="1535" t="n"/>
      <c r="AS629" s="1535" t="n"/>
      <c r="AT629" s="1535" t="n"/>
      <c r="AU629" s="1535" t="n"/>
      <c r="AV629" s="1446" t="n"/>
    </row>
    <row r="630" ht="14.4" customFormat="1" customHeight="1" s="1418">
      <c r="A630" s="1712" t="inlineStr">
        <is>
          <t>CF Check</t>
        </is>
      </c>
      <c r="B630" s="1712" t="n"/>
      <c r="C630" s="1713" t="n"/>
      <c r="D630" s="1713" t="n"/>
      <c r="E630" s="1713" t="n"/>
      <c r="F630" s="1713" t="n"/>
      <c r="G630" s="1713" t="n"/>
      <c r="H630" s="1713" t="n"/>
      <c r="I630" s="1713" t="n"/>
      <c r="J630" s="1713" t="n"/>
      <c r="K630" s="1713" t="n"/>
      <c r="L630" s="1713" t="n"/>
      <c r="M630" s="1713" t="n"/>
      <c r="N630" s="1713" t="n"/>
      <c r="O630" s="1713" t="n"/>
      <c r="P630" s="1713" t="n"/>
      <c r="Q630" s="1713" t="n"/>
      <c r="R630" s="1713" t="n"/>
      <c r="S630" s="1713" t="n"/>
      <c r="T630" s="1713" t="n"/>
      <c r="U630" s="1713" t="n"/>
      <c r="V630" s="1713" t="n"/>
      <c r="W630" s="1713" t="n"/>
      <c r="X630" s="1713" t="n"/>
      <c r="Y630" s="1713" t="n"/>
      <c r="Z630" s="1713" t="n"/>
      <c r="AA630" s="1713" t="n"/>
      <c r="AB630" s="1713">
        <f>ROUND(AB625-AB669-AB670-AB677,6)</f>
        <v/>
      </c>
      <c r="AC630" s="1713">
        <f>ROUND(AC625-AC669-AC670-AC677,6)</f>
        <v/>
      </c>
      <c r="AD630" s="1713" t="n"/>
      <c r="AE630" s="1713" t="n"/>
      <c r="AF630" s="1713">
        <f>ROUND(AF625-AF669-AF670-AF677,6)</f>
        <v/>
      </c>
      <c r="AG630" s="1713">
        <f>ROUND(AG625-AG669-AG670-AG677,6)</f>
        <v/>
      </c>
      <c r="AH630" s="1713">
        <f>ROUND(AH625-AH669-AH670-AH677,6)</f>
        <v/>
      </c>
      <c r="AI630" s="1713">
        <f>ROUND(AI625-AI669-AI670-AI677,6)</f>
        <v/>
      </c>
      <c r="AJ630" s="1713">
        <f>ROUND(AJ625-AJ669-AJ670-AJ677,6)</f>
        <v/>
      </c>
      <c r="AK630" s="1714">
        <f>ROUND(AK625-AK669-AK670-AK677,6)</f>
        <v/>
      </c>
      <c r="AL630" s="1713">
        <f>ROUND(AL625-AL669-AL670-AL677,6)</f>
        <v/>
      </c>
      <c r="AM630" s="1713">
        <f>ROUND(AM625-AM669-AM670-AM677,6)</f>
        <v/>
      </c>
      <c r="AN630" s="1713">
        <f>ROUND(AN625-AN669-AN670-AN677,6)</f>
        <v/>
      </c>
      <c r="AO630" s="1713">
        <f>ROUND(AO625-AO669-AO670-AO677,6)</f>
        <v/>
      </c>
      <c r="AP630" s="1713">
        <f>ROUND(AP625-AP669-AP670-AP677,6)</f>
        <v/>
      </c>
      <c r="AQ630" s="1713">
        <f>ROUND(AQ625-AQ669-AQ670-AQ677,6)</f>
        <v/>
      </c>
      <c r="AR630" s="1713">
        <f>ROUND(AR625-AR669-AR670-AR677,6)</f>
        <v/>
      </c>
      <c r="AS630" s="1713">
        <f>ROUND(AS625-AS669-AS670-AS677,6)</f>
        <v/>
      </c>
      <c r="AT630" s="1713">
        <f>ROUND(AT625-AT669-AT670-AT677,6)</f>
        <v/>
      </c>
      <c r="AU630" s="1713">
        <f>ROUND(AU625-AU669-AU670-AU677,6)</f>
        <v/>
      </c>
      <c r="AV630" s="1422" t="n"/>
    </row>
    <row r="631" ht="14.4" customFormat="1" customHeight="1" s="1438">
      <c r="A631" s="1513" t="n"/>
      <c r="B631" s="1695" t="n"/>
      <c r="C631" s="1535" t="n"/>
      <c r="D631" s="1535" t="n"/>
      <c r="E631" s="1535" t="n"/>
      <c r="F631" s="1535" t="n"/>
      <c r="G631" s="1535" t="n"/>
      <c r="H631" s="1535" t="n"/>
      <c r="I631" s="1535" t="n"/>
      <c r="J631" s="1535" t="n"/>
      <c r="K631" s="1535" t="n"/>
      <c r="L631" s="1535" t="n"/>
      <c r="M631" s="1535" t="n"/>
      <c r="N631" s="1535" t="n"/>
      <c r="O631" s="1536" t="n"/>
      <c r="P631" s="1536" t="n"/>
      <c r="Q631" s="1536" t="n"/>
      <c r="R631" s="1536" t="n"/>
      <c r="S631" s="1535" t="n"/>
      <c r="T631" s="1536" t="n"/>
      <c r="U631" s="1536" t="n"/>
      <c r="V631" s="1536" t="n"/>
      <c r="W631" s="1536" t="n"/>
      <c r="X631" s="1535" t="n"/>
      <c r="Y631" s="1536" t="n"/>
      <c r="Z631" s="1536" t="n"/>
      <c r="AA631" s="1536" t="n"/>
      <c r="AB631" s="1536" t="n"/>
      <c r="AC631" s="1535" t="n"/>
      <c r="AD631" s="1536" t="n"/>
      <c r="AE631" s="1536" t="n"/>
      <c r="AF631" s="1536" t="n"/>
      <c r="AG631" s="1536" t="n"/>
      <c r="AH631" s="1535" t="n"/>
      <c r="AI631" s="1536" t="n"/>
      <c r="AJ631" s="1536" t="n"/>
      <c r="AK631" s="1674" t="n"/>
      <c r="AL631" s="1536" t="n"/>
      <c r="AM631" s="1535" t="n"/>
      <c r="AN631" s="1536" t="n"/>
      <c r="AO631" s="1536" t="n"/>
      <c r="AP631" s="1536" t="n"/>
      <c r="AQ631" s="1536" t="n"/>
      <c r="AR631" s="1535" t="n"/>
      <c r="AS631" s="1535" t="n"/>
      <c r="AT631" s="1535" t="n"/>
      <c r="AU631" s="1535" t="n"/>
      <c r="AV631" s="1446" t="n"/>
    </row>
    <row r="632" ht="14.4" customFormat="1" customHeight="1" s="1418">
      <c r="A632" s="1890" t="inlineStr">
        <is>
          <t>D&amp;A Forecasting</t>
        </is>
      </c>
      <c r="B632" s="1891" t="n"/>
      <c r="C632" s="1892" t="n"/>
      <c r="D632" s="1892" t="n"/>
      <c r="E632" s="1892" t="n"/>
      <c r="F632" s="1892" t="n"/>
      <c r="G632" s="1892" t="n"/>
      <c r="H632" s="1892" t="n"/>
      <c r="I632" s="1892" t="n"/>
      <c r="J632" s="1892" t="n"/>
      <c r="K632" s="1892" t="n"/>
      <c r="L632" s="1892" t="n"/>
      <c r="M632" s="1892" t="n"/>
      <c r="N632" s="1892" t="n"/>
      <c r="O632" s="1892" t="n"/>
      <c r="P632" s="1892" t="n"/>
      <c r="Q632" s="1892" t="n"/>
      <c r="R632" s="1892" t="n"/>
      <c r="S632" s="1892" t="n"/>
      <c r="T632" s="1892" t="n"/>
      <c r="U632" s="1892" t="n"/>
      <c r="V632" s="1892" t="n"/>
      <c r="W632" s="1892" t="n"/>
      <c r="X632" s="1892" t="n"/>
      <c r="Y632" s="1892" t="n"/>
      <c r="Z632" s="1892" t="n"/>
      <c r="AA632" s="1893" t="inlineStr">
        <is>
          <t>9 months</t>
        </is>
      </c>
      <c r="AB632" s="1892" t="n"/>
      <c r="AC632" s="1892" t="n"/>
      <c r="AD632" s="1892" t="n"/>
      <c r="AE632" s="1892" t="n"/>
      <c r="AF632" s="1893" t="n"/>
      <c r="AG632" s="1892" t="n"/>
      <c r="AH632" s="1892" t="n"/>
      <c r="AI632" s="1892" t="n"/>
      <c r="AJ632" s="1892" t="n"/>
      <c r="AK632" s="1894" t="n"/>
      <c r="AL632" s="1892" t="n"/>
      <c r="AM632" s="1892" t="n"/>
      <c r="AN632" s="1892" t="n"/>
      <c r="AO632" s="1892" t="n"/>
      <c r="AP632" s="1892" t="n"/>
      <c r="AQ632" s="1892" t="n"/>
      <c r="AR632" s="1892" t="n"/>
      <c r="AS632" s="1892" t="n"/>
      <c r="AT632" s="1892" t="n"/>
      <c r="AU632" s="1892" t="n"/>
      <c r="AV632" s="1422" t="n"/>
    </row>
    <row r="633" ht="14.4" customFormat="1" customHeight="1" s="1418">
      <c r="A633" s="1439" t="inlineStr">
        <is>
          <t>PP&amp;E BoP, mm</t>
        </is>
      </c>
      <c r="B633" s="1695" t="n"/>
      <c r="C633" s="1441" t="n"/>
      <c r="D633" s="1441" t="n"/>
      <c r="E633" s="1441" t="n"/>
      <c r="F633" s="1441" t="n"/>
      <c r="G633" s="1441" t="n"/>
      <c r="H633" s="1441" t="n"/>
      <c r="I633" s="1441" t="n"/>
      <c r="J633" s="1441" t="n"/>
      <c r="K633" s="1441" t="n"/>
      <c r="L633" s="1441" t="n"/>
      <c r="M633" s="1441" t="n"/>
      <c r="N633" s="1441" t="n"/>
      <c r="O633" s="1442" t="n"/>
      <c r="P633" s="1442" t="n"/>
      <c r="Q633" s="1442" t="n"/>
      <c r="R633" s="1442" t="n"/>
      <c r="S633" s="1441" t="n"/>
      <c r="T633" s="1442" t="n"/>
      <c r="U633" s="1442" t="n"/>
      <c r="V633" s="1442" t="n"/>
      <c r="W633" s="1442" t="n"/>
      <c r="X633" s="1441" t="n"/>
      <c r="Y633" s="1442" t="n"/>
      <c r="Z633" s="1442" t="n"/>
      <c r="AA633" s="1442" t="n"/>
      <c r="AB633" s="1442" t="n"/>
      <c r="AC633" s="1441" t="n"/>
      <c r="AD633" s="1442" t="n"/>
      <c r="AE633" s="1442" t="n"/>
      <c r="AF633" s="1444">
        <f>AC637</f>
        <v/>
      </c>
      <c r="AG633" s="1444">
        <f>AF637</f>
        <v/>
      </c>
      <c r="AH633" s="1443">
        <f>AC637</f>
        <v/>
      </c>
      <c r="AI633" s="1442">
        <f>AH637</f>
        <v/>
      </c>
      <c r="AJ633" s="1442">
        <f>AH637</f>
        <v/>
      </c>
      <c r="AK633" s="1445">
        <f>AH637</f>
        <v/>
      </c>
      <c r="AL633" s="1442">
        <f>AK637</f>
        <v/>
      </c>
      <c r="AM633" s="1441">
        <f>AH637</f>
        <v/>
      </c>
      <c r="AN633" s="1442">
        <f>AM637</f>
        <v/>
      </c>
      <c r="AO633" s="1442">
        <f>AN637</f>
        <v/>
      </c>
      <c r="AP633" s="1442">
        <f>AO637</f>
        <v/>
      </c>
      <c r="AQ633" s="1442">
        <f>AP637</f>
        <v/>
      </c>
      <c r="AR633" s="1441">
        <f>AM637</f>
        <v/>
      </c>
      <c r="AS633" s="1441">
        <f>AR637</f>
        <v/>
      </c>
      <c r="AT633" s="1441">
        <f>AS637</f>
        <v/>
      </c>
      <c r="AU633" s="1441">
        <f>AT637</f>
        <v/>
      </c>
      <c r="AV633" s="1422" t="n"/>
    </row>
    <row r="634" ht="14.4" customFormat="1" customHeight="1" s="1418">
      <c r="A634" s="1539" t="inlineStr">
        <is>
          <t>Depreciation of fixed assets, mm</t>
        </is>
      </c>
      <c r="B634" s="1698" t="n"/>
      <c r="C634" s="1469" t="n"/>
      <c r="D634" s="1469" t="n"/>
      <c r="E634" s="1469" t="n"/>
      <c r="F634" s="1469" t="n"/>
      <c r="G634" s="1469" t="n"/>
      <c r="H634" s="1469" t="n"/>
      <c r="I634" s="1469" t="n"/>
      <c r="J634" s="1469" t="n"/>
      <c r="K634" s="1469" t="n"/>
      <c r="L634" s="1469" t="n"/>
      <c r="M634" s="1469" t="n"/>
      <c r="N634" s="1469" t="n"/>
      <c r="O634" s="1470" t="n"/>
      <c r="P634" s="1470" t="n"/>
      <c r="Q634" s="1470" t="n"/>
      <c r="R634" s="1470" t="n"/>
      <c r="S634" s="1469" t="n"/>
      <c r="T634" s="1470" t="n"/>
      <c r="U634" s="1470" t="n"/>
      <c r="V634" s="1470" t="n"/>
      <c r="W634" s="1470" t="n"/>
      <c r="X634" s="1895">
        <f>-X127</f>
        <v/>
      </c>
      <c r="Y634" s="1470" t="n"/>
      <c r="Z634" s="1470" t="n"/>
      <c r="AA634" s="1896">
        <f>-AA127</f>
        <v/>
      </c>
      <c r="AB634" s="1896">
        <f>-AB127</f>
        <v/>
      </c>
      <c r="AC634" s="1895">
        <f>-AC127</f>
        <v/>
      </c>
      <c r="AD634" s="1470">
        <f>-AD127</f>
        <v/>
      </c>
      <c r="AE634" s="1470">
        <f>-AE127</f>
        <v/>
      </c>
      <c r="AF634" s="1896">
        <f>-AF127</f>
        <v/>
      </c>
      <c r="AG634" s="1896">
        <f>-AG127</f>
        <v/>
      </c>
      <c r="AH634" s="1895">
        <f>-AH127</f>
        <v/>
      </c>
      <c r="AI634" s="1470">
        <f>-AI127</f>
        <v/>
      </c>
      <c r="AJ634" s="1470">
        <f>-AJ127</f>
        <v/>
      </c>
      <c r="AK634" s="1897">
        <f>-AK127</f>
        <v/>
      </c>
      <c r="AL634" s="1470">
        <f>-AL633*AL645*AL3/AM3</f>
        <v/>
      </c>
      <c r="AM634" s="1469">
        <f>IF(OR(ISBLANK(AI634),ISBLANK(AJ634),ISBLANK(AK634),ISBLANK(AL634)),"n/a",SUM(AI634,AJ634,AK634,AL634))</f>
        <v/>
      </c>
      <c r="AN634" s="1470">
        <f>-AN633*AN645*AN3/AR3</f>
        <v/>
      </c>
      <c r="AO634" s="1470">
        <f>-AO633*AO645*AO3/AR3</f>
        <v/>
      </c>
      <c r="AP634" s="1470">
        <f>-AP633*AP645*AP3/AR3</f>
        <v/>
      </c>
      <c r="AQ634" s="1470">
        <f>-AQ633*AQ645*AQ3/AR3</f>
        <v/>
      </c>
      <c r="AR634" s="1469">
        <f>IF(OR(ISBLANK(AN634),ISBLANK(AO634),ISBLANK(AP634),ISBLANK(AQ634)),"n/a",SUM(AN634,AO634,AP634,AQ634))</f>
        <v/>
      </c>
      <c r="AS634" s="1469">
        <f>-AS633*AS645</f>
        <v/>
      </c>
      <c r="AT634" s="1469">
        <f>-AT633*AT645</f>
        <v/>
      </c>
      <c r="AU634" s="1469">
        <f>-AU633*AU645</f>
        <v/>
      </c>
      <c r="AV634" s="1422" t="n"/>
    </row>
    <row r="635" ht="14.4" customFormat="1" customHeight="1" s="1418">
      <c r="A635" s="1539" t="inlineStr">
        <is>
          <t>Capex of PP&amp;E, mm</t>
        </is>
      </c>
      <c r="B635" s="1698" t="n"/>
      <c r="C635" s="1469" t="n"/>
      <c r="D635" s="1469" t="n"/>
      <c r="E635" s="1469" t="n"/>
      <c r="F635" s="1469" t="n"/>
      <c r="G635" s="1469" t="n"/>
      <c r="H635" s="1469" t="n"/>
      <c r="I635" s="1469" t="n"/>
      <c r="J635" s="1469" t="n"/>
      <c r="K635" s="1469" t="n"/>
      <c r="L635" s="1469" t="n"/>
      <c r="M635" s="1469" t="n"/>
      <c r="N635" s="1469" t="n"/>
      <c r="O635" s="1470" t="n"/>
      <c r="P635" s="1470" t="n"/>
      <c r="Q635" s="1470" t="n"/>
      <c r="R635" s="1470" t="n"/>
      <c r="S635" s="1469" t="n"/>
      <c r="T635" s="1470" t="n"/>
      <c r="U635" s="1470" t="n"/>
      <c r="V635" s="1470" t="n"/>
      <c r="W635" s="1470" t="n"/>
      <c r="X635" s="1469" t="n"/>
      <c r="Y635" s="1470" t="n"/>
      <c r="Z635" s="1470" t="n"/>
      <c r="AA635" s="1896">
        <f>-AA591</f>
        <v/>
      </c>
      <c r="AB635" s="1896">
        <f>-AB591</f>
        <v/>
      </c>
      <c r="AC635" s="1895">
        <f>-AC591</f>
        <v/>
      </c>
      <c r="AD635" s="1470">
        <f>-AD591</f>
        <v/>
      </c>
      <c r="AE635" s="1470">
        <f>-AE591</f>
        <v/>
      </c>
      <c r="AF635" s="1896">
        <f>-AF591</f>
        <v/>
      </c>
      <c r="AG635" s="1896">
        <f>-AG591</f>
        <v/>
      </c>
      <c r="AH635" s="1895">
        <f>-AH591</f>
        <v/>
      </c>
      <c r="AI635" s="1470">
        <f>-AI591</f>
        <v/>
      </c>
      <c r="AJ635" s="1470">
        <f>-AJ591</f>
        <v/>
      </c>
      <c r="AK635" s="1897">
        <f>-AK591</f>
        <v/>
      </c>
      <c r="AL635" s="1470">
        <f>AL651*(1-AL652)</f>
        <v/>
      </c>
      <c r="AM635" s="1469">
        <f>IF(OR(ISBLANK(AI635),ISBLANK(AJ635),ISBLANK(AK635),ISBLANK(AL635)),"n/a",SUM(AI635,AJ635,AK635,AL635))</f>
        <v/>
      </c>
      <c r="AN635" s="1470">
        <f>AN651*(1-AN652)</f>
        <v/>
      </c>
      <c r="AO635" s="1470">
        <f>AO651*(1-AO652)</f>
        <v/>
      </c>
      <c r="AP635" s="1470">
        <f>AP651*(1-AP652)</f>
        <v/>
      </c>
      <c r="AQ635" s="1470">
        <f>AQ651*(1-AQ652)</f>
        <v/>
      </c>
      <c r="AR635" s="1469">
        <f>IF(OR(ISBLANK(AN635),ISBLANK(AO635),ISBLANK(AP635),ISBLANK(AQ635)),"n/a",SUM(AN635,AO635,AP635,AQ635))</f>
        <v/>
      </c>
      <c r="AS635" s="1469">
        <f>AS651*(1-AS652)</f>
        <v/>
      </c>
      <c r="AT635" s="1469">
        <f>AT651*(1-AT652)</f>
        <v/>
      </c>
      <c r="AU635" s="1469">
        <f>AU651*(1-AU652)</f>
        <v/>
      </c>
      <c r="AV635" s="1422" t="n"/>
    </row>
    <row r="636" ht="14.4" customFormat="1" customHeight="1" s="1418">
      <c r="A636" s="1539" t="inlineStr">
        <is>
          <t>Other net additions to PP&amp;E, mm</t>
        </is>
      </c>
      <c r="B636" s="1698" t="n"/>
      <c r="C636" s="1469" t="n"/>
      <c r="D636" s="1469" t="n"/>
      <c r="E636" s="1469" t="n"/>
      <c r="F636" s="1469" t="n"/>
      <c r="G636" s="1469" t="n"/>
      <c r="H636" s="1469" t="n"/>
      <c r="I636" s="1469" t="n"/>
      <c r="J636" s="1469" t="n"/>
      <c r="K636" s="1469" t="n"/>
      <c r="L636" s="1469" t="n"/>
      <c r="M636" s="1469" t="n"/>
      <c r="N636" s="1469" t="n"/>
      <c r="O636" s="1470" t="n"/>
      <c r="P636" s="1470" t="n"/>
      <c r="Q636" s="1470" t="n"/>
      <c r="R636" s="1470" t="n"/>
      <c r="S636" s="1469" t="n"/>
      <c r="T636" s="1470" t="n"/>
      <c r="U636" s="1470" t="n"/>
      <c r="V636" s="1470" t="n"/>
      <c r="W636" s="1470" t="n"/>
      <c r="X636" s="1469" t="n"/>
      <c r="Y636" s="1470" t="n"/>
      <c r="Z636" s="1470" t="n"/>
      <c r="AA636" s="1470" t="n"/>
      <c r="AB636" s="1470" t="n"/>
      <c r="AC636" s="1469" t="n"/>
      <c r="AD636" s="1470" t="n"/>
      <c r="AE636" s="1470" t="n"/>
      <c r="AF636" s="1896">
        <f>ROUND(AF637-AF633-AF634-AF635,6)</f>
        <v/>
      </c>
      <c r="AG636" s="1896">
        <f>ROUND(AG637-AG633-AG634-AG635,6)</f>
        <v/>
      </c>
      <c r="AH636" s="1895">
        <f>ROUND(AH637-AH633-AH634-AH635,6)</f>
        <v/>
      </c>
      <c r="AI636" s="1470">
        <f>ROUND(AI637-AI633-AI634-AI635,6)</f>
        <v/>
      </c>
      <c r="AJ636" s="1470">
        <f>ROUND(AJ637-AJ633-AJ634-AJ635,6)</f>
        <v/>
      </c>
      <c r="AK636" s="1897">
        <f>ROUND(AK637-AK633-AK634-AK635,6)</f>
        <v/>
      </c>
      <c r="AL636" s="1470">
        <f>ROUND(AL637-AL633-AL634-AL635,6)</f>
        <v/>
      </c>
      <c r="AM636" s="1469">
        <f>ROUND(AM637-AM633-IF(ISNUMBER(AM634),AM634,0)-IF(ISNUMBER(AM635),AM635,0),6)</f>
        <v/>
      </c>
      <c r="AN636" s="1470">
        <f>ROUND(AN637-AN633-AN634-AN635,6)</f>
        <v/>
      </c>
      <c r="AO636" s="1470">
        <f>ROUND(AO637-AO633-AO634-AO635,6)</f>
        <v/>
      </c>
      <c r="AP636" s="1470">
        <f>ROUND(AP637-AP633-AP634-AP635,6)</f>
        <v/>
      </c>
      <c r="AQ636" s="1470">
        <f>ROUND(AQ637-AQ633-AQ634-AQ635,6)</f>
        <v/>
      </c>
      <c r="AR636" s="1469">
        <f>ROUND(AR637-AR633-IF(ISNUMBER(AR634),AR634,0)-IF(ISNUMBER(AR635),AR635,0),6)</f>
        <v/>
      </c>
      <c r="AS636" s="1469">
        <f>ROUND(AS637-AS633-AS634-AS635,6)</f>
        <v/>
      </c>
      <c r="AT636" s="1469">
        <f>ROUND(AT637-AT633-AT634-AT635,6)</f>
        <v/>
      </c>
      <c r="AU636" s="1469">
        <f>ROUND(AU637-AU633-AU634-AU635,6)</f>
        <v/>
      </c>
      <c r="AV636" s="1422" t="n"/>
    </row>
    <row r="637" ht="14.4" customFormat="1" customHeight="1" s="1418">
      <c r="A637" s="1898" t="inlineStr">
        <is>
          <t>PP&amp;E EoP, mm</t>
        </is>
      </c>
      <c r="B637" s="1899" t="n"/>
      <c r="C637" s="1900" t="n"/>
      <c r="D637" s="1900" t="n"/>
      <c r="E637" s="1900" t="n"/>
      <c r="F637" s="1900" t="n"/>
      <c r="G637" s="1900" t="n"/>
      <c r="H637" s="1900" t="n"/>
      <c r="I637" s="1900" t="n"/>
      <c r="J637" s="1900" t="n"/>
      <c r="K637" s="1900" t="n"/>
      <c r="L637" s="1900" t="n"/>
      <c r="M637" s="1900" t="n"/>
      <c r="N637" s="1900" t="n"/>
      <c r="O637" s="1901" t="n"/>
      <c r="P637" s="1901" t="n"/>
      <c r="Q637" s="1901" t="n"/>
      <c r="R637" s="1901" t="n"/>
      <c r="S637" s="1900" t="n"/>
      <c r="T637" s="1901" t="n"/>
      <c r="U637" s="1901" t="n"/>
      <c r="V637" s="1901" t="n"/>
      <c r="W637" s="1901" t="n"/>
      <c r="X637" s="1900" t="n"/>
      <c r="Y637" s="1901" t="n"/>
      <c r="Z637" s="1901" t="n"/>
      <c r="AA637" s="1901" t="n"/>
      <c r="AB637" s="1901" t="n"/>
      <c r="AC637" s="1902">
        <f>AC686</f>
        <v/>
      </c>
      <c r="AD637" s="1901" t="n"/>
      <c r="AE637" s="1901" t="n"/>
      <c r="AF637" s="1903">
        <f>AF686</f>
        <v/>
      </c>
      <c r="AG637" s="1903">
        <f>AG686</f>
        <v/>
      </c>
      <c r="AH637" s="1902">
        <f>AH686</f>
        <v/>
      </c>
      <c r="AI637" s="1901">
        <f>AI686</f>
        <v/>
      </c>
      <c r="AJ637" s="1901">
        <f>AJ686</f>
        <v/>
      </c>
      <c r="AK637" s="1904">
        <f>AK686</f>
        <v/>
      </c>
      <c r="AL637" s="1901">
        <f>AL686</f>
        <v/>
      </c>
      <c r="AM637" s="1900">
        <f>AM686</f>
        <v/>
      </c>
      <c r="AN637" s="1901">
        <f>AN686</f>
        <v/>
      </c>
      <c r="AO637" s="1901">
        <f>AO686</f>
        <v/>
      </c>
      <c r="AP637" s="1901">
        <f>AP686</f>
        <v/>
      </c>
      <c r="AQ637" s="1901">
        <f>AQ686</f>
        <v/>
      </c>
      <c r="AR637" s="1900">
        <f>AR686</f>
        <v/>
      </c>
      <c r="AS637" s="1900">
        <f>AS686</f>
        <v/>
      </c>
      <c r="AT637" s="1900">
        <f>AT686</f>
        <v/>
      </c>
      <c r="AU637" s="1900">
        <f>AU686</f>
        <v/>
      </c>
      <c r="AV637" s="1422" t="n"/>
    </row>
    <row r="638" ht="14.4" customFormat="1" customHeight="1" s="1418">
      <c r="A638" s="1467" t="n"/>
      <c r="B638" s="1698" t="n"/>
      <c r="C638" s="1469" t="n"/>
      <c r="D638" s="1469" t="n"/>
      <c r="E638" s="1469" t="n"/>
      <c r="F638" s="1469" t="n"/>
      <c r="G638" s="1469" t="n"/>
      <c r="H638" s="1469" t="n"/>
      <c r="I638" s="1469" t="n"/>
      <c r="J638" s="1469" t="n"/>
      <c r="K638" s="1469" t="n"/>
      <c r="L638" s="1469" t="n"/>
      <c r="M638" s="1469" t="n"/>
      <c r="N638" s="1469" t="n"/>
      <c r="O638" s="1470" t="n"/>
      <c r="P638" s="1470" t="n"/>
      <c r="Q638" s="1470" t="n"/>
      <c r="R638" s="1470" t="n"/>
      <c r="S638" s="1469" t="n"/>
      <c r="T638" s="1470" t="n"/>
      <c r="U638" s="1470" t="n"/>
      <c r="V638" s="1470" t="n"/>
      <c r="W638" s="1470" t="n"/>
      <c r="X638" s="1469" t="n"/>
      <c r="Y638" s="1470" t="n"/>
      <c r="Z638" s="1470" t="n"/>
      <c r="AA638" s="1470" t="n"/>
      <c r="AB638" s="1470" t="n"/>
      <c r="AC638" s="1469" t="n"/>
      <c r="AD638" s="1470" t="n"/>
      <c r="AE638" s="1470" t="n"/>
      <c r="AF638" s="1470" t="n"/>
      <c r="AG638" s="1470" t="n"/>
      <c r="AH638" s="1469" t="n"/>
      <c r="AI638" s="1470" t="n"/>
      <c r="AJ638" s="1470" t="n"/>
      <c r="AK638" s="1471" t="n"/>
      <c r="AL638" s="1470" t="n"/>
      <c r="AM638" s="1469" t="n"/>
      <c r="AN638" s="1470" t="n"/>
      <c r="AO638" s="1470" t="n"/>
      <c r="AP638" s="1470" t="n"/>
      <c r="AQ638" s="1470" t="n"/>
      <c r="AR638" s="1469" t="n"/>
      <c r="AS638" s="1469" t="n"/>
      <c r="AT638" s="1469" t="n"/>
      <c r="AU638" s="1469" t="n"/>
      <c r="AV638" s="1422" t="n"/>
    </row>
    <row r="639" ht="14.4" customFormat="1" customHeight="1" s="1418">
      <c r="A639" s="1439" t="inlineStr">
        <is>
          <t>Intangibles BoP, mm</t>
        </is>
      </c>
      <c r="B639" s="1695" t="n"/>
      <c r="C639" s="1441" t="n"/>
      <c r="D639" s="1441" t="n"/>
      <c r="E639" s="1441" t="n"/>
      <c r="F639" s="1441" t="n"/>
      <c r="G639" s="1441" t="n"/>
      <c r="H639" s="1441" t="n"/>
      <c r="I639" s="1441" t="n"/>
      <c r="J639" s="1441" t="n"/>
      <c r="K639" s="1441" t="n"/>
      <c r="L639" s="1441" t="n"/>
      <c r="M639" s="1441" t="n"/>
      <c r="N639" s="1441" t="n"/>
      <c r="O639" s="1442" t="n"/>
      <c r="P639" s="1442" t="n"/>
      <c r="Q639" s="1442" t="n"/>
      <c r="R639" s="1442" t="n"/>
      <c r="S639" s="1441" t="n"/>
      <c r="T639" s="1442" t="n"/>
      <c r="U639" s="1442" t="n"/>
      <c r="V639" s="1442" t="n"/>
      <c r="W639" s="1442" t="n"/>
      <c r="X639" s="1441" t="n"/>
      <c r="Y639" s="1442" t="n"/>
      <c r="Z639" s="1442" t="n"/>
      <c r="AA639" s="1442" t="n"/>
      <c r="AB639" s="1442" t="n"/>
      <c r="AC639" s="1441" t="n"/>
      <c r="AD639" s="1442" t="n"/>
      <c r="AE639" s="1442" t="n"/>
      <c r="AF639" s="1444">
        <f>AC643</f>
        <v/>
      </c>
      <c r="AG639" s="1444">
        <f>AF643</f>
        <v/>
      </c>
      <c r="AH639" s="1443">
        <f>AC643</f>
        <v/>
      </c>
      <c r="AI639" s="1442">
        <f>AH643</f>
        <v/>
      </c>
      <c r="AJ639" s="1442">
        <f>AH643</f>
        <v/>
      </c>
      <c r="AK639" s="1445">
        <f>AH643</f>
        <v/>
      </c>
      <c r="AL639" s="1442">
        <f>AK643</f>
        <v/>
      </c>
      <c r="AM639" s="1441">
        <f>AH643</f>
        <v/>
      </c>
      <c r="AN639" s="1442">
        <f>AM643</f>
        <v/>
      </c>
      <c r="AO639" s="1442">
        <f>AN643</f>
        <v/>
      </c>
      <c r="AP639" s="1442">
        <f>AO643</f>
        <v/>
      </c>
      <c r="AQ639" s="1442">
        <f>AP643</f>
        <v/>
      </c>
      <c r="AR639" s="1441">
        <f>AM643</f>
        <v/>
      </c>
      <c r="AS639" s="1441">
        <f>AR643</f>
        <v/>
      </c>
      <c r="AT639" s="1441">
        <f>AS643</f>
        <v/>
      </c>
      <c r="AU639" s="1441">
        <f>AT643</f>
        <v/>
      </c>
      <c r="AV639" s="1422" t="n"/>
    </row>
    <row r="640" ht="14.4" customFormat="1" customHeight="1" s="1418">
      <c r="A640" s="1539" t="inlineStr">
        <is>
          <t>Amortization of intangibles, mm</t>
        </is>
      </c>
      <c r="B640" s="1698" t="n"/>
      <c r="C640" s="1469" t="n"/>
      <c r="D640" s="1469" t="n"/>
      <c r="E640" s="1469" t="n"/>
      <c r="F640" s="1469" t="n"/>
      <c r="G640" s="1469" t="n"/>
      <c r="H640" s="1469" t="n"/>
      <c r="I640" s="1469" t="n"/>
      <c r="J640" s="1469" t="n"/>
      <c r="K640" s="1469" t="n"/>
      <c r="L640" s="1469" t="n"/>
      <c r="M640" s="1469" t="n"/>
      <c r="N640" s="1469" t="n"/>
      <c r="O640" s="1470" t="n"/>
      <c r="P640" s="1470" t="n"/>
      <c r="Q640" s="1470" t="n"/>
      <c r="R640" s="1470" t="n"/>
      <c r="S640" s="1469" t="n"/>
      <c r="T640" s="1470" t="n"/>
      <c r="U640" s="1470" t="n"/>
      <c r="V640" s="1470" t="n"/>
      <c r="W640" s="1470" t="n"/>
      <c r="X640" s="1895">
        <f>-X128</f>
        <v/>
      </c>
      <c r="Y640" s="1470" t="n"/>
      <c r="Z640" s="1470" t="n"/>
      <c r="AA640" s="1896">
        <f>-AA128</f>
        <v/>
      </c>
      <c r="AB640" s="1896">
        <f>-AB128</f>
        <v/>
      </c>
      <c r="AC640" s="1895">
        <f>-AC128</f>
        <v/>
      </c>
      <c r="AD640" s="1470">
        <f>-AD128</f>
        <v/>
      </c>
      <c r="AE640" s="1470">
        <f>-AE128</f>
        <v/>
      </c>
      <c r="AF640" s="1896">
        <f>-AF128</f>
        <v/>
      </c>
      <c r="AG640" s="1896">
        <f>-AG128</f>
        <v/>
      </c>
      <c r="AH640" s="1895">
        <f>-AH128</f>
        <v/>
      </c>
      <c r="AI640" s="1470">
        <f>-AI128</f>
        <v/>
      </c>
      <c r="AJ640" s="1470">
        <f>-AJ128</f>
        <v/>
      </c>
      <c r="AK640" s="1897">
        <f>-AK128</f>
        <v/>
      </c>
      <c r="AL640" s="1470">
        <f>-AL639*AL646*AL3/AM3</f>
        <v/>
      </c>
      <c r="AM640" s="1469">
        <f>IF(OR(ISBLANK(AI640),ISBLANK(AJ640),ISBLANK(AK640),ISBLANK(AL640)),"n/a",SUM(AI640,AJ640,AK640,AL640))</f>
        <v/>
      </c>
      <c r="AN640" s="1470">
        <f>-AN639*AN646*AN3/AR3</f>
        <v/>
      </c>
      <c r="AO640" s="1470">
        <f>-AO639*AO646*AO3/AR3</f>
        <v/>
      </c>
      <c r="AP640" s="1470">
        <f>-AP639*AP646*AP3/AR3</f>
        <v/>
      </c>
      <c r="AQ640" s="1470">
        <f>-AQ639*AQ646*AQ3/AR3</f>
        <v/>
      </c>
      <c r="AR640" s="1469">
        <f>IF(OR(ISBLANK(AN640),ISBLANK(AO640),ISBLANK(AP640),ISBLANK(AQ640)),"n/a",SUM(AN640,AO640,AP640,AQ640))</f>
        <v/>
      </c>
      <c r="AS640" s="1469">
        <f>-AS639*AS646</f>
        <v/>
      </c>
      <c r="AT640" s="1469">
        <f>-AT639*AT646</f>
        <v/>
      </c>
      <c r="AU640" s="1469">
        <f>-AU639*AU646</f>
        <v/>
      </c>
      <c r="AV640" s="1422" t="n"/>
    </row>
    <row r="641" ht="14.4" customFormat="1" customHeight="1" s="1418">
      <c r="A641" s="1539" t="inlineStr">
        <is>
          <t>Capex of intangibles, mm</t>
        </is>
      </c>
      <c r="B641" s="1698" t="n"/>
      <c r="C641" s="1469" t="n"/>
      <c r="D641" s="1469" t="n"/>
      <c r="E641" s="1469" t="n"/>
      <c r="F641" s="1469" t="n"/>
      <c r="G641" s="1469" t="n"/>
      <c r="H641" s="1469" t="n"/>
      <c r="I641" s="1469" t="n"/>
      <c r="J641" s="1469" t="n"/>
      <c r="K641" s="1469" t="n"/>
      <c r="L641" s="1469" t="n"/>
      <c r="M641" s="1469" t="n"/>
      <c r="N641" s="1469" t="n"/>
      <c r="O641" s="1470" t="n"/>
      <c r="P641" s="1470" t="n"/>
      <c r="Q641" s="1470" t="n"/>
      <c r="R641" s="1470" t="n"/>
      <c r="S641" s="1469" t="n"/>
      <c r="T641" s="1470" t="n"/>
      <c r="U641" s="1470" t="n"/>
      <c r="V641" s="1470" t="n"/>
      <c r="W641" s="1470" t="n"/>
      <c r="X641" s="1469" t="n"/>
      <c r="Y641" s="1470" t="n"/>
      <c r="Z641" s="1470" t="n"/>
      <c r="AA641" s="1470" t="n"/>
      <c r="AB641" s="1470" t="n"/>
      <c r="AC641" s="1469" t="n"/>
      <c r="AD641" s="1470" t="n"/>
      <c r="AE641" s="1470" t="n"/>
      <c r="AF641" s="1470" t="n"/>
      <c r="AG641" s="1470" t="n"/>
      <c r="AH641" s="1469" t="n"/>
      <c r="AI641" s="1470" t="n"/>
      <c r="AJ641" s="1470" t="n"/>
      <c r="AK641" s="1471" t="n"/>
      <c r="AL641" s="1470">
        <f>AL651*AL652</f>
        <v/>
      </c>
      <c r="AM641" s="1469">
        <f>IF(OR(ISBLANK(AI641),ISBLANK(AJ641),ISBLANK(AK641),ISBLANK(AL641)),"n/a",SUM(AI641,AJ641,AK641,AL641))</f>
        <v/>
      </c>
      <c r="AN641" s="1470">
        <f>AN651*AN652</f>
        <v/>
      </c>
      <c r="AO641" s="1470">
        <f>AO651*AO652</f>
        <v/>
      </c>
      <c r="AP641" s="1470">
        <f>AP651*AP652</f>
        <v/>
      </c>
      <c r="AQ641" s="1470">
        <f>AQ651*AQ652</f>
        <v/>
      </c>
      <c r="AR641" s="1469">
        <f>IF(OR(ISBLANK(AN641),ISBLANK(AO641),ISBLANK(AP641),ISBLANK(AQ641)),"n/a",SUM(AN641,AO641,AP641,AQ641))</f>
        <v/>
      </c>
      <c r="AS641" s="1469">
        <f>AS651*AS652</f>
        <v/>
      </c>
      <c r="AT641" s="1469">
        <f>AT651*AT652</f>
        <v/>
      </c>
      <c r="AU641" s="1469">
        <f>AU651*AU652</f>
        <v/>
      </c>
      <c r="AV641" s="1422" t="n"/>
    </row>
    <row r="642" ht="14.4" customFormat="1" customHeight="1" s="1418">
      <c r="A642" s="1539" t="inlineStr">
        <is>
          <t>Other net additions to intangibles, mm</t>
        </is>
      </c>
      <c r="B642" s="1698" t="n"/>
      <c r="C642" s="1469" t="n"/>
      <c r="D642" s="1469" t="n"/>
      <c r="E642" s="1469" t="n"/>
      <c r="F642" s="1469" t="n"/>
      <c r="G642" s="1469" t="n"/>
      <c r="H642" s="1469" t="n"/>
      <c r="I642" s="1469" t="n"/>
      <c r="J642" s="1469" t="n"/>
      <c r="K642" s="1469" t="n"/>
      <c r="L642" s="1469" t="n"/>
      <c r="M642" s="1469" t="n"/>
      <c r="N642" s="1469" t="n"/>
      <c r="O642" s="1470" t="n"/>
      <c r="P642" s="1470" t="n"/>
      <c r="Q642" s="1470" t="n"/>
      <c r="R642" s="1470" t="n"/>
      <c r="S642" s="1469" t="n"/>
      <c r="T642" s="1470" t="n"/>
      <c r="U642" s="1470" t="n"/>
      <c r="V642" s="1470" t="n"/>
      <c r="W642" s="1470" t="n"/>
      <c r="X642" s="1469" t="n"/>
      <c r="Y642" s="1470" t="n"/>
      <c r="Z642" s="1470" t="n"/>
      <c r="AA642" s="1470" t="n"/>
      <c r="AB642" s="1470" t="n"/>
      <c r="AC642" s="1469" t="n"/>
      <c r="AD642" s="1470" t="n"/>
      <c r="AE642" s="1470" t="n"/>
      <c r="AF642" s="1896">
        <f>ROUND(AF643-AF639-AF640-AF641,6)</f>
        <v/>
      </c>
      <c r="AG642" s="1896">
        <f>ROUND(AG643-AG639-AG640-AG641,6)</f>
        <v/>
      </c>
      <c r="AH642" s="1895">
        <f>ROUND(AH643-AH639-AH640-AH641,6)</f>
        <v/>
      </c>
      <c r="AI642" s="1470">
        <f>ROUND(AI643-AI639-AI640-AI641,6)</f>
        <v/>
      </c>
      <c r="AJ642" s="1470">
        <f>ROUND(AJ643-AJ639-AJ640-AJ641,6)</f>
        <v/>
      </c>
      <c r="AK642" s="1897">
        <f>ROUND(AK643-AK639-AK640-AK641,6)</f>
        <v/>
      </c>
      <c r="AL642" s="1470">
        <f>ROUND(AL643-AL639-AL640-AL641,6)</f>
        <v/>
      </c>
      <c r="AM642" s="1469">
        <f>ROUND(AM643-AM639-IF(ISNUMBER(AM640),AM640,0)-IF(ISNUMBER(AM641),AM641,0),6)</f>
        <v/>
      </c>
      <c r="AN642" s="1470">
        <f>ROUND(AN643-AN639-AN640-AN641,6)</f>
        <v/>
      </c>
      <c r="AO642" s="1470">
        <f>ROUND(AO643-AO639-AO640-AO641,6)</f>
        <v/>
      </c>
      <c r="AP642" s="1470">
        <f>ROUND(AP643-AP639-AP640-AP641,6)</f>
        <v/>
      </c>
      <c r="AQ642" s="1470">
        <f>ROUND(AQ643-AQ639-AQ640-AQ641,6)</f>
        <v/>
      </c>
      <c r="AR642" s="1469">
        <f>ROUND(AR643-AR639-IF(ISNUMBER(AR640),AR640,0)-IF(ISNUMBER(AR641),AR641,0),6)</f>
        <v/>
      </c>
      <c r="AS642" s="1469">
        <f>ROUND(AS643-AS639-AS640-AS641,6)</f>
        <v/>
      </c>
      <c r="AT642" s="1469">
        <f>ROUND(AT643-AT639-AT640-AT641,6)</f>
        <v/>
      </c>
      <c r="AU642" s="1469">
        <f>ROUND(AU643-AU639-AU640-AU641,6)</f>
        <v/>
      </c>
      <c r="AV642" s="1422" t="n"/>
    </row>
    <row r="643" ht="14.4" customFormat="1" customHeight="1" s="1418">
      <c r="A643" s="1898" t="inlineStr">
        <is>
          <t>Intangibles EoP, mm</t>
        </is>
      </c>
      <c r="B643" s="1899" t="n"/>
      <c r="C643" s="1900" t="n"/>
      <c r="D643" s="1900" t="n"/>
      <c r="E643" s="1900" t="n"/>
      <c r="F643" s="1900" t="n"/>
      <c r="G643" s="1900" t="n"/>
      <c r="H643" s="1900" t="n"/>
      <c r="I643" s="1900" t="n"/>
      <c r="J643" s="1900" t="n"/>
      <c r="K643" s="1900" t="n"/>
      <c r="L643" s="1900" t="n"/>
      <c r="M643" s="1900" t="n"/>
      <c r="N643" s="1900" t="n"/>
      <c r="O643" s="1901" t="n"/>
      <c r="P643" s="1901" t="n"/>
      <c r="Q643" s="1901" t="n"/>
      <c r="R643" s="1901" t="n"/>
      <c r="S643" s="1900" t="n"/>
      <c r="T643" s="1901" t="n"/>
      <c r="U643" s="1901" t="n"/>
      <c r="V643" s="1901" t="n"/>
      <c r="W643" s="1901" t="n"/>
      <c r="X643" s="1900" t="n"/>
      <c r="Y643" s="1901" t="n"/>
      <c r="Z643" s="1901" t="n"/>
      <c r="AA643" s="1901" t="n"/>
      <c r="AB643" s="1903">
        <f>AB688</f>
        <v/>
      </c>
      <c r="AC643" s="1902">
        <f>AC688</f>
        <v/>
      </c>
      <c r="AD643" s="1901" t="n"/>
      <c r="AE643" s="1901" t="n"/>
      <c r="AF643" s="1903">
        <f>AF688</f>
        <v/>
      </c>
      <c r="AG643" s="1903">
        <f>AG688</f>
        <v/>
      </c>
      <c r="AH643" s="1902">
        <f>AH688</f>
        <v/>
      </c>
      <c r="AI643" s="1901">
        <f>AI688</f>
        <v/>
      </c>
      <c r="AJ643" s="1901">
        <f>AJ688</f>
        <v/>
      </c>
      <c r="AK643" s="1904">
        <f>AK688</f>
        <v/>
      </c>
      <c r="AL643" s="1901">
        <f>AL688</f>
        <v/>
      </c>
      <c r="AM643" s="1900">
        <f>AM688</f>
        <v/>
      </c>
      <c r="AN643" s="1901">
        <f>AN688</f>
        <v/>
      </c>
      <c r="AO643" s="1901">
        <f>AO688</f>
        <v/>
      </c>
      <c r="AP643" s="1901">
        <f>AP688</f>
        <v/>
      </c>
      <c r="AQ643" s="1901">
        <f>AQ688</f>
        <v/>
      </c>
      <c r="AR643" s="1900">
        <f>AR688</f>
        <v/>
      </c>
      <c r="AS643" s="1900">
        <f>AS688</f>
        <v/>
      </c>
      <c r="AT643" s="1900">
        <f>AT688</f>
        <v/>
      </c>
      <c r="AU643" s="1900">
        <f>AU688</f>
        <v/>
      </c>
      <c r="AV643" s="1422" t="n"/>
    </row>
    <row r="644" ht="14.4" customFormat="1" customHeight="1" s="1418">
      <c r="A644" s="1467" t="n"/>
      <c r="B644" s="1698" t="n"/>
      <c r="C644" s="1469" t="n"/>
      <c r="D644" s="1469" t="n"/>
      <c r="E644" s="1469" t="n"/>
      <c r="F644" s="1469" t="n"/>
      <c r="G644" s="1469" t="n"/>
      <c r="H644" s="1469" t="n"/>
      <c r="I644" s="1469" t="n"/>
      <c r="J644" s="1469" t="n"/>
      <c r="K644" s="1469" t="n"/>
      <c r="L644" s="1469" t="n"/>
      <c r="M644" s="1469" t="n"/>
      <c r="N644" s="1469" t="n"/>
      <c r="O644" s="1470" t="n"/>
      <c r="P644" s="1470" t="n"/>
      <c r="Q644" s="1470" t="n"/>
      <c r="R644" s="1470" t="n"/>
      <c r="S644" s="1469" t="n"/>
      <c r="T644" s="1470" t="n"/>
      <c r="U644" s="1470" t="n"/>
      <c r="V644" s="1470" t="n"/>
      <c r="W644" s="1470" t="n"/>
      <c r="X644" s="1469" t="n"/>
      <c r="Y644" s="1470" t="n"/>
      <c r="Z644" s="1470" t="n"/>
      <c r="AA644" s="1470" t="n"/>
      <c r="AB644" s="1470" t="n"/>
      <c r="AC644" s="1469" t="n"/>
      <c r="AD644" s="1470" t="n"/>
      <c r="AE644" s="1470" t="n"/>
      <c r="AF644" s="1470" t="n"/>
      <c r="AG644" s="1470" t="n"/>
      <c r="AH644" s="1469" t="n"/>
      <c r="AI644" s="1470" t="n"/>
      <c r="AJ644" s="1470" t="n"/>
      <c r="AK644" s="1471" t="n"/>
      <c r="AL644" s="1470" t="n"/>
      <c r="AM644" s="1469" t="n"/>
      <c r="AN644" s="1470" t="n"/>
      <c r="AO644" s="1470" t="n"/>
      <c r="AP644" s="1470" t="n"/>
      <c r="AQ644" s="1470" t="n"/>
      <c r="AR644" s="1469" t="n"/>
      <c r="AS644" s="1469" t="n"/>
      <c r="AT644" s="1469" t="n"/>
      <c r="AU644" s="1469" t="n"/>
      <c r="AV644" s="1422" t="n"/>
    </row>
    <row r="645" ht="14.4" customFormat="1" customHeight="1" s="1418">
      <c r="A645" s="1589" t="inlineStr">
        <is>
          <t>Depreciation as percentage of PP&amp;E BoP, %</t>
        </is>
      </c>
      <c r="B645" s="1717" t="n"/>
      <c r="C645" s="1459" t="n"/>
      <c r="D645" s="1459" t="n"/>
      <c r="E645" s="1459" t="n"/>
      <c r="F645" s="1459" t="n"/>
      <c r="G645" s="1459" t="n"/>
      <c r="H645" s="1459" t="n"/>
      <c r="I645" s="1459" t="n"/>
      <c r="J645" s="1459" t="n"/>
      <c r="K645" s="1459" t="n"/>
      <c r="L645" s="1459" t="n"/>
      <c r="M645" s="1459" t="n"/>
      <c r="N645" s="1459" t="n"/>
      <c r="O645" s="1460" t="n"/>
      <c r="P645" s="1460" t="n"/>
      <c r="Q645" s="1460" t="n"/>
      <c r="R645" s="1460" t="n"/>
      <c r="S645" s="1459" t="n"/>
      <c r="T645" s="1460" t="n"/>
      <c r="U645" s="1460" t="n"/>
      <c r="V645" s="1460" t="n"/>
      <c r="W645" s="1460" t="n"/>
      <c r="X645" s="1459" t="n"/>
      <c r="Y645" s="1460" t="n"/>
      <c r="Z645" s="1460" t="n"/>
      <c r="AA645" s="1460" t="n"/>
      <c r="AB645" s="1460" t="n"/>
      <c r="AC645" s="1459" t="n"/>
      <c r="AD645" s="1460" t="n"/>
      <c r="AE645" s="1460" t="n"/>
      <c r="AF645" s="1461">
        <f>IFERROR((-AF634/AF633)/(AF3/AH3),"n/a")</f>
        <v/>
      </c>
      <c r="AG645" s="1461">
        <f>IFERROR((-AG634/AG633)/(AG3/AH3),"n/a")</f>
        <v/>
      </c>
      <c r="AH645" s="1472">
        <f>IFERROR(-AH634/AH633,"n/a")</f>
        <v/>
      </c>
      <c r="AI645" s="1460">
        <f>IFERROR((-AI634/AI633)/(AI3/AM3),"n/a")</f>
        <v/>
      </c>
      <c r="AJ645" s="1460">
        <f>IFERROR((-AJ634/AJ633)/(AJ3/AM3),"n/a")</f>
        <v/>
      </c>
      <c r="AK645" s="1462">
        <f>IFERROR((-AK634/AK633)/(AK3/AM3),"n/a")</f>
        <v/>
      </c>
      <c r="AL645" s="1465" t="n">
        <v>0.19</v>
      </c>
      <c r="AM645" s="1459">
        <f>AVERAGE(AI645,AJ645,AK645,AL645)</f>
        <v/>
      </c>
      <c r="AN645" s="1465" t="n">
        <v>0.21</v>
      </c>
      <c r="AO645" s="1465" t="n">
        <v>0.21</v>
      </c>
      <c r="AP645" s="1465" t="n">
        <v>0.19</v>
      </c>
      <c r="AQ645" s="1465" t="n">
        <v>0.21</v>
      </c>
      <c r="AR645" s="1459">
        <f>AVERAGE(AN645,AO645,AP645,AQ645)</f>
        <v/>
      </c>
      <c r="AS645" s="1466" t="n">
        <v>0.22</v>
      </c>
      <c r="AT645" s="1466" t="n">
        <v>0.23</v>
      </c>
      <c r="AU645" s="1466" t="n">
        <v>0.18</v>
      </c>
      <c r="AV645" s="1422" t="n"/>
    </row>
    <row r="646" ht="14.4" customFormat="1" customHeight="1" s="1418">
      <c r="A646" s="1589" t="inlineStr">
        <is>
          <t>Amortization as percentage of Intangibles BoP, %</t>
        </is>
      </c>
      <c r="B646" s="1717" t="n"/>
      <c r="C646" s="1459" t="n"/>
      <c r="D646" s="1459" t="n"/>
      <c r="E646" s="1459" t="n"/>
      <c r="F646" s="1459" t="n"/>
      <c r="G646" s="1459" t="n"/>
      <c r="H646" s="1459" t="n"/>
      <c r="I646" s="1459" t="n"/>
      <c r="J646" s="1459" t="n"/>
      <c r="K646" s="1459" t="n"/>
      <c r="L646" s="1459" t="n"/>
      <c r="M646" s="1459" t="n"/>
      <c r="N646" s="1459" t="n"/>
      <c r="O646" s="1460" t="n"/>
      <c r="P646" s="1460" t="n"/>
      <c r="Q646" s="1460" t="n"/>
      <c r="R646" s="1460" t="n"/>
      <c r="S646" s="1459" t="n"/>
      <c r="T646" s="1460" t="n"/>
      <c r="U646" s="1460" t="n"/>
      <c r="V646" s="1460" t="n"/>
      <c r="W646" s="1460" t="n"/>
      <c r="X646" s="1459" t="n"/>
      <c r="Y646" s="1460" t="n"/>
      <c r="Z646" s="1460" t="n"/>
      <c r="AA646" s="1460" t="n"/>
      <c r="AB646" s="1460" t="n"/>
      <c r="AC646" s="1459" t="n"/>
      <c r="AD646" s="1460" t="n"/>
      <c r="AE646" s="1460" t="n"/>
      <c r="AF646" s="1461">
        <f>IFERROR((-AF640/AF639)/(AF3/AH3),"n/a")</f>
        <v/>
      </c>
      <c r="AG646" s="1461">
        <f>IFERROR((-AG640/AG639)/(AG3/AH3),"n/a")</f>
        <v/>
      </c>
      <c r="AH646" s="1472">
        <f>IFERROR(-AH640/AH639,"n/a")</f>
        <v/>
      </c>
      <c r="AI646" s="1460">
        <f>IFERROR((-AI640/AI639)/(AI3/AM3),"n/a")</f>
        <v/>
      </c>
      <c r="AJ646" s="1460">
        <f>IFERROR((-AJ640/AJ639)/(AJ3/AM3),"n/a")</f>
        <v/>
      </c>
      <c r="AK646" s="1462">
        <f>IFERROR((-AK640/AK639)/(AK3/AM3),"n/a")</f>
        <v/>
      </c>
      <c r="AL646" s="1465" t="n">
        <v>0.4</v>
      </c>
      <c r="AM646" s="1459">
        <f>AVERAGE(AI646,AJ646,AK646,AL646)</f>
        <v/>
      </c>
      <c r="AN646" s="1465" t="n">
        <v>0.4</v>
      </c>
      <c r="AO646" s="1465" t="n">
        <v>0.4</v>
      </c>
      <c r="AP646" s="1465" t="n">
        <v>0.4</v>
      </c>
      <c r="AQ646" s="1465" t="n">
        <v>0.4</v>
      </c>
      <c r="AR646" s="1459">
        <f>AVERAGE(AN646,AO646,AP646,AQ646)</f>
        <v/>
      </c>
      <c r="AS646" s="1466" t="n">
        <v>0.4</v>
      </c>
      <c r="AT646" s="1466" t="n">
        <v>0.4</v>
      </c>
      <c r="AU646" s="1466" t="n">
        <v>0.4</v>
      </c>
      <c r="AV646" s="1422" t="n"/>
    </row>
    <row r="647" ht="14.4" customFormat="1" customHeight="1" s="1480">
      <c r="A647" s="1515" t="inlineStr">
        <is>
          <t>Implied life of fixed assets, yr</t>
        </is>
      </c>
      <c r="B647" s="1905" t="n"/>
      <c r="C647" s="1517" t="n"/>
      <c r="D647" s="1517" t="n"/>
      <c r="E647" s="1517" t="n"/>
      <c r="F647" s="1517" t="n"/>
      <c r="G647" s="1517" t="n"/>
      <c r="H647" s="1517" t="n"/>
      <c r="I647" s="1517" t="n"/>
      <c r="J647" s="1517" t="n"/>
      <c r="K647" s="1517" t="n"/>
      <c r="L647" s="1517" t="n"/>
      <c r="M647" s="1517" t="n"/>
      <c r="N647" s="1517" t="n"/>
      <c r="O647" s="1518" t="n"/>
      <c r="P647" s="1518" t="n"/>
      <c r="Q647" s="1518" t="n"/>
      <c r="R647" s="1518" t="n"/>
      <c r="S647" s="1517" t="n"/>
      <c r="T647" s="1518" t="n"/>
      <c r="U647" s="1518" t="n"/>
      <c r="V647" s="1518" t="n"/>
      <c r="W647" s="1518" t="n"/>
      <c r="X647" s="1517" t="n"/>
      <c r="Y647" s="1518" t="n"/>
      <c r="Z647" s="1518" t="n"/>
      <c r="AA647" s="1518" t="n"/>
      <c r="AB647" s="1518" t="n"/>
      <c r="AC647" s="1517" t="n"/>
      <c r="AD647" s="1518" t="n"/>
      <c r="AE647" s="1518" t="n"/>
      <c r="AF647" s="1521">
        <f>IFERROR(-AF633/AF634*AF3/AH3,"n/a")</f>
        <v/>
      </c>
      <c r="AG647" s="1521">
        <f>IFERROR((-AG633/AG634)/(AH3/AG3),"n/a")</f>
        <v/>
      </c>
      <c r="AH647" s="1906">
        <f>IFERROR(-AH633/AH634,"n/a")</f>
        <v/>
      </c>
      <c r="AI647" s="1518">
        <f>IFERROR(-AI633/AI634*AI3/AM3,"n/a")</f>
        <v/>
      </c>
      <c r="AJ647" s="1518">
        <f>IFERROR(-AJ633/AJ634*AJ3/AM3,"n/a")</f>
        <v/>
      </c>
      <c r="AK647" s="1907">
        <f>IFERROR(-AK633/AK634*AK3/AM3,"n/a")</f>
        <v/>
      </c>
      <c r="AL647" s="1518">
        <f>IFERROR(-AL633/AL634*AL3/AM3,"n/a")</f>
        <v/>
      </c>
      <c r="AM647" s="1517">
        <f>AVERAGE(AI647,AJ647,AK647,AL647)</f>
        <v/>
      </c>
      <c r="AN647" s="1518">
        <f>IFERROR(-AN633/AN634*AN3/AR3,"n/a")</f>
        <v/>
      </c>
      <c r="AO647" s="1518">
        <f>IFERROR(-AO633/AO634*AO3/AR3,"n/a")</f>
        <v/>
      </c>
      <c r="AP647" s="1518">
        <f>IFERROR(-AP633/AP634*AP3/AR3,"n/a")</f>
        <v/>
      </c>
      <c r="AQ647" s="1518">
        <f>IFERROR(-AQ633/AQ634*AQ3/AR3,"n/a")</f>
        <v/>
      </c>
      <c r="AR647" s="1517">
        <f>AVERAGE(AN647,AO647,AP647,AQ647)</f>
        <v/>
      </c>
      <c r="AS647" s="1517">
        <f>IFERROR(-AS633/AS634,"n/a")</f>
        <v/>
      </c>
      <c r="AT647" s="1517">
        <f>IFERROR(-AT633/AT634,"n/a")</f>
        <v/>
      </c>
      <c r="AU647" s="1517">
        <f>IFERROR(-AU633/AU634,"n/a")</f>
        <v/>
      </c>
      <c r="AV647" s="1488" t="n"/>
    </row>
    <row r="648" ht="14.4" customFormat="1" customHeight="1" s="1480">
      <c r="A648" s="1515" t="inlineStr">
        <is>
          <t>Implied life of intangibles, yr</t>
        </is>
      </c>
      <c r="B648" s="1905" t="n"/>
      <c r="C648" s="1517" t="n"/>
      <c r="D648" s="1517" t="n"/>
      <c r="E648" s="1517" t="n"/>
      <c r="F648" s="1517" t="n"/>
      <c r="G648" s="1517" t="n"/>
      <c r="H648" s="1517" t="n"/>
      <c r="I648" s="1517" t="n"/>
      <c r="J648" s="1517" t="n"/>
      <c r="K648" s="1517" t="n"/>
      <c r="L648" s="1517" t="n"/>
      <c r="M648" s="1517" t="n"/>
      <c r="N648" s="1517" t="n"/>
      <c r="O648" s="1518" t="n"/>
      <c r="P648" s="1518" t="n"/>
      <c r="Q648" s="1518" t="n"/>
      <c r="R648" s="1518" t="n"/>
      <c r="S648" s="1517" t="n"/>
      <c r="T648" s="1518" t="n"/>
      <c r="U648" s="1518" t="n"/>
      <c r="V648" s="1518" t="n"/>
      <c r="W648" s="1518" t="n"/>
      <c r="X648" s="1517" t="n"/>
      <c r="Y648" s="1518" t="n"/>
      <c r="Z648" s="1518" t="n"/>
      <c r="AA648" s="1518" t="n"/>
      <c r="AB648" s="1518" t="n"/>
      <c r="AC648" s="1517" t="n"/>
      <c r="AD648" s="1518" t="n"/>
      <c r="AE648" s="1518" t="n"/>
      <c r="AF648" s="1521">
        <f>IFERROR(-AF639/AF640*AF3/AH3,"n/a")</f>
        <v/>
      </c>
      <c r="AG648" s="1521">
        <f>IFERROR((-AG639/AG640)/(AH3/AG3),"n/a")</f>
        <v/>
      </c>
      <c r="AH648" s="1906">
        <f>IFERROR(-AH639/AH640,"n/a")</f>
        <v/>
      </c>
      <c r="AI648" s="1518">
        <f>IFERROR(-AI639/AI640*AI3/AM3,"n/a")</f>
        <v/>
      </c>
      <c r="AJ648" s="1518">
        <f>IFERROR(-AJ639/AJ640*AJ3/AM3,"n/a")</f>
        <v/>
      </c>
      <c r="AK648" s="1907">
        <f>IFERROR(-AK639/AK640*AK3/AM3,"n/a")</f>
        <v/>
      </c>
      <c r="AL648" s="1518">
        <f>IFERROR(-AL639/AL640*AL3/AM3,"n/a")</f>
        <v/>
      </c>
      <c r="AM648" s="1517">
        <f>AVERAGE(AI648,AJ648,AK648,AL648)</f>
        <v/>
      </c>
      <c r="AN648" s="1518">
        <f>IFERROR(-AN639/AN640*AN3/AR3,"n/a")</f>
        <v/>
      </c>
      <c r="AO648" s="1518">
        <f>IFERROR(-AO639/AO640*AO3/AR3,"n/a")</f>
        <v/>
      </c>
      <c r="AP648" s="1518">
        <f>IFERROR(-AP639/AP640*AP3/AR3,"n/a")</f>
        <v/>
      </c>
      <c r="AQ648" s="1518">
        <f>IFERROR(-AQ639/AQ640*AQ3/AR3,"n/a")</f>
        <v/>
      </c>
      <c r="AR648" s="1517">
        <f>AVERAGE(AN648,AO648,AP648,AQ648)</f>
        <v/>
      </c>
      <c r="AS648" s="1517">
        <f>IFERROR(-AS639/AS640,"n/a")</f>
        <v/>
      </c>
      <c r="AT648" s="1517">
        <f>IFERROR(-AT639/AT640,"n/a")</f>
        <v/>
      </c>
      <c r="AU648" s="1517">
        <f>IFERROR(-AU639/AU640,"n/a")</f>
        <v/>
      </c>
      <c r="AV648" s="1488" t="n"/>
    </row>
    <row r="649" ht="14.4" customFormat="1" customHeight="1" s="1418">
      <c r="A649" s="1467" t="n"/>
      <c r="B649" s="1698" t="n"/>
      <c r="C649" s="1469" t="n"/>
      <c r="D649" s="1469" t="n"/>
      <c r="E649" s="1469" t="n"/>
      <c r="F649" s="1469" t="n"/>
      <c r="G649" s="1469" t="n"/>
      <c r="H649" s="1469" t="n"/>
      <c r="I649" s="1469" t="n"/>
      <c r="J649" s="1469" t="n"/>
      <c r="K649" s="1469" t="n"/>
      <c r="L649" s="1469" t="n"/>
      <c r="M649" s="1469" t="n"/>
      <c r="N649" s="1469" t="n"/>
      <c r="O649" s="1470" t="n"/>
      <c r="P649" s="1470" t="n"/>
      <c r="Q649" s="1470" t="n"/>
      <c r="R649" s="1470" t="n"/>
      <c r="S649" s="1469" t="n"/>
      <c r="T649" s="1470" t="n"/>
      <c r="U649" s="1470" t="n"/>
      <c r="V649" s="1470" t="n"/>
      <c r="W649" s="1470" t="n"/>
      <c r="X649" s="1469" t="n"/>
      <c r="Y649" s="1470" t="n"/>
      <c r="Z649" s="1470" t="n"/>
      <c r="AA649" s="1470" t="n"/>
      <c r="AB649" s="1470" t="n"/>
      <c r="AC649" s="1469" t="n"/>
      <c r="AD649" s="1470" t="n"/>
      <c r="AE649" s="1470" t="n"/>
      <c r="AF649" s="1470" t="n"/>
      <c r="AG649" s="1470" t="n"/>
      <c r="AH649" s="1469" t="n"/>
      <c r="AI649" s="1470" t="n"/>
      <c r="AJ649" s="1470" t="n"/>
      <c r="AK649" s="1471" t="n"/>
      <c r="AL649" s="1470" t="n"/>
      <c r="AM649" s="1469" t="n"/>
      <c r="AN649" s="1470" t="n"/>
      <c r="AO649" s="1470" t="n"/>
      <c r="AP649" s="1470" t="n"/>
      <c r="AQ649" s="1470" t="n"/>
      <c r="AR649" s="1469" t="n"/>
      <c r="AS649" s="1469" t="n"/>
      <c r="AT649" s="1469" t="n"/>
      <c r="AU649" s="1469" t="n"/>
      <c r="AV649" s="1422" t="n"/>
    </row>
    <row r="650" ht="14.4" customFormat="1" customHeight="1" s="1418">
      <c r="A650" s="1439" t="inlineStr">
        <is>
          <t>D&amp;A of PPE and Intangibles, mm</t>
        </is>
      </c>
      <c r="B650" s="1695" t="n"/>
      <c r="C650" s="1441" t="n"/>
      <c r="D650" s="1441" t="n"/>
      <c r="E650" s="1441" t="n"/>
      <c r="F650" s="1441" t="n"/>
      <c r="G650" s="1441" t="n"/>
      <c r="H650" s="1441" t="n"/>
      <c r="I650" s="1441" t="n"/>
      <c r="J650" s="1441" t="n"/>
      <c r="K650" s="1441" t="n"/>
      <c r="L650" s="1441" t="n"/>
      <c r="M650" s="1441" t="n"/>
      <c r="N650" s="1441" t="n"/>
      <c r="O650" s="1442" t="n"/>
      <c r="P650" s="1442" t="n"/>
      <c r="Q650" s="1442" t="n"/>
      <c r="R650" s="1442" t="n"/>
      <c r="S650" s="1441" t="n"/>
      <c r="T650" s="1442" t="n"/>
      <c r="U650" s="1442" t="n"/>
      <c r="V650" s="1442" t="n"/>
      <c r="W650" s="1442" t="n"/>
      <c r="X650" s="1443">
        <f>-X634-X640</f>
        <v/>
      </c>
      <c r="Y650" s="1442" t="n"/>
      <c r="Z650" s="1442" t="n"/>
      <c r="AA650" s="1444">
        <f>-AA634-AA640</f>
        <v/>
      </c>
      <c r="AB650" s="1444">
        <f>-AB634-AB640</f>
        <v/>
      </c>
      <c r="AC650" s="1443">
        <f>-AC634-AC640</f>
        <v/>
      </c>
      <c r="AD650" s="1442" t="n"/>
      <c r="AE650" s="1442" t="n"/>
      <c r="AF650" s="1444">
        <f>-AF634-AF640</f>
        <v/>
      </c>
      <c r="AG650" s="1444">
        <f>-AG634-AG640</f>
        <v/>
      </c>
      <c r="AH650" s="1443">
        <f>-AH634-AH640</f>
        <v/>
      </c>
      <c r="AI650" s="1442">
        <f>-AI634-AI640</f>
        <v/>
      </c>
      <c r="AJ650" s="1442">
        <f>-AJ634-AJ640</f>
        <v/>
      </c>
      <c r="AK650" s="1445">
        <f>-AK634-AK640</f>
        <v/>
      </c>
      <c r="AL650" s="1442">
        <f>-AL634-AL640</f>
        <v/>
      </c>
      <c r="AM650" s="1441">
        <f>-AM634-AM640</f>
        <v/>
      </c>
      <c r="AN650" s="1442">
        <f>-AN634-AN640</f>
        <v/>
      </c>
      <c r="AO650" s="1442">
        <f>-AO634-AO640</f>
        <v/>
      </c>
      <c r="AP650" s="1442">
        <f>-AP634-AP640</f>
        <v/>
      </c>
      <c r="AQ650" s="1442">
        <f>-AQ634-AQ640</f>
        <v/>
      </c>
      <c r="AR650" s="1441">
        <f>-AR634-AR640</f>
        <v/>
      </c>
      <c r="AS650" s="1441">
        <f>-AS634-AS640</f>
        <v/>
      </c>
      <c r="AT650" s="1441">
        <f>-AT634-AT640</f>
        <v/>
      </c>
      <c r="AU650" s="1441">
        <f>-AU634-AU640</f>
        <v/>
      </c>
      <c r="AV650" s="1422" t="n"/>
    </row>
    <row r="651" ht="14.4" customFormat="1" customHeight="1" s="1418">
      <c r="A651" s="1439" t="inlineStr">
        <is>
          <t>Capex of PPE and Intangibles, mm</t>
        </is>
      </c>
      <c r="B651" s="1695" t="n"/>
      <c r="C651" s="1441" t="n"/>
      <c r="D651" s="1441" t="n"/>
      <c r="E651" s="1441" t="n"/>
      <c r="F651" s="1441" t="n"/>
      <c r="G651" s="1441" t="n"/>
      <c r="H651" s="1441" t="n"/>
      <c r="I651" s="1441" t="n"/>
      <c r="J651" s="1441" t="n"/>
      <c r="K651" s="1441" t="n"/>
      <c r="L651" s="1441" t="n"/>
      <c r="M651" s="1441" t="n"/>
      <c r="N651" s="1441" t="n"/>
      <c r="O651" s="1442" t="n"/>
      <c r="P651" s="1442" t="n"/>
      <c r="Q651" s="1442" t="n"/>
      <c r="R651" s="1442" t="n"/>
      <c r="S651" s="1441" t="n"/>
      <c r="T651" s="1442" t="n"/>
      <c r="U651" s="1442" t="n"/>
      <c r="V651" s="1442" t="n"/>
      <c r="W651" s="1442" t="n"/>
      <c r="X651" s="1443">
        <f>-X436</f>
        <v/>
      </c>
      <c r="Y651" s="1442" t="n"/>
      <c r="Z651" s="1442" t="n"/>
      <c r="AA651" s="1444">
        <f>-AA436</f>
        <v/>
      </c>
      <c r="AB651" s="1444">
        <f>-AB436</f>
        <v/>
      </c>
      <c r="AC651" s="1443">
        <f>-AC436</f>
        <v/>
      </c>
      <c r="AD651" s="1442" t="n"/>
      <c r="AE651" s="1442" t="n"/>
      <c r="AF651" s="1444">
        <f>-AF436</f>
        <v/>
      </c>
      <c r="AG651" s="1444">
        <f>-AG436</f>
        <v/>
      </c>
      <c r="AH651" s="1443">
        <f>-AH436</f>
        <v/>
      </c>
      <c r="AI651" s="1442">
        <f>-AI436</f>
        <v/>
      </c>
      <c r="AJ651" s="1442">
        <f>-AJ436</f>
        <v/>
      </c>
      <c r="AK651" s="1445">
        <f>-AK436</f>
        <v/>
      </c>
      <c r="AL651" s="1442">
        <f>-AL436</f>
        <v/>
      </c>
      <c r="AM651" s="1441">
        <f>-AM436</f>
        <v/>
      </c>
      <c r="AN651" s="1442">
        <f>-AN436</f>
        <v/>
      </c>
      <c r="AO651" s="1442">
        <f>-AO436</f>
        <v/>
      </c>
      <c r="AP651" s="1442">
        <f>-AP436</f>
        <v/>
      </c>
      <c r="AQ651" s="1442">
        <f>-AQ436</f>
        <v/>
      </c>
      <c r="AR651" s="1441">
        <f>-AR436</f>
        <v/>
      </c>
      <c r="AS651" s="1441">
        <f>-AS436</f>
        <v/>
      </c>
      <c r="AT651" s="1441">
        <f>-AT436</f>
        <v/>
      </c>
      <c r="AU651" s="1441">
        <f>-AU436</f>
        <v/>
      </c>
      <c r="AV651" s="1422" t="n"/>
    </row>
    <row r="652" ht="14.4" customFormat="1" customHeight="1" s="1418">
      <c r="A652" s="1589" t="inlineStr">
        <is>
          <t>Percentage of capex allocated to intangible assets, %</t>
        </is>
      </c>
      <c r="B652" s="1717" t="n"/>
      <c r="C652" s="1459" t="n"/>
      <c r="D652" s="1459" t="n"/>
      <c r="E652" s="1459" t="n"/>
      <c r="F652" s="1459" t="n"/>
      <c r="G652" s="1459" t="n"/>
      <c r="H652" s="1459" t="n"/>
      <c r="I652" s="1459" t="n"/>
      <c r="J652" s="1459" t="n"/>
      <c r="K652" s="1459" t="n"/>
      <c r="L652" s="1459" t="n"/>
      <c r="M652" s="1459" t="n"/>
      <c r="N652" s="1459" t="n"/>
      <c r="O652" s="1460" t="n"/>
      <c r="P652" s="1460" t="n"/>
      <c r="Q652" s="1460" t="n"/>
      <c r="R652" s="1460" t="n"/>
      <c r="S652" s="1459" t="n"/>
      <c r="T652" s="1460" t="n"/>
      <c r="U652" s="1460" t="n"/>
      <c r="V652" s="1460" t="n"/>
      <c r="W652" s="1460" t="n"/>
      <c r="X652" s="1472">
        <f>X641/X651</f>
        <v/>
      </c>
      <c r="Y652" s="1460" t="n"/>
      <c r="Z652" s="1460" t="n"/>
      <c r="AA652" s="1461">
        <f>AA641/AA651</f>
        <v/>
      </c>
      <c r="AB652" s="1461">
        <f>AB641/AB651</f>
        <v/>
      </c>
      <c r="AC652" s="1472">
        <f>AC641/AC651</f>
        <v/>
      </c>
      <c r="AD652" s="1460" t="n"/>
      <c r="AE652" s="1460" t="n"/>
      <c r="AF652" s="1461">
        <f>AF641/AF651</f>
        <v/>
      </c>
      <c r="AG652" s="1461">
        <f>AG641/AG651</f>
        <v/>
      </c>
      <c r="AH652" s="1472">
        <f>AH641/AH651</f>
        <v/>
      </c>
      <c r="AI652" s="1460">
        <f>AI641/AI651</f>
        <v/>
      </c>
      <c r="AJ652" s="1460">
        <f>AJ641/AJ651</f>
        <v/>
      </c>
      <c r="AK652" s="1462">
        <f>AK641/AK651</f>
        <v/>
      </c>
      <c r="AL652" s="1465" t="n">
        <v>0</v>
      </c>
      <c r="AM652" s="1459">
        <f>AVERAGE(AI652,AJ652,AK652,AL652)</f>
        <v/>
      </c>
      <c r="AN652" s="1465" t="n">
        <v>0</v>
      </c>
      <c r="AO652" s="1465" t="n">
        <v>0</v>
      </c>
      <c r="AP652" s="1465" t="n">
        <v>0</v>
      </c>
      <c r="AQ652" s="1465" t="n">
        <v>0</v>
      </c>
      <c r="AR652" s="1459">
        <f>AVERAGE(AN652,AO652,AP652,AQ652)</f>
        <v/>
      </c>
      <c r="AS652" s="1466" t="n">
        <v>0</v>
      </c>
      <c r="AT652" s="1466" t="n">
        <v>0</v>
      </c>
      <c r="AU652" s="1466" t="n">
        <v>0</v>
      </c>
      <c r="AV652" s="1422" t="n"/>
    </row>
    <row r="653" ht="14.4" customFormat="1" customHeight="1" s="1418">
      <c r="A653" s="1467" t="n"/>
      <c r="B653" s="1698" t="n"/>
      <c r="C653" s="1469" t="n"/>
      <c r="D653" s="1469" t="n"/>
      <c r="E653" s="1469" t="n"/>
      <c r="F653" s="1469" t="n"/>
      <c r="G653" s="1469" t="n"/>
      <c r="H653" s="1469" t="n"/>
      <c r="I653" s="1469" t="n"/>
      <c r="J653" s="1469" t="n"/>
      <c r="K653" s="1469" t="n"/>
      <c r="L653" s="1469" t="n"/>
      <c r="M653" s="1469" t="n"/>
      <c r="N653" s="1469" t="n"/>
      <c r="O653" s="1470" t="n"/>
      <c r="P653" s="1470" t="n"/>
      <c r="Q653" s="1470" t="n"/>
      <c r="R653" s="1470" t="n"/>
      <c r="S653" s="1469" t="n"/>
      <c r="T653" s="1470" t="n"/>
      <c r="U653" s="1470" t="n"/>
      <c r="V653" s="1470" t="n"/>
      <c r="W653" s="1470" t="n"/>
      <c r="X653" s="1469" t="n"/>
      <c r="Y653" s="1470" t="n"/>
      <c r="Z653" s="1470" t="n"/>
      <c r="AA653" s="1470" t="n"/>
      <c r="AB653" s="1470" t="n"/>
      <c r="AC653" s="1469" t="n"/>
      <c r="AD653" s="1470" t="n"/>
      <c r="AE653" s="1470" t="n"/>
      <c r="AF653" s="1470" t="n"/>
      <c r="AG653" s="1470" t="n"/>
      <c r="AH653" s="1469" t="n"/>
      <c r="AI653" s="1470" t="n"/>
      <c r="AJ653" s="1470" t="n"/>
      <c r="AK653" s="1471" t="n"/>
      <c r="AL653" s="1470" t="n"/>
      <c r="AM653" s="1469" t="n"/>
      <c r="AN653" s="1470" t="n"/>
      <c r="AO653" s="1470" t="n"/>
      <c r="AP653" s="1470" t="n"/>
      <c r="AQ653" s="1470" t="n"/>
      <c r="AR653" s="1469" t="n"/>
      <c r="AS653" s="1469" t="n"/>
      <c r="AT653" s="1469" t="n"/>
      <c r="AU653" s="1469" t="n"/>
      <c r="AV653" s="1422" t="n"/>
    </row>
    <row r="654" ht="14.4" customFormat="1" customHeight="1" s="1418">
      <c r="A654" s="1890" t="inlineStr">
        <is>
          <t>Working Capital Forecasting</t>
        </is>
      </c>
      <c r="B654" s="1891" t="n"/>
      <c r="C654" s="1892" t="n"/>
      <c r="D654" s="1892" t="n"/>
      <c r="E654" s="1892" t="n"/>
      <c r="F654" s="1892" t="n"/>
      <c r="G654" s="1892" t="n"/>
      <c r="H654" s="1892" t="n"/>
      <c r="I654" s="1892" t="n"/>
      <c r="J654" s="1892" t="n"/>
      <c r="K654" s="1892" t="n"/>
      <c r="L654" s="1892" t="n"/>
      <c r="M654" s="1892" t="n"/>
      <c r="N654" s="1892" t="n"/>
      <c r="O654" s="1892" t="n"/>
      <c r="P654" s="1892" t="n"/>
      <c r="Q654" s="1892" t="n"/>
      <c r="R654" s="1892" t="n"/>
      <c r="S654" s="1892" t="n"/>
      <c r="T654" s="1892" t="n"/>
      <c r="U654" s="1892" t="n"/>
      <c r="V654" s="1892" t="n"/>
      <c r="W654" s="1892" t="n"/>
      <c r="X654" s="1892" t="n"/>
      <c r="Y654" s="1892" t="n"/>
      <c r="Z654" s="1892" t="n"/>
      <c r="AA654" s="1892" t="n"/>
      <c r="AB654" s="1892" t="n"/>
      <c r="AC654" s="1892" t="n"/>
      <c r="AD654" s="1892" t="n"/>
      <c r="AE654" s="1892" t="n"/>
      <c r="AF654" s="1892" t="n"/>
      <c r="AG654" s="1892" t="n"/>
      <c r="AH654" s="1892" t="n"/>
      <c r="AI654" s="1892" t="n"/>
      <c r="AJ654" s="1892" t="n"/>
      <c r="AK654" s="1908" t="n"/>
      <c r="AL654" s="1892" t="n"/>
      <c r="AM654" s="1892" t="n"/>
      <c r="AN654" s="1892" t="n"/>
      <c r="AO654" s="1892" t="n"/>
      <c r="AP654" s="1892" t="n"/>
      <c r="AQ654" s="1892" t="n"/>
      <c r="AR654" s="1892" t="n"/>
      <c r="AS654" s="1892" t="n"/>
      <c r="AT654" s="1892" t="n"/>
      <c r="AU654" s="1892" t="n"/>
      <c r="AV654" s="1422" t="n"/>
    </row>
    <row r="655" ht="14.4" customFormat="1" customHeight="1" s="1418">
      <c r="A655" s="1884" t="inlineStr">
        <is>
          <t>Accounts receivable, net, % of LTM Sales</t>
        </is>
      </c>
      <c r="B655" s="1695" t="n"/>
      <c r="C655" s="1656" t="n"/>
      <c r="D655" s="1656" t="n"/>
      <c r="E655" s="1656" t="n"/>
      <c r="F655" s="1656" t="n"/>
      <c r="G655" s="1656" t="n"/>
      <c r="H655" s="1656" t="n"/>
      <c r="I655" s="1656" t="n"/>
      <c r="J655" s="1656" t="n"/>
      <c r="K655" s="1656" t="n"/>
      <c r="L655" s="1656" t="n"/>
      <c r="M655" s="1656" t="n"/>
      <c r="N655" s="1656" t="n"/>
      <c r="O655" s="1657" t="n"/>
      <c r="P655" s="1657" t="n"/>
      <c r="Q655" s="1657" t="n"/>
      <c r="R655" s="1657" t="n"/>
      <c r="S655" s="1656" t="n"/>
      <c r="T655" s="1657" t="n"/>
      <c r="U655" s="1657" t="n"/>
      <c r="V655" s="1657" t="n"/>
      <c r="W655" s="1657" t="n"/>
      <c r="X655" s="1656" t="n"/>
      <c r="Y655" s="1657" t="n"/>
      <c r="Z655" s="1657" t="n"/>
      <c r="AA655" s="1657" t="n"/>
      <c r="AB655" s="1657" t="n"/>
      <c r="AC655" s="1656">
        <f>AC672/AC333</f>
        <v/>
      </c>
      <c r="AD655" s="1657" t="n"/>
      <c r="AE655" s="1657" t="n"/>
      <c r="AF655" s="1657">
        <f>AF672/SUM(AF333,AE333,AD333,AB333)</f>
        <v/>
      </c>
      <c r="AG655" s="1657">
        <f>AG672/SUM(AG333,AF333,AE333,AD333)</f>
        <v/>
      </c>
      <c r="AH655" s="1656">
        <f>AH672/AH333</f>
        <v/>
      </c>
      <c r="AI655" s="1657">
        <f>AI672/SUM(AI333,AE333,AG333,AF333)</f>
        <v/>
      </c>
      <c r="AJ655" s="1657">
        <f>AJ672/SUM(AJ333,AF333,AI333,AG333)</f>
        <v/>
      </c>
      <c r="AK655" s="1658">
        <f>AK672/SUM(AK333,AJ333,AI333,AG333)</f>
        <v/>
      </c>
      <c r="AL655" s="1657">
        <f>AG655+AL661</f>
        <v/>
      </c>
      <c r="AM655" s="1656">
        <f>AM672/AM333</f>
        <v/>
      </c>
      <c r="AN655" s="1657">
        <f>AI655+AN661</f>
        <v/>
      </c>
      <c r="AO655" s="1657">
        <f>AJ655+AO661</f>
        <v/>
      </c>
      <c r="AP655" s="1657">
        <f>AK655+AP661</f>
        <v/>
      </c>
      <c r="AQ655" s="1657">
        <f>AL655+AQ661</f>
        <v/>
      </c>
      <c r="AR655" s="1656">
        <f>AR672/AR333</f>
        <v/>
      </c>
      <c r="AS655" s="1656">
        <f>AR655+AS661</f>
        <v/>
      </c>
      <c r="AT655" s="1656">
        <f>AS655+AT661</f>
        <v/>
      </c>
      <c r="AU655" s="1656">
        <f>AT655+AU661</f>
        <v/>
      </c>
      <c r="AV655" s="1422" t="n"/>
    </row>
    <row r="656" ht="14.4" customFormat="1" customHeight="1" s="1418">
      <c r="A656" s="1884" t="inlineStr">
        <is>
          <t>Prepaid expenses and other current assets, % of LTM Sales</t>
        </is>
      </c>
      <c r="B656" s="1695" t="n"/>
      <c r="C656" s="1656" t="n"/>
      <c r="D656" s="1656" t="n"/>
      <c r="E656" s="1656" t="n"/>
      <c r="F656" s="1656" t="n"/>
      <c r="G656" s="1656" t="n"/>
      <c r="H656" s="1656" t="n"/>
      <c r="I656" s="1656" t="n"/>
      <c r="J656" s="1656" t="n"/>
      <c r="K656" s="1656" t="n"/>
      <c r="L656" s="1656" t="n"/>
      <c r="M656" s="1656" t="n"/>
      <c r="N656" s="1656" t="n"/>
      <c r="O656" s="1657" t="n"/>
      <c r="P656" s="1657" t="n"/>
      <c r="Q656" s="1657" t="n"/>
      <c r="R656" s="1657" t="n"/>
      <c r="S656" s="1656" t="n"/>
      <c r="T656" s="1657" t="n"/>
      <c r="U656" s="1657" t="n"/>
      <c r="V656" s="1657" t="n"/>
      <c r="W656" s="1657" t="n"/>
      <c r="X656" s="1656" t="n"/>
      <c r="Y656" s="1657" t="n"/>
      <c r="Z656" s="1657" t="n"/>
      <c r="AA656" s="1657" t="n"/>
      <c r="AB656" s="1657" t="n"/>
      <c r="AC656" s="1656">
        <f>AC673/AC333</f>
        <v/>
      </c>
      <c r="AD656" s="1657" t="n"/>
      <c r="AE656" s="1657" t="n"/>
      <c r="AF656" s="1657">
        <f>AF673/SUM(AF333,AE333,AD333,AB333)</f>
        <v/>
      </c>
      <c r="AG656" s="1657">
        <f>AG673/SUM(AG333,AF333,AE333,AD333)</f>
        <v/>
      </c>
      <c r="AH656" s="1656">
        <f>AH673/AH333</f>
        <v/>
      </c>
      <c r="AI656" s="1657">
        <f>AI673/SUM(AI333,AE333,AG333,AF333)</f>
        <v/>
      </c>
      <c r="AJ656" s="1657">
        <f>AJ673/SUM(AJ333,AF333,AI333,AG333)</f>
        <v/>
      </c>
      <c r="AK656" s="1658">
        <f>AK673/SUM(AK333,AJ333,AI333,AG333)</f>
        <v/>
      </c>
      <c r="AL656" s="1657">
        <f>AG656+AL662</f>
        <v/>
      </c>
      <c r="AM656" s="1656">
        <f>AM673/AM333</f>
        <v/>
      </c>
      <c r="AN656" s="1657">
        <f>AI656+AN662</f>
        <v/>
      </c>
      <c r="AO656" s="1657">
        <f>AJ656+AO662</f>
        <v/>
      </c>
      <c r="AP656" s="1657">
        <f>AK656+AP662</f>
        <v/>
      </c>
      <c r="AQ656" s="1657">
        <f>AL656+AQ662</f>
        <v/>
      </c>
      <c r="AR656" s="1656">
        <f>AR673/AR333</f>
        <v/>
      </c>
      <c r="AS656" s="1656">
        <f>AR656+AS662</f>
        <v/>
      </c>
      <c r="AT656" s="1656">
        <f>AS656+AT662</f>
        <v/>
      </c>
      <c r="AU656" s="1656">
        <f>AT656+AU662</f>
        <v/>
      </c>
      <c r="AV656" s="1422" t="n"/>
    </row>
    <row r="657" ht="14.4" customFormat="1" customHeight="1" s="1418">
      <c r="A657" s="1884" t="inlineStr">
        <is>
          <t>Accounts payable, % of LTM Sales</t>
        </is>
      </c>
      <c r="B657" s="1695" t="n"/>
      <c r="C657" s="1656" t="n"/>
      <c r="D657" s="1656" t="n"/>
      <c r="E657" s="1656" t="n"/>
      <c r="F657" s="1656" t="n"/>
      <c r="G657" s="1656" t="n"/>
      <c r="H657" s="1656" t="n"/>
      <c r="I657" s="1656" t="n"/>
      <c r="J657" s="1656" t="n"/>
      <c r="K657" s="1656" t="n"/>
      <c r="L657" s="1656" t="n"/>
      <c r="M657" s="1656" t="n"/>
      <c r="N657" s="1656" t="n"/>
      <c r="O657" s="1657" t="n"/>
      <c r="P657" s="1657" t="n"/>
      <c r="Q657" s="1657" t="n"/>
      <c r="R657" s="1657" t="n"/>
      <c r="S657" s="1656" t="n"/>
      <c r="T657" s="1657" t="n"/>
      <c r="U657" s="1657" t="n"/>
      <c r="V657" s="1657" t="n"/>
      <c r="W657" s="1657" t="n"/>
      <c r="X657" s="1656" t="n"/>
      <c r="Y657" s="1657" t="n"/>
      <c r="Z657" s="1657" t="n"/>
      <c r="AA657" s="1657" t="n"/>
      <c r="AB657" s="1657" t="n"/>
      <c r="AC657" s="1656">
        <f>AC695/AC333</f>
        <v/>
      </c>
      <c r="AD657" s="1657" t="n"/>
      <c r="AE657" s="1657" t="n"/>
      <c r="AF657" s="1657">
        <f>AF695/SUM(AF333,AE333,AD333,AB333)</f>
        <v/>
      </c>
      <c r="AG657" s="1657">
        <f>AG695/SUM(AG333,AF333,AE333,AD333)</f>
        <v/>
      </c>
      <c r="AH657" s="1656">
        <f>AH695/AH333</f>
        <v/>
      </c>
      <c r="AI657" s="1657">
        <f>AI695/SUM(AI333,AE333,AG333,AF333)</f>
        <v/>
      </c>
      <c r="AJ657" s="1657">
        <f>AJ695/SUM(AJ333,AF333,AI333,AG333)</f>
        <v/>
      </c>
      <c r="AK657" s="1658">
        <f>AK695/SUM(AK333,AJ333,AI333,AG333)</f>
        <v/>
      </c>
      <c r="AL657" s="1657">
        <f>AG657+AL663</f>
        <v/>
      </c>
      <c r="AM657" s="1656">
        <f>AM695/AM333</f>
        <v/>
      </c>
      <c r="AN657" s="1657">
        <f>AI657+AN663</f>
        <v/>
      </c>
      <c r="AO657" s="1657">
        <f>AJ657+AO663</f>
        <v/>
      </c>
      <c r="AP657" s="1657">
        <f>AK657+AP663</f>
        <v/>
      </c>
      <c r="AQ657" s="1657">
        <f>AL657+AQ663</f>
        <v/>
      </c>
      <c r="AR657" s="1656">
        <f>AR695/AR333</f>
        <v/>
      </c>
      <c r="AS657" s="1656">
        <f>AR657+AS663</f>
        <v/>
      </c>
      <c r="AT657" s="1656">
        <f>AS657+AT663</f>
        <v/>
      </c>
      <c r="AU657" s="1656">
        <f>AT657+AU663</f>
        <v/>
      </c>
      <c r="AV657" s="1422" t="n"/>
    </row>
    <row r="658" ht="14.4" customFormat="1" customHeight="1" s="1418">
      <c r="A658" s="1884" t="inlineStr">
        <is>
          <t>Accrued liabilities, % of LTM Sales</t>
        </is>
      </c>
      <c r="B658" s="1695" t="n"/>
      <c r="C658" s="1656" t="n"/>
      <c r="D658" s="1656" t="n"/>
      <c r="E658" s="1656" t="n"/>
      <c r="F658" s="1656" t="n"/>
      <c r="G658" s="1656" t="n"/>
      <c r="H658" s="1656" t="n"/>
      <c r="I658" s="1656" t="n"/>
      <c r="J658" s="1656" t="n"/>
      <c r="K658" s="1656" t="n"/>
      <c r="L658" s="1656" t="n"/>
      <c r="M658" s="1656" t="n"/>
      <c r="N658" s="1656" t="n"/>
      <c r="O658" s="1657" t="n"/>
      <c r="P658" s="1657" t="n"/>
      <c r="Q658" s="1657" t="n"/>
      <c r="R658" s="1657" t="n"/>
      <c r="S658" s="1656" t="n"/>
      <c r="T658" s="1657" t="n"/>
      <c r="U658" s="1657" t="n"/>
      <c r="V658" s="1657" t="n"/>
      <c r="W658" s="1657" t="n"/>
      <c r="X658" s="1656" t="n"/>
      <c r="Y658" s="1657" t="n"/>
      <c r="Z658" s="1657" t="n"/>
      <c r="AA658" s="1657" t="n"/>
      <c r="AB658" s="1657" t="n"/>
      <c r="AC658" s="1656">
        <f>AC696/AC333</f>
        <v/>
      </c>
      <c r="AD658" s="1657" t="n"/>
      <c r="AE658" s="1657" t="n"/>
      <c r="AF658" s="1657">
        <f>AF696/SUM(AF333,AE333,AD333,AB333)</f>
        <v/>
      </c>
      <c r="AG658" s="1657">
        <f>AG696/SUM(AG333,AF333,AE333,AD333)</f>
        <v/>
      </c>
      <c r="AH658" s="1656">
        <f>AH696/AH333</f>
        <v/>
      </c>
      <c r="AI658" s="1657">
        <f>AI696/SUM(AI333,AE333,AG333,AF333)</f>
        <v/>
      </c>
      <c r="AJ658" s="1657">
        <f>AJ696/SUM(AJ333,AF333,AI333,AG333)</f>
        <v/>
      </c>
      <c r="AK658" s="1658">
        <f>AK696/SUM(AK333,AJ333,AI333,AG333)</f>
        <v/>
      </c>
      <c r="AL658" s="1657">
        <f>AG658+AL664</f>
        <v/>
      </c>
      <c r="AM658" s="1656">
        <f>AM696/AM333</f>
        <v/>
      </c>
      <c r="AN658" s="1657">
        <f>AI658+AN664</f>
        <v/>
      </c>
      <c r="AO658" s="1657">
        <f>AJ658+AO664</f>
        <v/>
      </c>
      <c r="AP658" s="1657">
        <f>AK658+AP664</f>
        <v/>
      </c>
      <c r="AQ658" s="1657">
        <f>AL658+AQ664</f>
        <v/>
      </c>
      <c r="AR658" s="1656">
        <f>AR696/AR333</f>
        <v/>
      </c>
      <c r="AS658" s="1656">
        <f>AR658+AS664</f>
        <v/>
      </c>
      <c r="AT658" s="1656">
        <f>AS658+AT664</f>
        <v/>
      </c>
      <c r="AU658" s="1656">
        <f>AT658+AU664</f>
        <v/>
      </c>
      <c r="AV658" s="1422" t="n"/>
    </row>
    <row r="659" ht="14.4" customFormat="1" customHeight="1" s="1418">
      <c r="A659" s="1884" t="inlineStr">
        <is>
          <t>Deferred revenue, current, % of LTM Sales</t>
        </is>
      </c>
      <c r="B659" s="1695" t="n"/>
      <c r="C659" s="1656" t="n"/>
      <c r="D659" s="1656" t="n"/>
      <c r="E659" s="1656" t="n"/>
      <c r="F659" s="1656" t="n"/>
      <c r="G659" s="1656" t="n"/>
      <c r="H659" s="1656" t="n"/>
      <c r="I659" s="1656" t="n"/>
      <c r="J659" s="1656" t="n"/>
      <c r="K659" s="1656" t="n"/>
      <c r="L659" s="1656" t="n"/>
      <c r="M659" s="1656" t="n"/>
      <c r="N659" s="1656" t="n"/>
      <c r="O659" s="1657" t="n"/>
      <c r="P659" s="1657" t="n"/>
      <c r="Q659" s="1657" t="n"/>
      <c r="R659" s="1657" t="n"/>
      <c r="S659" s="1656" t="n"/>
      <c r="T659" s="1657" t="n"/>
      <c r="U659" s="1657" t="n"/>
      <c r="V659" s="1657" t="n"/>
      <c r="W659" s="1657" t="n"/>
      <c r="X659" s="1656" t="n"/>
      <c r="Y659" s="1657" t="n"/>
      <c r="Z659" s="1657" t="n"/>
      <c r="AA659" s="1657" t="n"/>
      <c r="AB659" s="1657" t="n"/>
      <c r="AC659" s="1656">
        <f>AC698/AC333</f>
        <v/>
      </c>
      <c r="AD659" s="1657" t="n"/>
      <c r="AE659" s="1657" t="n"/>
      <c r="AF659" s="1657">
        <f>AF698/SUM(AF333,AE333,AD333,AB333)</f>
        <v/>
      </c>
      <c r="AG659" s="1657">
        <f>AG698/SUM(AG333,AF333,AE333,AD333)</f>
        <v/>
      </c>
      <c r="AH659" s="1656">
        <f>AH698/AH333</f>
        <v/>
      </c>
      <c r="AI659" s="1657">
        <f>AI698/SUM(AI333,AE333,AG333,AF333)</f>
        <v/>
      </c>
      <c r="AJ659" s="1657">
        <f>AJ698/SUM(AJ333,AF333,AI333,AG333)</f>
        <v/>
      </c>
      <c r="AK659" s="1658">
        <f>AK698/SUM(AK333,AJ333,AI333,AG333)</f>
        <v/>
      </c>
      <c r="AL659" s="1657">
        <f>AG659+AL665</f>
        <v/>
      </c>
      <c r="AM659" s="1656">
        <f>AM698/AM333</f>
        <v/>
      </c>
      <c r="AN659" s="1657">
        <f>AI659+AN665</f>
        <v/>
      </c>
      <c r="AO659" s="1657">
        <f>AJ659+AO665</f>
        <v/>
      </c>
      <c r="AP659" s="1657">
        <f>AK659+AP665</f>
        <v/>
      </c>
      <c r="AQ659" s="1657">
        <f>AL659+AQ665</f>
        <v/>
      </c>
      <c r="AR659" s="1656">
        <f>AR698/AR333</f>
        <v/>
      </c>
      <c r="AS659" s="1656">
        <f>AR659+AS665</f>
        <v/>
      </c>
      <c r="AT659" s="1656">
        <f>AS659+AT665</f>
        <v/>
      </c>
      <c r="AU659" s="1656">
        <f>AT659+AU665</f>
        <v/>
      </c>
      <c r="AV659" s="1422" t="n"/>
    </row>
    <row r="660" ht="14.4" customFormat="1" customHeight="1" s="1418">
      <c r="A660" s="1467" t="n"/>
      <c r="B660" s="1698" t="n"/>
      <c r="C660" s="1469" t="n"/>
      <c r="D660" s="1469" t="n"/>
      <c r="E660" s="1469" t="n"/>
      <c r="F660" s="1469" t="n"/>
      <c r="G660" s="1469" t="n"/>
      <c r="H660" s="1469" t="n"/>
      <c r="I660" s="1469" t="n"/>
      <c r="J660" s="1469" t="n"/>
      <c r="K660" s="1469" t="n"/>
      <c r="L660" s="1469" t="n"/>
      <c r="M660" s="1469" t="n"/>
      <c r="N660" s="1469" t="n"/>
      <c r="O660" s="1470" t="n"/>
      <c r="P660" s="1470" t="n"/>
      <c r="Q660" s="1470" t="n"/>
      <c r="R660" s="1470" t="n"/>
      <c r="S660" s="1469" t="n"/>
      <c r="T660" s="1470" t="n"/>
      <c r="U660" s="1470" t="n"/>
      <c r="V660" s="1470" t="n"/>
      <c r="W660" s="1470" t="n"/>
      <c r="X660" s="1469" t="n"/>
      <c r="Y660" s="1470" t="n"/>
      <c r="Z660" s="1470" t="n"/>
      <c r="AA660" s="1470" t="n"/>
      <c r="AB660" s="1470" t="n"/>
      <c r="AC660" s="1469" t="n"/>
      <c r="AD660" s="1470" t="n"/>
      <c r="AE660" s="1470" t="n"/>
      <c r="AF660" s="1470" t="n"/>
      <c r="AG660" s="1470" t="n"/>
      <c r="AH660" s="1469" t="n"/>
      <c r="AI660" s="1470" t="n"/>
      <c r="AJ660" s="1470" t="n"/>
      <c r="AK660" s="1471" t="n"/>
      <c r="AL660" s="1470" t="n"/>
      <c r="AM660" s="1469" t="n"/>
      <c r="AN660" s="1470" t="n"/>
      <c r="AO660" s="1470" t="n"/>
      <c r="AP660" s="1470" t="n"/>
      <c r="AQ660" s="1470" t="n"/>
      <c r="AR660" s="1469" t="n"/>
      <c r="AS660" s="1469" t="n"/>
      <c r="AT660" s="1469" t="n"/>
      <c r="AU660" s="1469" t="n"/>
      <c r="AV660" s="1422" t="n"/>
    </row>
    <row r="661" ht="14.4" customFormat="1" customHeight="1" s="1418">
      <c r="A661" s="1909" t="inlineStr">
        <is>
          <t>Accounts receivable, net, Y/Y Change, %</t>
        </is>
      </c>
      <c r="B661" s="1910" t="n"/>
      <c r="C661" s="1911" t="n"/>
      <c r="D661" s="1911" t="n"/>
      <c r="E661" s="1911" t="n"/>
      <c r="F661" s="1911" t="n"/>
      <c r="G661" s="1911" t="n"/>
      <c r="H661" s="1911" t="n"/>
      <c r="I661" s="1911" t="n"/>
      <c r="J661" s="1911" t="n"/>
      <c r="K661" s="1911" t="n"/>
      <c r="L661" s="1911" t="n"/>
      <c r="M661" s="1911" t="n"/>
      <c r="N661" s="1911" t="n"/>
      <c r="O661" s="1912" t="n"/>
      <c r="P661" s="1912" t="n"/>
      <c r="Q661" s="1912" t="n"/>
      <c r="R661" s="1912" t="n"/>
      <c r="S661" s="1911" t="n"/>
      <c r="T661" s="1912" t="n"/>
      <c r="U661" s="1912" t="n"/>
      <c r="V661" s="1912" t="n"/>
      <c r="W661" s="1912" t="n"/>
      <c r="X661" s="1911" t="n"/>
      <c r="Y661" s="1912" t="n"/>
      <c r="Z661" s="1912" t="n"/>
      <c r="AA661" s="1912" t="n"/>
      <c r="AB661" s="1912" t="n"/>
      <c r="AC661" s="1911" t="n"/>
      <c r="AD661" s="1912" t="n"/>
      <c r="AE661" s="1912" t="n"/>
      <c r="AF661" s="1912" t="n"/>
      <c r="AG661" s="1912" t="n"/>
      <c r="AH661" s="1911">
        <f>AH655-AC655</f>
        <v/>
      </c>
      <c r="AI661" s="1912" t="n"/>
      <c r="AJ661" s="1912" t="n"/>
      <c r="AK661" s="1913" t="n"/>
      <c r="AL661" s="1914" t="n">
        <v>0</v>
      </c>
      <c r="AM661" s="1911">
        <f>AM655-AH655</f>
        <v/>
      </c>
      <c r="AN661" s="1914" t="n">
        <v>0</v>
      </c>
      <c r="AO661" s="1914" t="n">
        <v>0</v>
      </c>
      <c r="AP661" s="1914" t="n">
        <v>0</v>
      </c>
      <c r="AQ661" s="1914" t="n">
        <v>0</v>
      </c>
      <c r="AR661" s="1911">
        <f>AR655-AM655</f>
        <v/>
      </c>
      <c r="AS661" s="1915" t="n">
        <v>0</v>
      </c>
      <c r="AT661" s="1915" t="n">
        <v>0</v>
      </c>
      <c r="AU661" s="1915" t="n">
        <v>0</v>
      </c>
      <c r="AV661" s="1422" t="n"/>
    </row>
    <row r="662" ht="14.4" customFormat="1" customHeight="1" s="1418">
      <c r="A662" s="1909" t="inlineStr">
        <is>
          <t>Prepaid expenses and other current assets, Y/Y Change, %</t>
        </is>
      </c>
      <c r="B662" s="1910" t="n"/>
      <c r="C662" s="1911" t="n"/>
      <c r="D662" s="1911" t="n"/>
      <c r="E662" s="1911" t="n"/>
      <c r="F662" s="1911" t="n"/>
      <c r="G662" s="1911" t="n"/>
      <c r="H662" s="1911" t="n"/>
      <c r="I662" s="1911" t="n"/>
      <c r="J662" s="1911" t="n"/>
      <c r="K662" s="1911" t="n"/>
      <c r="L662" s="1911" t="n"/>
      <c r="M662" s="1911" t="n"/>
      <c r="N662" s="1911" t="n"/>
      <c r="O662" s="1912" t="n"/>
      <c r="P662" s="1912" t="n"/>
      <c r="Q662" s="1912" t="n"/>
      <c r="R662" s="1912" t="n"/>
      <c r="S662" s="1911" t="n"/>
      <c r="T662" s="1912" t="n"/>
      <c r="U662" s="1912" t="n"/>
      <c r="V662" s="1912" t="n"/>
      <c r="W662" s="1912" t="n"/>
      <c r="X662" s="1911" t="n"/>
      <c r="Y662" s="1912" t="n"/>
      <c r="Z662" s="1912" t="n"/>
      <c r="AA662" s="1912" t="n"/>
      <c r="AB662" s="1912" t="n"/>
      <c r="AC662" s="1911" t="n"/>
      <c r="AD662" s="1912" t="n"/>
      <c r="AE662" s="1912" t="n"/>
      <c r="AF662" s="1912" t="n"/>
      <c r="AG662" s="1912" t="n"/>
      <c r="AH662" s="1911">
        <f>AH656-AC656</f>
        <v/>
      </c>
      <c r="AI662" s="1912" t="n"/>
      <c r="AJ662" s="1912" t="n"/>
      <c r="AK662" s="1913" t="n"/>
      <c r="AL662" s="1914" t="n">
        <v>0</v>
      </c>
      <c r="AM662" s="1911">
        <f>AM656-AH656</f>
        <v/>
      </c>
      <c r="AN662" s="1914" t="n">
        <v>0</v>
      </c>
      <c r="AO662" s="1914" t="n">
        <v>0</v>
      </c>
      <c r="AP662" s="1914" t="n">
        <v>0</v>
      </c>
      <c r="AQ662" s="1914" t="n">
        <v>0</v>
      </c>
      <c r="AR662" s="1911">
        <f>AR656-AM656</f>
        <v/>
      </c>
      <c r="AS662" s="1915" t="n">
        <v>0</v>
      </c>
      <c r="AT662" s="1915" t="n">
        <v>0</v>
      </c>
      <c r="AU662" s="1915" t="n">
        <v>0</v>
      </c>
      <c r="AV662" s="1422" t="n"/>
    </row>
    <row r="663" ht="14.4" customFormat="1" customHeight="1" s="1418">
      <c r="A663" s="1909" t="inlineStr">
        <is>
          <t>Accounts payable, Y/Y Change, %</t>
        </is>
      </c>
      <c r="B663" s="1910" t="n"/>
      <c r="C663" s="1911" t="n"/>
      <c r="D663" s="1911" t="n"/>
      <c r="E663" s="1911" t="n"/>
      <c r="F663" s="1911" t="n"/>
      <c r="G663" s="1911" t="n"/>
      <c r="H663" s="1911" t="n"/>
      <c r="I663" s="1911" t="n"/>
      <c r="J663" s="1911" t="n"/>
      <c r="K663" s="1911" t="n"/>
      <c r="L663" s="1911" t="n"/>
      <c r="M663" s="1911" t="n"/>
      <c r="N663" s="1911" t="n"/>
      <c r="O663" s="1912" t="n"/>
      <c r="P663" s="1912" t="n"/>
      <c r="Q663" s="1912" t="n"/>
      <c r="R663" s="1912" t="n"/>
      <c r="S663" s="1911" t="n"/>
      <c r="T663" s="1912" t="n"/>
      <c r="U663" s="1912" t="n"/>
      <c r="V663" s="1912" t="n"/>
      <c r="W663" s="1912" t="n"/>
      <c r="X663" s="1911" t="n"/>
      <c r="Y663" s="1912" t="n"/>
      <c r="Z663" s="1912" t="n"/>
      <c r="AA663" s="1912" t="n"/>
      <c r="AB663" s="1912" t="n"/>
      <c r="AC663" s="1911" t="n"/>
      <c r="AD663" s="1912" t="n"/>
      <c r="AE663" s="1912" t="n"/>
      <c r="AF663" s="1912" t="n"/>
      <c r="AG663" s="1912" t="n"/>
      <c r="AH663" s="1911">
        <f>AH657-AC657</f>
        <v/>
      </c>
      <c r="AI663" s="1912" t="n"/>
      <c r="AJ663" s="1912" t="n"/>
      <c r="AK663" s="1913" t="n"/>
      <c r="AL663" s="1914" t="n">
        <v>1</v>
      </c>
      <c r="AM663" s="1911">
        <f>AM657-AH657</f>
        <v/>
      </c>
      <c r="AN663" s="1914" t="n">
        <v>2</v>
      </c>
      <c r="AO663" s="1914" t="n">
        <v>2</v>
      </c>
      <c r="AP663" s="1914" t="n">
        <v>1</v>
      </c>
      <c r="AQ663" s="1914" t="n">
        <v>1</v>
      </c>
      <c r="AR663" s="1911">
        <f>AR657-AM657</f>
        <v/>
      </c>
      <c r="AS663" s="1915" t="n">
        <v>1</v>
      </c>
      <c r="AT663" s="1915" t="n">
        <v>0</v>
      </c>
      <c r="AU663" s="1915" t="n">
        <v>0</v>
      </c>
      <c r="AV663" s="1422" t="n"/>
    </row>
    <row r="664" ht="14.4" customFormat="1" customHeight="1" s="1418">
      <c r="A664" s="1909" t="inlineStr">
        <is>
          <t>Accrued liabilities, Y/Y Change, %</t>
        </is>
      </c>
      <c r="B664" s="1910" t="n"/>
      <c r="C664" s="1911" t="n"/>
      <c r="D664" s="1911" t="n"/>
      <c r="E664" s="1911" t="n"/>
      <c r="F664" s="1911" t="n"/>
      <c r="G664" s="1911" t="n"/>
      <c r="H664" s="1911" t="n"/>
      <c r="I664" s="1911" t="n"/>
      <c r="J664" s="1911" t="n"/>
      <c r="K664" s="1911" t="n"/>
      <c r="L664" s="1911" t="n"/>
      <c r="M664" s="1911" t="n"/>
      <c r="N664" s="1911" t="n"/>
      <c r="O664" s="1912" t="n"/>
      <c r="P664" s="1912" t="n"/>
      <c r="Q664" s="1912" t="n"/>
      <c r="R664" s="1912" t="n"/>
      <c r="S664" s="1911" t="n"/>
      <c r="T664" s="1912" t="n"/>
      <c r="U664" s="1912" t="n"/>
      <c r="V664" s="1912" t="n"/>
      <c r="W664" s="1912" t="n"/>
      <c r="X664" s="1911" t="n"/>
      <c r="Y664" s="1912" t="n"/>
      <c r="Z664" s="1912" t="n"/>
      <c r="AA664" s="1912" t="n"/>
      <c r="AB664" s="1912" t="n"/>
      <c r="AC664" s="1911" t="n"/>
      <c r="AD664" s="1912" t="n"/>
      <c r="AE664" s="1912" t="n"/>
      <c r="AF664" s="1912" t="n"/>
      <c r="AG664" s="1912" t="n"/>
      <c r="AH664" s="1911">
        <f>AH658-AC658</f>
        <v/>
      </c>
      <c r="AI664" s="1912" t="n"/>
      <c r="AJ664" s="1912" t="n"/>
      <c r="AK664" s="1913" t="n"/>
      <c r="AL664" s="1914" t="n">
        <v>1</v>
      </c>
      <c r="AM664" s="1911">
        <f>AM658-AH658</f>
        <v/>
      </c>
      <c r="AN664" s="1914" t="n">
        <v>1</v>
      </c>
      <c r="AO664" s="1914" t="n">
        <v>2</v>
      </c>
      <c r="AP664" s="1914" t="n">
        <v>1</v>
      </c>
      <c r="AQ664" s="1914" t="n">
        <v>1</v>
      </c>
      <c r="AR664" s="1911">
        <f>AR658-AM658</f>
        <v/>
      </c>
      <c r="AS664" s="1915" t="n">
        <v>1</v>
      </c>
      <c r="AT664" s="1915" t="n">
        <v>0</v>
      </c>
      <c r="AU664" s="1915" t="n">
        <v>0</v>
      </c>
      <c r="AV664" s="1422" t="n"/>
    </row>
    <row r="665" ht="14.4" customFormat="1" customHeight="1" s="1418">
      <c r="A665" s="1909" t="inlineStr">
        <is>
          <t>Deferred revenue, current, Y/Y Change, %</t>
        </is>
      </c>
      <c r="B665" s="1910" t="n"/>
      <c r="C665" s="1911" t="n"/>
      <c r="D665" s="1911" t="n"/>
      <c r="E665" s="1911" t="n"/>
      <c r="F665" s="1911" t="n"/>
      <c r="G665" s="1911" t="n"/>
      <c r="H665" s="1911" t="n"/>
      <c r="I665" s="1911" t="n"/>
      <c r="J665" s="1911" t="n"/>
      <c r="K665" s="1911" t="n"/>
      <c r="L665" s="1911" t="n"/>
      <c r="M665" s="1911" t="n"/>
      <c r="N665" s="1911" t="n"/>
      <c r="O665" s="1912" t="n"/>
      <c r="P665" s="1912" t="n"/>
      <c r="Q665" s="1912" t="n"/>
      <c r="R665" s="1912" t="n"/>
      <c r="S665" s="1911" t="n"/>
      <c r="T665" s="1912" t="n"/>
      <c r="U665" s="1912" t="n"/>
      <c r="V665" s="1912" t="n"/>
      <c r="W665" s="1912" t="n"/>
      <c r="X665" s="1911" t="n"/>
      <c r="Y665" s="1912" t="n"/>
      <c r="Z665" s="1912" t="n"/>
      <c r="AA665" s="1912" t="n"/>
      <c r="AB665" s="1912" t="n"/>
      <c r="AC665" s="1911" t="n"/>
      <c r="AD665" s="1912" t="n"/>
      <c r="AE665" s="1912" t="n"/>
      <c r="AF665" s="1912" t="n"/>
      <c r="AG665" s="1912" t="n"/>
      <c r="AH665" s="1911">
        <f>AH659-AC659</f>
        <v/>
      </c>
      <c r="AI665" s="1912" t="n"/>
      <c r="AJ665" s="1912" t="n"/>
      <c r="AK665" s="1913" t="n"/>
      <c r="AL665" s="1914" t="n">
        <v>1</v>
      </c>
      <c r="AM665" s="1911">
        <f>AM659-AH659</f>
        <v/>
      </c>
      <c r="AN665" s="1914" t="n">
        <v>1</v>
      </c>
      <c r="AO665" s="1914" t="n">
        <v>1</v>
      </c>
      <c r="AP665" s="1914" t="n">
        <v>1</v>
      </c>
      <c r="AQ665" s="1914" t="n">
        <v>1</v>
      </c>
      <c r="AR665" s="1911">
        <f>AR659-AM659</f>
        <v/>
      </c>
      <c r="AS665" s="1915" t="n">
        <v>1</v>
      </c>
      <c r="AT665" s="1915" t="n">
        <v>0</v>
      </c>
      <c r="AU665" s="1915" t="n">
        <v>0</v>
      </c>
      <c r="AV665" s="1422" t="n"/>
    </row>
    <row r="666" ht="14.4" customFormat="1" customHeight="1" s="1418">
      <c r="A666" s="1467" t="n"/>
      <c r="B666" s="1698" t="n"/>
      <c r="C666" s="1469" t="n"/>
      <c r="D666" s="1469" t="n"/>
      <c r="E666" s="1469" t="n"/>
      <c r="F666" s="1469" t="n"/>
      <c r="G666" s="1469" t="n"/>
      <c r="H666" s="1469" t="n"/>
      <c r="I666" s="1469" t="n"/>
      <c r="J666" s="1469" t="n"/>
      <c r="K666" s="1469" t="n"/>
      <c r="L666" s="1469" t="n"/>
      <c r="M666" s="1469" t="n"/>
      <c r="N666" s="1469" t="n"/>
      <c r="O666" s="1470" t="n"/>
      <c r="P666" s="1470" t="n"/>
      <c r="Q666" s="1470" t="n"/>
      <c r="R666" s="1470" t="n"/>
      <c r="S666" s="1469" t="n"/>
      <c r="T666" s="1470" t="n"/>
      <c r="U666" s="1470" t="n"/>
      <c r="V666" s="1470" t="n"/>
      <c r="W666" s="1470" t="n"/>
      <c r="X666" s="1469" t="n"/>
      <c r="Y666" s="1470" t="n"/>
      <c r="Z666" s="1470" t="n"/>
      <c r="AA666" s="1470" t="n"/>
      <c r="AB666" s="1470" t="n"/>
      <c r="AC666" s="1469" t="n"/>
      <c r="AD666" s="1470" t="n"/>
      <c r="AE666" s="1470" t="n"/>
      <c r="AF666" s="1470" t="n"/>
      <c r="AG666" s="1470" t="n"/>
      <c r="AH666" s="1469" t="n"/>
      <c r="AI666" s="1470" t="n"/>
      <c r="AJ666" s="1470" t="n"/>
      <c r="AK666" s="1471" t="n"/>
      <c r="AL666" s="1470" t="n"/>
      <c r="AM666" s="1469" t="n"/>
      <c r="AN666" s="1470" t="n"/>
      <c r="AO666" s="1470" t="n"/>
      <c r="AP666" s="1470" t="n"/>
      <c r="AQ666" s="1470" t="n"/>
      <c r="AR666" s="1469" t="n"/>
      <c r="AS666" s="1469" t="n"/>
      <c r="AT666" s="1469" t="n"/>
      <c r="AU666" s="1469" t="n"/>
      <c r="AV666" s="1422" t="n"/>
    </row>
    <row r="667" ht="14.4" customFormat="1" customHeight="1" s="1418">
      <c r="A667" s="1530" t="inlineStr">
        <is>
          <t>Balance Sheet</t>
        </is>
      </c>
      <c r="B667" s="1531" t="n"/>
      <c r="C667" s="1531" t="n"/>
      <c r="D667" s="1531" t="n"/>
      <c r="E667" s="1531" t="n"/>
      <c r="F667" s="1531" t="n"/>
      <c r="G667" s="1531" t="n"/>
      <c r="H667" s="1531" t="n"/>
      <c r="I667" s="1531" t="n"/>
      <c r="J667" s="1531" t="n"/>
      <c r="K667" s="1531" t="n"/>
      <c r="L667" s="1531" t="n"/>
      <c r="M667" s="1531" t="n"/>
      <c r="N667" s="1531" t="n"/>
      <c r="O667" s="1531" t="n"/>
      <c r="P667" s="1531" t="n"/>
      <c r="Q667" s="1531" t="n"/>
      <c r="R667" s="1531" t="n"/>
      <c r="S667" s="1531" t="n"/>
      <c r="T667" s="1531" t="n"/>
      <c r="U667" s="1531" t="n"/>
      <c r="V667" s="1531" t="n"/>
      <c r="W667" s="1531" t="n"/>
      <c r="X667" s="1531" t="n"/>
      <c r="Y667" s="1531" t="n"/>
      <c r="Z667" s="1531" t="n"/>
      <c r="AA667" s="1531" t="n"/>
      <c r="AB667" s="1531" t="n"/>
      <c r="AC667" s="1531" t="n"/>
      <c r="AD667" s="1531" t="n"/>
      <c r="AE667" s="1531" t="n"/>
      <c r="AF667" s="1531" t="n"/>
      <c r="AG667" s="1531" t="n"/>
      <c r="AH667" s="1531" t="n"/>
      <c r="AI667" s="1531" t="n"/>
      <c r="AJ667" s="1531" t="n"/>
      <c r="AK667" s="1533" t="n"/>
      <c r="AL667" s="1531" t="n"/>
      <c r="AM667" s="1531" t="n"/>
      <c r="AN667" s="1531" t="n"/>
      <c r="AO667" s="1531" t="n"/>
      <c r="AP667" s="1531" t="n"/>
      <c r="AQ667" s="1531" t="n"/>
      <c r="AR667" s="1531" t="n"/>
      <c r="AS667" s="1531" t="n"/>
      <c r="AT667" s="1531" t="n"/>
      <c r="AU667" s="1531" t="n"/>
      <c r="AV667" s="1422" t="n"/>
    </row>
    <row r="668" ht="14.4" customFormat="1" customHeight="1" s="1418">
      <c r="A668" s="1439" t="inlineStr">
        <is>
          <t>Current Assets</t>
        </is>
      </c>
      <c r="B668" s="1698" t="n"/>
      <c r="C668" s="1529" t="n"/>
      <c r="D668" s="1529" t="n"/>
      <c r="E668" s="1529" t="n"/>
      <c r="F668" s="1529" t="n"/>
      <c r="G668" s="1529" t="n"/>
      <c r="H668" s="1529" t="n"/>
      <c r="I668" s="1529" t="n"/>
      <c r="J668" s="1529" t="n"/>
      <c r="K668" s="1529" t="n"/>
      <c r="L668" s="1529" t="n"/>
      <c r="M668" s="1529" t="n"/>
      <c r="N668" s="1529" t="n"/>
      <c r="O668" s="1420" t="n"/>
      <c r="P668" s="1420" t="n"/>
      <c r="Q668" s="1420" t="n"/>
      <c r="R668" s="1420" t="n"/>
      <c r="S668" s="1529" t="n"/>
      <c r="T668" s="1420" t="n"/>
      <c r="U668" s="1420" t="n"/>
      <c r="V668" s="1420" t="n"/>
      <c r="W668" s="1420" t="n"/>
      <c r="X668" s="1529" t="n"/>
      <c r="Y668" s="1420" t="n"/>
      <c r="Z668" s="1420" t="n"/>
      <c r="AA668" s="1420" t="n"/>
      <c r="AB668" s="1420" t="n"/>
      <c r="AC668" s="1529" t="n"/>
      <c r="AD668" s="1420" t="n"/>
      <c r="AE668" s="1420" t="n"/>
      <c r="AF668" s="1420" t="n"/>
      <c r="AG668" s="1420" t="n"/>
      <c r="AH668" s="1529" t="n"/>
      <c r="AI668" s="1420" t="n"/>
      <c r="AJ668" s="1420" t="n"/>
      <c r="AK668" s="1421" t="n"/>
      <c r="AL668" s="1420" t="n"/>
      <c r="AM668" s="1529" t="n"/>
      <c r="AN668" s="1420" t="n"/>
      <c r="AO668" s="1420" t="n"/>
      <c r="AP668" s="1420" t="n"/>
      <c r="AQ668" s="1420" t="n"/>
      <c r="AR668" s="1529" t="n"/>
      <c r="AS668" s="1529" t="n"/>
      <c r="AT668" s="1529" t="n"/>
      <c r="AU668" s="1529" t="n"/>
      <c r="AV668" s="1422" t="n"/>
    </row>
    <row r="669" ht="14.4" customFormat="1" customHeight="1" s="1418">
      <c r="A669" s="1539" t="inlineStr">
        <is>
          <t>Cash and cash equivalents</t>
        </is>
      </c>
      <c r="B669" s="1698" t="n"/>
      <c r="C669" s="1529" t="n"/>
      <c r="D669" s="1529" t="n"/>
      <c r="E669" s="1529" t="n"/>
      <c r="F669" s="1529" t="n"/>
      <c r="G669" s="1529" t="n"/>
      <c r="H669" s="1529" t="n"/>
      <c r="I669" s="1529" t="n"/>
      <c r="J669" s="1529" t="n"/>
      <c r="K669" s="1529" t="n"/>
      <c r="L669" s="1529" t="n"/>
      <c r="M669" s="1529" t="n"/>
      <c r="N669" s="1529" t="n"/>
      <c r="O669" s="1420" t="n"/>
      <c r="P669" s="1420" t="n"/>
      <c r="Q669" s="1420" t="n"/>
      <c r="R669" s="1420" t="n"/>
      <c r="S669" s="1529" t="n"/>
      <c r="T669" s="1420" t="n"/>
      <c r="U669" s="1420" t="n"/>
      <c r="V669" s="1420" t="n"/>
      <c r="W669" s="1420" t="n"/>
      <c r="X669" s="1529" t="n"/>
      <c r="Y669" s="1420" t="n"/>
      <c r="Z669" s="1420" t="n"/>
      <c r="AA669" s="1420" t="n"/>
      <c r="AB669" s="1422">
        <f>AC669</f>
        <v/>
      </c>
      <c r="AC669" s="1593" t="n">
        <v>217.147</v>
      </c>
      <c r="AD669" s="1420" t="n"/>
      <c r="AE669" s="1420" t="n"/>
      <c r="AF669" s="1594" t="n">
        <v>1355.216</v>
      </c>
      <c r="AG669" s="1422">
        <f>AH669</f>
        <v/>
      </c>
      <c r="AH669" s="1593" t="n">
        <v>1361.083</v>
      </c>
      <c r="AI669" s="1594" t="n">
        <v>1276.456</v>
      </c>
      <c r="AJ669" s="1594" t="n">
        <v>1152.883</v>
      </c>
      <c r="AK669" s="1595" t="n">
        <v>1894.399</v>
      </c>
      <c r="AL669" s="1420">
        <f>AK669+AL622</f>
        <v/>
      </c>
      <c r="AM669" s="1529">
        <f>AL669</f>
        <v/>
      </c>
      <c r="AN669" s="1420">
        <f>AM669+AN622</f>
        <v/>
      </c>
      <c r="AO669" s="1420">
        <f>AN669+AO622</f>
        <v/>
      </c>
      <c r="AP669" s="1420">
        <f>AO669+AP622</f>
        <v/>
      </c>
      <c r="AQ669" s="1420">
        <f>AP669+AQ622</f>
        <v/>
      </c>
      <c r="AR669" s="1529">
        <f>AQ669</f>
        <v/>
      </c>
      <c r="AS669" s="1529">
        <f>AR669+AS622</f>
        <v/>
      </c>
      <c r="AT669" s="1529">
        <f>AS669+AT622</f>
        <v/>
      </c>
      <c r="AU669" s="1529">
        <f>AT669+AU622</f>
        <v/>
      </c>
      <c r="AV669" s="1422" t="n"/>
    </row>
    <row r="670" ht="14.4" customFormat="1" customHeight="1" s="1418">
      <c r="A670" s="1539" t="inlineStr">
        <is>
          <t>Restricted cash and cash equivalents, current</t>
        </is>
      </c>
      <c r="B670" s="1698" t="n"/>
      <c r="C670" s="1529" t="n"/>
      <c r="D670" s="1529" t="n"/>
      <c r="E670" s="1529" t="n"/>
      <c r="F670" s="1529" t="n"/>
      <c r="G670" s="1529" t="n"/>
      <c r="H670" s="1529" t="n"/>
      <c r="I670" s="1529" t="n"/>
      <c r="J670" s="1529" t="n"/>
      <c r="K670" s="1529" t="n"/>
      <c r="L670" s="1529" t="n"/>
      <c r="M670" s="1529" t="n"/>
      <c r="N670" s="1529" t="n"/>
      <c r="O670" s="1420" t="n"/>
      <c r="P670" s="1420" t="n"/>
      <c r="Q670" s="1420" t="n"/>
      <c r="R670" s="1420" t="n"/>
      <c r="S670" s="1529" t="n"/>
      <c r="T670" s="1420" t="n"/>
      <c r="U670" s="1420" t="n"/>
      <c r="V670" s="1420" t="n"/>
      <c r="W670" s="1420" t="n"/>
      <c r="X670" s="1529" t="n"/>
      <c r="Y670" s="1420" t="n"/>
      <c r="Z670" s="1420" t="n"/>
      <c r="AA670" s="1420" t="n"/>
      <c r="AB670" s="1422">
        <f>AC670</f>
        <v/>
      </c>
      <c r="AC670" s="1593" t="n">
        <v>42.94</v>
      </c>
      <c r="AD670" s="1420" t="n"/>
      <c r="AE670" s="1420" t="n"/>
      <c r="AF670" s="1594" t="n">
        <v>69.57599999999999</v>
      </c>
      <c r="AG670" s="1422">
        <f>AH670</f>
        <v/>
      </c>
      <c r="AH670" s="1593" t="n">
        <v>37.394</v>
      </c>
      <c r="AI670" s="1594" t="n">
        <v>624.25</v>
      </c>
      <c r="AJ670" s="1594" t="n">
        <v>560.173</v>
      </c>
      <c r="AK670" s="1595" t="n">
        <v>596.777</v>
      </c>
      <c r="AL670" s="1422">
        <f>AK670</f>
        <v/>
      </c>
      <c r="AM670" s="1540">
        <f>AL670</f>
        <v/>
      </c>
      <c r="AN670" s="1422">
        <f>AM670</f>
        <v/>
      </c>
      <c r="AO670" s="1422">
        <f>AN670</f>
        <v/>
      </c>
      <c r="AP670" s="1422">
        <f>AO670</f>
        <v/>
      </c>
      <c r="AQ670" s="1422">
        <f>AP670</f>
        <v/>
      </c>
      <c r="AR670" s="1540">
        <f>AQ670</f>
        <v/>
      </c>
      <c r="AS670" s="1540">
        <f>AR670</f>
        <v/>
      </c>
      <c r="AT670" s="1540">
        <f>AS670</f>
        <v/>
      </c>
      <c r="AU670" s="1540">
        <f>AT670</f>
        <v/>
      </c>
      <c r="AV670" s="1422" t="n"/>
    </row>
    <row r="671" ht="14.4" customFormat="1" customHeight="1" s="1418">
      <c r="A671" s="1539" t="inlineStr">
        <is>
          <t>Marketable securities</t>
        </is>
      </c>
      <c r="B671" s="1698" t="n"/>
      <c r="C671" s="1529" t="n"/>
      <c r="D671" s="1529" t="n"/>
      <c r="E671" s="1529" t="n"/>
      <c r="F671" s="1529" t="n"/>
      <c r="G671" s="1529" t="n"/>
      <c r="H671" s="1529" t="n"/>
      <c r="I671" s="1529" t="n"/>
      <c r="J671" s="1529" t="n"/>
      <c r="K671" s="1529" t="n"/>
      <c r="L671" s="1529" t="n"/>
      <c r="M671" s="1529" t="n"/>
      <c r="N671" s="1529" t="n"/>
      <c r="O671" s="1420" t="n"/>
      <c r="P671" s="1420" t="n"/>
      <c r="Q671" s="1420" t="n"/>
      <c r="R671" s="1420" t="n"/>
      <c r="S671" s="1529" t="n"/>
      <c r="T671" s="1420" t="n"/>
      <c r="U671" s="1420" t="n"/>
      <c r="V671" s="1420" t="n"/>
      <c r="W671" s="1420" t="n"/>
      <c r="X671" s="1529" t="n"/>
      <c r="Y671" s="1420" t="n"/>
      <c r="Z671" s="1420" t="n"/>
      <c r="AA671" s="1420" t="n"/>
      <c r="AB671" s="1420" t="n"/>
      <c r="AC671" s="1529" t="n"/>
      <c r="AD671" s="1420" t="n"/>
      <c r="AE671" s="1420" t="n"/>
      <c r="AF671" s="1420" t="n"/>
      <c r="AG671" s="1420" t="n"/>
      <c r="AH671" s="1529" t="n"/>
      <c r="AI671" s="1420" t="n"/>
      <c r="AJ671" s="1420" t="n"/>
      <c r="AK671" s="1595" t="n">
        <v>47.449</v>
      </c>
      <c r="AL671" s="1422">
        <f>AK671</f>
        <v/>
      </c>
      <c r="AM671" s="1540">
        <f>AL671</f>
        <v/>
      </c>
      <c r="AN671" s="1422">
        <f>AM671</f>
        <v/>
      </c>
      <c r="AO671" s="1422">
        <f>AN671</f>
        <v/>
      </c>
      <c r="AP671" s="1422">
        <f>AO671</f>
        <v/>
      </c>
      <c r="AQ671" s="1422">
        <f>AP671</f>
        <v/>
      </c>
      <c r="AR671" s="1540">
        <f>AQ671</f>
        <v/>
      </c>
      <c r="AS671" s="1540">
        <f>AR671</f>
        <v/>
      </c>
      <c r="AT671" s="1540">
        <f>AS671</f>
        <v/>
      </c>
      <c r="AU671" s="1540">
        <f>AT671</f>
        <v/>
      </c>
      <c r="AV671" s="1422" t="n"/>
    </row>
    <row r="672" ht="14.4" customFormat="1" customHeight="1" s="1418">
      <c r="A672" s="1539" t="inlineStr">
        <is>
          <t>Accounts receivable, net</t>
        </is>
      </c>
      <c r="B672" s="1698" t="n"/>
      <c r="C672" s="1529" t="n"/>
      <c r="D672" s="1529" t="n"/>
      <c r="E672" s="1529" t="n"/>
      <c r="F672" s="1529" t="n"/>
      <c r="G672" s="1529" t="n"/>
      <c r="H672" s="1529" t="n"/>
      <c r="I672" s="1529" t="n"/>
      <c r="J672" s="1529" t="n"/>
      <c r="K672" s="1529" t="n"/>
      <c r="L672" s="1529" t="n"/>
      <c r="M672" s="1529" t="n"/>
      <c r="N672" s="1529" t="n"/>
      <c r="O672" s="1420" t="n"/>
      <c r="P672" s="1420" t="n"/>
      <c r="Q672" s="1420" t="n"/>
      <c r="R672" s="1420" t="n"/>
      <c r="S672" s="1529" t="n"/>
      <c r="T672" s="1420" t="n"/>
      <c r="U672" s="1420" t="n"/>
      <c r="V672" s="1420" t="n"/>
      <c r="W672" s="1420" t="n"/>
      <c r="X672" s="1529" t="n"/>
      <c r="Y672" s="1420" t="n"/>
      <c r="Z672" s="1420" t="n"/>
      <c r="AA672" s="1420" t="n"/>
      <c r="AB672" s="1422">
        <f>AC672</f>
        <v/>
      </c>
      <c r="AC672" s="1593" t="n">
        <v>165.379</v>
      </c>
      <c r="AD672" s="1420" t="n"/>
      <c r="AE672" s="1420" t="n"/>
      <c r="AF672" s="1594" t="n">
        <v>498.145</v>
      </c>
      <c r="AG672" s="1422">
        <f>AH672</f>
        <v/>
      </c>
      <c r="AH672" s="1593" t="n">
        <v>416.526</v>
      </c>
      <c r="AI672" s="1594" t="n">
        <v>1055.208</v>
      </c>
      <c r="AJ672" s="1594" t="n">
        <v>1933.698</v>
      </c>
      <c r="AK672" s="1595" t="n">
        <v>1659.229</v>
      </c>
      <c r="AL672" s="1422">
        <f>SUM(AL333,AK333,AJ333,AI333)*AL655</f>
        <v/>
      </c>
      <c r="AM672" s="1540">
        <f>AL672</f>
        <v/>
      </c>
      <c r="AN672" s="1422">
        <f>SUM(AN333,AL333,AK333,AJ333)*AN655</f>
        <v/>
      </c>
      <c r="AO672" s="1422">
        <f>SUM(AO333,AN333,AL333,AK333)*AO655</f>
        <v/>
      </c>
      <c r="AP672" s="1422">
        <f>SUM(AP333,AO333,AN333,AL333)*AP655</f>
        <v/>
      </c>
      <c r="AQ672" s="1422">
        <f>SUM(AQ333,AP333,AO333,AN333)*AQ655</f>
        <v/>
      </c>
      <c r="AR672" s="1540">
        <f>AQ672</f>
        <v/>
      </c>
      <c r="AS672" s="1540">
        <f>AS333*AS655</f>
        <v/>
      </c>
      <c r="AT672" s="1540">
        <f>AT333*AT655</f>
        <v/>
      </c>
      <c r="AU672" s="1540">
        <f>AU333*AU655</f>
        <v/>
      </c>
      <c r="AV672" s="1422" t="n"/>
    </row>
    <row r="673" ht="14.4" customFormat="1" customHeight="1" s="1418">
      <c r="A673" s="1539" t="inlineStr">
        <is>
          <t>Prepaid expenses and other current assets</t>
        </is>
      </c>
      <c r="B673" s="1698" t="n"/>
      <c r="C673" s="1529" t="n"/>
      <c r="D673" s="1529" t="n"/>
      <c r="E673" s="1529" t="n"/>
      <c r="F673" s="1529" t="n"/>
      <c r="G673" s="1529" t="n"/>
      <c r="H673" s="1529" t="n"/>
      <c r="I673" s="1529" t="n"/>
      <c r="J673" s="1529" t="n"/>
      <c r="K673" s="1529" t="n"/>
      <c r="L673" s="1529" t="n"/>
      <c r="M673" s="1529" t="n"/>
      <c r="N673" s="1529" t="n"/>
      <c r="O673" s="1420" t="n"/>
      <c r="P673" s="1420" t="n"/>
      <c r="Q673" s="1420" t="n"/>
      <c r="R673" s="1420" t="n"/>
      <c r="S673" s="1529" t="n"/>
      <c r="T673" s="1420" t="n"/>
      <c r="U673" s="1420" t="n"/>
      <c r="V673" s="1420" t="n"/>
      <c r="W673" s="1420" t="n"/>
      <c r="X673" s="1529" t="n"/>
      <c r="Y673" s="1420" t="n"/>
      <c r="Z673" s="1420" t="n"/>
      <c r="AA673" s="1420" t="n"/>
      <c r="AB673" s="1422">
        <f>AC673</f>
        <v/>
      </c>
      <c r="AC673" s="1593" t="n">
        <v>76.526</v>
      </c>
      <c r="AD673" s="1420" t="n"/>
      <c r="AE673" s="1420" t="n"/>
      <c r="AF673" s="1594" t="n">
        <v>129.908</v>
      </c>
      <c r="AG673" s="1422">
        <f>AH673</f>
        <v/>
      </c>
      <c r="AH673" s="1593" t="n">
        <v>101.246</v>
      </c>
      <c r="AI673" s="1594" t="n">
        <v>146.733</v>
      </c>
      <c r="AJ673" s="1594" t="n">
        <v>299.229</v>
      </c>
      <c r="AK673" s="1595" t="n">
        <v>533.429</v>
      </c>
      <c r="AL673" s="1422">
        <f>SUM(AL333,AK333,AJ333,AI333)*AL656</f>
        <v/>
      </c>
      <c r="AM673" s="1540">
        <f>AL673</f>
        <v/>
      </c>
      <c r="AN673" s="1422">
        <f>SUM(AN333,AL333,AK333,AJ333)*AN656</f>
        <v/>
      </c>
      <c r="AO673" s="1422">
        <f>SUM(AO333,AN333,AL333,AK333)*AO656</f>
        <v/>
      </c>
      <c r="AP673" s="1422">
        <f>SUM(AP333,AO333,AN333,AL333)*AP656</f>
        <v/>
      </c>
      <c r="AQ673" s="1422">
        <f>SUM(AQ333,AP333,AO333,AN333)*AQ656</f>
        <v/>
      </c>
      <c r="AR673" s="1540">
        <f>AQ673</f>
        <v/>
      </c>
      <c r="AS673" s="1540">
        <f>AS333*AS656</f>
        <v/>
      </c>
      <c r="AT673" s="1540">
        <f>AT333*AT656</f>
        <v/>
      </c>
      <c r="AU673" s="1540">
        <f>AU333*AU656</f>
        <v/>
      </c>
      <c r="AV673" s="1422" t="n"/>
    </row>
    <row r="674" ht="14.4" customFormat="1" customHeight="1" s="1438">
      <c r="A674" s="1542" t="inlineStr">
        <is>
          <t>Total Current Assets</t>
        </is>
      </c>
      <c r="B674" s="1699" t="n"/>
      <c r="C674" s="1544" t="n"/>
      <c r="D674" s="1544" t="n"/>
      <c r="E674" s="1544" t="n"/>
      <c r="F674" s="1544" t="n"/>
      <c r="G674" s="1544" t="n"/>
      <c r="H674" s="1544" t="n"/>
      <c r="I674" s="1544" t="n"/>
      <c r="J674" s="1544" t="n"/>
      <c r="K674" s="1544" t="n"/>
      <c r="L674" s="1544" t="n"/>
      <c r="M674" s="1544" t="n"/>
      <c r="N674" s="1544" t="n"/>
      <c r="O674" s="1545" t="n"/>
      <c r="P674" s="1545" t="n"/>
      <c r="Q674" s="1545" t="n"/>
      <c r="R674" s="1545" t="n"/>
      <c r="S674" s="1544" t="n"/>
      <c r="T674" s="1545" t="n"/>
      <c r="U674" s="1545" t="n"/>
      <c r="V674" s="1545" t="n"/>
      <c r="W674" s="1545" t="n"/>
      <c r="X674" s="1544" t="n"/>
      <c r="Y674" s="1545" t="n"/>
      <c r="Z674" s="1545" t="n"/>
      <c r="AA674" s="1545" t="n"/>
      <c r="AB674" s="1547">
        <f>SUM(AB669:AB673)</f>
        <v/>
      </c>
      <c r="AC674" s="1546">
        <f>SUM(AC669:AC673)</f>
        <v/>
      </c>
      <c r="AD674" s="1545" t="n"/>
      <c r="AE674" s="1545" t="n"/>
      <c r="AF674" s="1547">
        <f>SUM(AF669:AF673)</f>
        <v/>
      </c>
      <c r="AG674" s="1547">
        <f>SUM(AG669:AG673)</f>
        <v/>
      </c>
      <c r="AH674" s="1546">
        <f>SUM(AH669:AH673)</f>
        <v/>
      </c>
      <c r="AI674" s="1545">
        <f>SUM(AI669:AI673)</f>
        <v/>
      </c>
      <c r="AJ674" s="1545">
        <f>SUM(AJ669:AJ673)</f>
        <v/>
      </c>
      <c r="AK674" s="1548">
        <f>SUM(AK669:AK673)</f>
        <v/>
      </c>
      <c r="AL674" s="1547">
        <f>SUM(AL669:AL673)</f>
        <v/>
      </c>
      <c r="AM674" s="1546">
        <f>SUM(AM669:AM673)</f>
        <v/>
      </c>
      <c r="AN674" s="1547">
        <f>SUM(AN669:AN673)</f>
        <v/>
      </c>
      <c r="AO674" s="1547">
        <f>SUM(AO669:AO673)</f>
        <v/>
      </c>
      <c r="AP674" s="1547">
        <f>SUM(AP669:AP673)</f>
        <v/>
      </c>
      <c r="AQ674" s="1547">
        <f>SUM(AQ669:AQ673)</f>
        <v/>
      </c>
      <c r="AR674" s="1546">
        <f>SUM(AR669:AR673)</f>
        <v/>
      </c>
      <c r="AS674" s="1546">
        <f>SUM(AS669:AS673)</f>
        <v/>
      </c>
      <c r="AT674" s="1546">
        <f>SUM(AT669:AT673)</f>
        <v/>
      </c>
      <c r="AU674" s="1546">
        <f>SUM(AU669:AU673)</f>
        <v/>
      </c>
      <c r="AV674" s="1446" t="n"/>
    </row>
    <row r="675" ht="14.4" customFormat="1" customHeight="1" s="1438">
      <c r="A675" s="1513" t="n"/>
      <c r="B675" s="1695" t="n"/>
      <c r="C675" s="1535" t="n"/>
      <c r="D675" s="1535" t="n"/>
      <c r="E675" s="1535" t="n"/>
      <c r="F675" s="1535" t="n"/>
      <c r="G675" s="1535" t="n"/>
      <c r="H675" s="1535" t="n"/>
      <c r="I675" s="1535" t="n"/>
      <c r="J675" s="1535" t="n"/>
      <c r="K675" s="1535" t="n"/>
      <c r="L675" s="1535" t="n"/>
      <c r="M675" s="1535" t="n"/>
      <c r="N675" s="1535" t="n"/>
      <c r="O675" s="1536" t="n"/>
      <c r="P675" s="1536" t="n"/>
      <c r="Q675" s="1536" t="n"/>
      <c r="R675" s="1536" t="n"/>
      <c r="S675" s="1535" t="n"/>
      <c r="T675" s="1536" t="n"/>
      <c r="U675" s="1536" t="n"/>
      <c r="V675" s="1536" t="n"/>
      <c r="W675" s="1536" t="n"/>
      <c r="X675" s="1535" t="n"/>
      <c r="Y675" s="1536" t="n"/>
      <c r="Z675" s="1536" t="n"/>
      <c r="AA675" s="1536" t="n"/>
      <c r="AB675" s="1536" t="n"/>
      <c r="AC675" s="1535" t="n"/>
      <c r="AD675" s="1536" t="n"/>
      <c r="AE675" s="1536" t="n"/>
      <c r="AF675" s="1536" t="n"/>
      <c r="AG675" s="1536" t="n"/>
      <c r="AH675" s="1535" t="n"/>
      <c r="AI675" s="1536" t="n"/>
      <c r="AJ675" s="1536" t="n"/>
      <c r="AK675" s="1674" t="n"/>
      <c r="AL675" s="1536" t="n"/>
      <c r="AM675" s="1535" t="n"/>
      <c r="AN675" s="1536" t="n"/>
      <c r="AO675" s="1536" t="n"/>
      <c r="AP675" s="1536" t="n"/>
      <c r="AQ675" s="1536" t="n"/>
      <c r="AR675" s="1535" t="n"/>
      <c r="AS675" s="1535" t="n"/>
      <c r="AT675" s="1535" t="n"/>
      <c r="AU675" s="1535" t="n"/>
      <c r="AV675" s="1446" t="n"/>
    </row>
    <row r="676" ht="14.4" customFormat="1" customHeight="1" s="1438">
      <c r="A676" s="1811" t="inlineStr">
        <is>
          <t>Non-Current Assets</t>
        </is>
      </c>
      <c r="B676" s="1695" t="n"/>
      <c r="C676" s="1535" t="n"/>
      <c r="D676" s="1535" t="n"/>
      <c r="E676" s="1535" t="n"/>
      <c r="F676" s="1535" t="n"/>
      <c r="G676" s="1535" t="n"/>
      <c r="H676" s="1535" t="n"/>
      <c r="I676" s="1535" t="n"/>
      <c r="J676" s="1535" t="n"/>
      <c r="K676" s="1535" t="n"/>
      <c r="L676" s="1535" t="n"/>
      <c r="M676" s="1535" t="n"/>
      <c r="N676" s="1535" t="n"/>
      <c r="O676" s="1536" t="n"/>
      <c r="P676" s="1536" t="n"/>
      <c r="Q676" s="1536" t="n"/>
      <c r="R676" s="1536" t="n"/>
      <c r="S676" s="1535" t="n"/>
      <c r="T676" s="1536" t="n"/>
      <c r="U676" s="1536" t="n"/>
      <c r="V676" s="1536" t="n"/>
      <c r="W676" s="1536" t="n"/>
      <c r="X676" s="1535" t="n"/>
      <c r="Y676" s="1536" t="n"/>
      <c r="Z676" s="1536" t="n"/>
      <c r="AA676" s="1536" t="n"/>
      <c r="AB676" s="1536" t="n"/>
      <c r="AC676" s="1535" t="n"/>
      <c r="AD676" s="1536" t="n"/>
      <c r="AE676" s="1536" t="n"/>
      <c r="AF676" s="1536" t="n"/>
      <c r="AG676" s="1536" t="n"/>
      <c r="AH676" s="1535" t="n"/>
      <c r="AI676" s="1536" t="n"/>
      <c r="AJ676" s="1536" t="n"/>
      <c r="AK676" s="1674" t="n"/>
      <c r="AL676" s="1536" t="n"/>
      <c r="AM676" s="1535" t="n"/>
      <c r="AN676" s="1536" t="n"/>
      <c r="AO676" s="1536" t="n"/>
      <c r="AP676" s="1536" t="n"/>
      <c r="AQ676" s="1536" t="n"/>
      <c r="AR676" s="1535" t="n"/>
      <c r="AS676" s="1535" t="n"/>
      <c r="AT676" s="1535" t="n"/>
      <c r="AU676" s="1535" t="n"/>
      <c r="AV676" s="1446" t="n"/>
    </row>
    <row r="677" ht="14.4" customFormat="1" customHeight="1" s="1418">
      <c r="A677" s="1539" t="inlineStr">
        <is>
          <t>Restricted cash and cash equivalents, non-current</t>
        </is>
      </c>
      <c r="B677" s="1698" t="n"/>
      <c r="C677" s="1529" t="n"/>
      <c r="D677" s="1529" t="n"/>
      <c r="E677" s="1529" t="n"/>
      <c r="F677" s="1529" t="n"/>
      <c r="G677" s="1529" t="n"/>
      <c r="H677" s="1529" t="n"/>
      <c r="I677" s="1529" t="n"/>
      <c r="J677" s="1529" t="n"/>
      <c r="K677" s="1529" t="n"/>
      <c r="L677" s="1529" t="n"/>
      <c r="M677" s="1529" t="n"/>
      <c r="N677" s="1529" t="n"/>
      <c r="O677" s="1420" t="n"/>
      <c r="P677" s="1420" t="n"/>
      <c r="Q677" s="1420" t="n"/>
      <c r="R677" s="1420" t="n"/>
      <c r="S677" s="1529" t="n"/>
      <c r="T677" s="1420" t="n"/>
      <c r="U677" s="1420" t="n"/>
      <c r="V677" s="1420" t="n"/>
      <c r="W677" s="1420" t="n"/>
      <c r="X677" s="1529" t="n"/>
      <c r="Y677" s="1420" t="n"/>
      <c r="Z677" s="1420" t="n"/>
      <c r="AA677" s="1420" t="n"/>
      <c r="AB677" s="1422">
        <f>AC677</f>
        <v/>
      </c>
      <c r="AC677" s="1593" t="n">
        <v>219.988</v>
      </c>
      <c r="AD677" s="1420" t="n"/>
      <c r="AE677" s="1420" t="n"/>
      <c r="AF677" s="1594" t="n">
        <v>497.258</v>
      </c>
      <c r="AG677" s="1422">
        <f>AH677</f>
        <v/>
      </c>
      <c r="AH677" s="1593" t="n">
        <v>637.356</v>
      </c>
      <c r="AI677" s="1594" t="n">
        <v>617.11</v>
      </c>
      <c r="AJ677" s="1594" t="n">
        <v>340.527</v>
      </c>
      <c r="AK677" s="1595" t="n">
        <v>477.515</v>
      </c>
      <c r="AL677" s="1422">
        <f>AK677</f>
        <v/>
      </c>
      <c r="AM677" s="1540">
        <f>AL677</f>
        <v/>
      </c>
      <c r="AN677" s="1422">
        <f>AM677</f>
        <v/>
      </c>
      <c r="AO677" s="1422">
        <f>AN677</f>
        <v/>
      </c>
      <c r="AP677" s="1422">
        <f>AO677</f>
        <v/>
      </c>
      <c r="AQ677" s="1422">
        <f>AP677</f>
        <v/>
      </c>
      <c r="AR677" s="1540">
        <f>AQ677</f>
        <v/>
      </c>
      <c r="AS677" s="1540">
        <f>AR677</f>
        <v/>
      </c>
      <c r="AT677" s="1540">
        <f>AS677</f>
        <v/>
      </c>
      <c r="AU677" s="1540">
        <f>AT677</f>
        <v/>
      </c>
      <c r="AV677" s="1422" t="n"/>
    </row>
    <row r="678" ht="14.4" customFormat="1" customHeight="1" s="1418">
      <c r="A678" s="1539" t="inlineStr">
        <is>
          <t>Restricted marketable securities, non-current</t>
        </is>
      </c>
      <c r="B678" s="1698" t="n"/>
      <c r="C678" s="1529" t="n"/>
      <c r="D678" s="1529" t="n"/>
      <c r="E678" s="1529" t="n"/>
      <c r="F678" s="1529" t="n"/>
      <c r="G678" s="1529" t="n"/>
      <c r="H678" s="1529" t="n"/>
      <c r="I678" s="1529" t="n"/>
      <c r="J678" s="1529" t="n"/>
      <c r="K678" s="1529" t="n"/>
      <c r="L678" s="1529" t="n"/>
      <c r="M678" s="1529" t="n"/>
      <c r="N678" s="1529" t="n"/>
      <c r="O678" s="1420" t="n"/>
      <c r="P678" s="1420" t="n"/>
      <c r="Q678" s="1420" t="n"/>
      <c r="R678" s="1420" t="n"/>
      <c r="S678" s="1529" t="n"/>
      <c r="T678" s="1420" t="n"/>
      <c r="U678" s="1420" t="n"/>
      <c r="V678" s="1420" t="n"/>
      <c r="W678" s="1420" t="n"/>
      <c r="X678" s="1529" t="n"/>
      <c r="Y678" s="1420" t="n"/>
      <c r="Z678" s="1420" t="n"/>
      <c r="AA678" s="1420" t="n"/>
      <c r="AB678" s="1422">
        <f>AC678</f>
        <v/>
      </c>
      <c r="AC678" s="1593" t="n">
        <v>171.734</v>
      </c>
      <c r="AD678" s="1420" t="n"/>
      <c r="AE678" s="1420" t="n"/>
      <c r="AF678" s="1594" t="n">
        <v>103.65</v>
      </c>
      <c r="AG678" s="1422">
        <f>AH678</f>
        <v/>
      </c>
      <c r="AH678" s="1593" t="n">
        <v>29.308</v>
      </c>
      <c r="AI678" s="1594" t="n">
        <v>0</v>
      </c>
      <c r="AJ678" s="1594" t="n">
        <v>0</v>
      </c>
      <c r="AK678" s="1595" t="n">
        <v>0</v>
      </c>
      <c r="AL678" s="1422">
        <f>AK678</f>
        <v/>
      </c>
      <c r="AM678" s="1540">
        <f>AL678</f>
        <v/>
      </c>
      <c r="AN678" s="1422">
        <f>AM678</f>
        <v/>
      </c>
      <c r="AO678" s="1422">
        <f>AN678</f>
        <v/>
      </c>
      <c r="AP678" s="1422">
        <f>AO678</f>
        <v/>
      </c>
      <c r="AQ678" s="1422">
        <f>AP678</f>
        <v/>
      </c>
      <c r="AR678" s="1540">
        <f>AQ678</f>
        <v/>
      </c>
      <c r="AS678" s="1540">
        <f>AR678</f>
        <v/>
      </c>
      <c r="AT678" s="1540">
        <f>AS678</f>
        <v/>
      </c>
      <c r="AU678" s="1540">
        <f>AT678</f>
        <v/>
      </c>
      <c r="AV678" s="1422" t="n"/>
    </row>
    <row r="679" hidden="1" outlineLevel="1" ht="14.4" customFormat="1" customHeight="1" s="1418">
      <c r="A679" s="1700" t="inlineStr">
        <is>
          <t>Technology equipment</t>
        </is>
      </c>
      <c r="B679" s="1698" t="n"/>
      <c r="C679" s="1529" t="n"/>
      <c r="D679" s="1529" t="n"/>
      <c r="E679" s="1529" t="n"/>
      <c r="F679" s="1529" t="n"/>
      <c r="G679" s="1529" t="n"/>
      <c r="H679" s="1529" t="n"/>
      <c r="I679" s="1529" t="n"/>
      <c r="J679" s="1529" t="n"/>
      <c r="K679" s="1529" t="n"/>
      <c r="L679" s="1529" t="n"/>
      <c r="M679" s="1529" t="n"/>
      <c r="N679" s="1529" t="n"/>
      <c r="O679" s="1420" t="n"/>
      <c r="P679" s="1420" t="n"/>
      <c r="Q679" s="1420" t="n"/>
      <c r="R679" s="1420" t="n"/>
      <c r="S679" s="1529" t="n"/>
      <c r="T679" s="1420" t="n"/>
      <c r="U679" s="1420" t="n"/>
      <c r="V679" s="1420" t="n"/>
      <c r="W679" s="1420" t="n"/>
      <c r="X679" s="1529" t="n"/>
      <c r="Y679" s="1420" t="n"/>
      <c r="Z679" s="1420" t="n"/>
      <c r="AA679" s="1420" t="n"/>
      <c r="AB679" s="1422">
        <f>AC679</f>
        <v/>
      </c>
      <c r="AC679" s="1593" t="n">
        <v>1298.127</v>
      </c>
      <c r="AD679" s="1420" t="n"/>
      <c r="AE679" s="1420" t="n"/>
      <c r="AF679" s="1594" t="n">
        <v>6886.183</v>
      </c>
      <c r="AG679" s="1422">
        <f>AH679</f>
        <v/>
      </c>
      <c r="AH679" s="1593" t="n">
        <v>9146.575000000001</v>
      </c>
      <c r="AI679" s="1594" t="n">
        <v>10746.445</v>
      </c>
      <c r="AJ679" s="1594" t="n">
        <v>13170.295</v>
      </c>
      <c r="AK679" s="1595" t="n">
        <v>14628.79</v>
      </c>
      <c r="AL679" s="1420" t="n"/>
      <c r="AM679" s="1529" t="n"/>
      <c r="AN679" s="1420" t="n"/>
      <c r="AO679" s="1420" t="n"/>
      <c r="AP679" s="1420" t="n"/>
      <c r="AQ679" s="1420" t="n"/>
      <c r="AR679" s="1529" t="n"/>
      <c r="AS679" s="1529" t="n"/>
      <c r="AT679" s="1529" t="n"/>
      <c r="AU679" s="1529" t="n"/>
      <c r="AV679" s="1422" t="n"/>
    </row>
    <row r="680" hidden="1" outlineLevel="1" ht="14.4" customFormat="1" customHeight="1" s="1418">
      <c r="A680" s="1700" t="inlineStr">
        <is>
          <t>Software</t>
        </is>
      </c>
      <c r="B680" s="1698" t="n"/>
      <c r="C680" s="1529" t="n"/>
      <c r="D680" s="1529" t="n"/>
      <c r="E680" s="1529" t="n"/>
      <c r="F680" s="1529" t="n"/>
      <c r="G680" s="1529" t="n"/>
      <c r="H680" s="1529" t="n"/>
      <c r="I680" s="1529" t="n"/>
      <c r="J680" s="1529" t="n"/>
      <c r="K680" s="1529" t="n"/>
      <c r="L680" s="1529" t="n"/>
      <c r="M680" s="1529" t="n"/>
      <c r="N680" s="1529" t="n"/>
      <c r="O680" s="1420" t="n"/>
      <c r="P680" s="1420" t="n"/>
      <c r="Q680" s="1420" t="n"/>
      <c r="R680" s="1420" t="n"/>
      <c r="S680" s="1529" t="n"/>
      <c r="T680" s="1420" t="n"/>
      <c r="U680" s="1420" t="n"/>
      <c r="V680" s="1420" t="n"/>
      <c r="W680" s="1420" t="n"/>
      <c r="X680" s="1529" t="n"/>
      <c r="Y680" s="1420" t="n"/>
      <c r="Z680" s="1420" t="n"/>
      <c r="AA680" s="1420" t="n"/>
      <c r="AB680" s="1422">
        <f>AC680</f>
        <v/>
      </c>
      <c r="AC680" s="1593" t="n">
        <v>14.937</v>
      </c>
      <c r="AD680" s="1420" t="n"/>
      <c r="AE680" s="1420" t="n"/>
      <c r="AF680" s="1594" t="n">
        <v>69.209</v>
      </c>
      <c r="AG680" s="1422">
        <f>AH680</f>
        <v/>
      </c>
      <c r="AH680" s="1593" t="n">
        <v>139.508</v>
      </c>
      <c r="AI680" s="1594" t="n">
        <v>245.458</v>
      </c>
      <c r="AJ680" s="1594" t="n">
        <v>459.742</v>
      </c>
      <c r="AK680" s="1595" t="n">
        <v>541.567</v>
      </c>
      <c r="AL680" s="1420" t="n"/>
      <c r="AM680" s="1529" t="n"/>
      <c r="AN680" s="1420" t="n"/>
      <c r="AO680" s="1420" t="n"/>
      <c r="AP680" s="1420" t="n"/>
      <c r="AQ680" s="1420" t="n"/>
      <c r="AR680" s="1529" t="n"/>
      <c r="AS680" s="1529" t="n"/>
      <c r="AT680" s="1529" t="n"/>
      <c r="AU680" s="1529" t="n"/>
      <c r="AV680" s="1422" t="n"/>
    </row>
    <row r="681" hidden="1" outlineLevel="1" ht="14.4" customFormat="1" customHeight="1" s="1418">
      <c r="A681" s="1700" t="inlineStr">
        <is>
          <t>Data center equipment and leasehold improvements</t>
        </is>
      </c>
      <c r="B681" s="1698" t="n"/>
      <c r="C681" s="1529" t="n"/>
      <c r="D681" s="1529" t="n"/>
      <c r="E681" s="1529" t="n"/>
      <c r="F681" s="1529" t="n"/>
      <c r="G681" s="1529" t="n"/>
      <c r="H681" s="1529" t="n"/>
      <c r="I681" s="1529" t="n"/>
      <c r="J681" s="1529" t="n"/>
      <c r="K681" s="1529" t="n"/>
      <c r="L681" s="1529" t="n"/>
      <c r="M681" s="1529" t="n"/>
      <c r="N681" s="1529" t="n"/>
      <c r="O681" s="1420" t="n"/>
      <c r="P681" s="1420" t="n"/>
      <c r="Q681" s="1420" t="n"/>
      <c r="R681" s="1420" t="n"/>
      <c r="S681" s="1529" t="n"/>
      <c r="T681" s="1420" t="n"/>
      <c r="U681" s="1420" t="n"/>
      <c r="V681" s="1420" t="n"/>
      <c r="W681" s="1420" t="n"/>
      <c r="X681" s="1529" t="n"/>
      <c r="Y681" s="1420" t="n"/>
      <c r="Z681" s="1420" t="n"/>
      <c r="AA681" s="1420" t="n"/>
      <c r="AB681" s="1422">
        <f>AC681</f>
        <v/>
      </c>
      <c r="AC681" s="1593" t="n">
        <v>29.332</v>
      </c>
      <c r="AD681" s="1420" t="n"/>
      <c r="AE681" s="1420" t="n"/>
      <c r="AF681" s="1594" t="n">
        <v>308.264</v>
      </c>
      <c r="AG681" s="1422">
        <f>AH681</f>
        <v/>
      </c>
      <c r="AH681" s="1593" t="n">
        <v>384.372</v>
      </c>
      <c r="AI681" s="1594" t="n">
        <v>534.12</v>
      </c>
      <c r="AJ681" s="1594" t="n">
        <v>830.875</v>
      </c>
      <c r="AK681" s="1595" t="n">
        <v>1139.095</v>
      </c>
      <c r="AL681" s="1420" t="n"/>
      <c r="AM681" s="1529" t="n"/>
      <c r="AN681" s="1420" t="n"/>
      <c r="AO681" s="1420" t="n"/>
      <c r="AP681" s="1420" t="n"/>
      <c r="AQ681" s="1420" t="n"/>
      <c r="AR681" s="1529" t="n"/>
      <c r="AS681" s="1529" t="n"/>
      <c r="AT681" s="1529" t="n"/>
      <c r="AU681" s="1529" t="n"/>
      <c r="AV681" s="1422" t="n"/>
    </row>
    <row r="682" hidden="1" outlineLevel="1" ht="14.4" customFormat="1" customHeight="1" s="1418">
      <c r="A682" s="1700" t="inlineStr">
        <is>
          <t>Furniture, fixtures, and other assets</t>
        </is>
      </c>
      <c r="B682" s="1698" t="n"/>
      <c r="C682" s="1529" t="n"/>
      <c r="D682" s="1529" t="n"/>
      <c r="E682" s="1529" t="n"/>
      <c r="F682" s="1529" t="n"/>
      <c r="G682" s="1529" t="n"/>
      <c r="H682" s="1529" t="n"/>
      <c r="I682" s="1529" t="n"/>
      <c r="J682" s="1529" t="n"/>
      <c r="K682" s="1529" t="n"/>
      <c r="L682" s="1529" t="n"/>
      <c r="M682" s="1529" t="n"/>
      <c r="N682" s="1529" t="n"/>
      <c r="O682" s="1420" t="n"/>
      <c r="P682" s="1420" t="n"/>
      <c r="Q682" s="1420" t="n"/>
      <c r="R682" s="1420" t="n"/>
      <c r="S682" s="1529" t="n"/>
      <c r="T682" s="1420" t="n"/>
      <c r="U682" s="1420" t="n"/>
      <c r="V682" s="1420" t="n"/>
      <c r="W682" s="1420" t="n"/>
      <c r="X682" s="1529" t="n"/>
      <c r="Y682" s="1420" t="n"/>
      <c r="Z682" s="1420" t="n"/>
      <c r="AA682" s="1420" t="n"/>
      <c r="AB682" s="1422">
        <f>AC682</f>
        <v/>
      </c>
      <c r="AC682" s="1593" t="n">
        <v>1.717</v>
      </c>
      <c r="AD682" s="1420" t="n"/>
      <c r="AE682" s="1420" t="n"/>
      <c r="AF682" s="1594" t="n">
        <v>4.811</v>
      </c>
      <c r="AG682" s="1422">
        <f>AH682</f>
        <v/>
      </c>
      <c r="AH682" s="1593" t="n">
        <v>8.683999999999999</v>
      </c>
      <c r="AI682" s="1594" t="n">
        <v>10.716</v>
      </c>
      <c r="AJ682" s="1594" t="n">
        <v>12.949</v>
      </c>
      <c r="AK682" s="1595" t="n">
        <v>14.241</v>
      </c>
      <c r="AL682" s="1420" t="n"/>
      <c r="AM682" s="1529" t="n"/>
      <c r="AN682" s="1420" t="n"/>
      <c r="AO682" s="1420" t="n"/>
      <c r="AP682" s="1420" t="n"/>
      <c r="AQ682" s="1420" t="n"/>
      <c r="AR682" s="1529" t="n"/>
      <c r="AS682" s="1529" t="n"/>
      <c r="AT682" s="1529" t="n"/>
      <c r="AU682" s="1529" t="n"/>
      <c r="AV682" s="1422" t="n"/>
    </row>
    <row r="683" hidden="1" outlineLevel="1" ht="14.4" customFormat="1" customHeight="1" s="1418">
      <c r="A683" s="1701" t="inlineStr">
        <is>
          <t>Construction in progress</t>
        </is>
      </c>
      <c r="B683" s="1702" t="n"/>
      <c r="C683" s="1582" t="n"/>
      <c r="D683" s="1582" t="n"/>
      <c r="E683" s="1582" t="n"/>
      <c r="F683" s="1582" t="n"/>
      <c r="G683" s="1582" t="n"/>
      <c r="H683" s="1582" t="n"/>
      <c r="I683" s="1582" t="n"/>
      <c r="J683" s="1582" t="n"/>
      <c r="K683" s="1582" t="n"/>
      <c r="L683" s="1582" t="n"/>
      <c r="M683" s="1582" t="n"/>
      <c r="N683" s="1582" t="n"/>
      <c r="O683" s="1583" t="n"/>
      <c r="P683" s="1583" t="n"/>
      <c r="Q683" s="1583" t="n"/>
      <c r="R683" s="1583" t="n"/>
      <c r="S683" s="1582" t="n"/>
      <c r="T683" s="1583" t="n"/>
      <c r="U683" s="1583" t="n"/>
      <c r="V683" s="1583" t="n"/>
      <c r="W683" s="1583" t="n"/>
      <c r="X683" s="1582" t="n"/>
      <c r="Y683" s="1583" t="n"/>
      <c r="Z683" s="1583" t="n"/>
      <c r="AA683" s="1583" t="n"/>
      <c r="AB683" s="1704">
        <f>AC683</f>
        <v/>
      </c>
      <c r="AC683" s="1586" t="n">
        <v>2256.673</v>
      </c>
      <c r="AD683" s="1583" t="n"/>
      <c r="AE683" s="1583" t="n"/>
      <c r="AF683" s="1585" t="n">
        <v>2460.34</v>
      </c>
      <c r="AG683" s="1704">
        <f>AH683</f>
        <v/>
      </c>
      <c r="AH683" s="1586" t="n">
        <v>3200.866</v>
      </c>
      <c r="AI683" s="1585" t="n">
        <v>4073.81</v>
      </c>
      <c r="AJ683" s="1585" t="n">
        <v>4111.256</v>
      </c>
      <c r="AK683" s="1768" t="n">
        <v>6910.066</v>
      </c>
      <c r="AL683" s="1583" t="n"/>
      <c r="AM683" s="1582" t="n"/>
      <c r="AN683" s="1583" t="n"/>
      <c r="AO683" s="1583" t="n"/>
      <c r="AP683" s="1583" t="n"/>
      <c r="AQ683" s="1583" t="n"/>
      <c r="AR683" s="1582" t="n"/>
      <c r="AS683" s="1582" t="n"/>
      <c r="AT683" s="1582" t="n"/>
      <c r="AU683" s="1582" t="n"/>
      <c r="AV683" s="1422" t="n"/>
    </row>
    <row r="684" hidden="1" outlineLevel="1" ht="14.4" customFormat="1" customHeight="1" s="1418">
      <c r="A684" s="1539" t="inlineStr">
        <is>
          <t>Gross property and equipment</t>
        </is>
      </c>
      <c r="B684" s="1698" t="n"/>
      <c r="C684" s="1529" t="n"/>
      <c r="D684" s="1529" t="n"/>
      <c r="E684" s="1529" t="n"/>
      <c r="F684" s="1529" t="n"/>
      <c r="G684" s="1529" t="n"/>
      <c r="H684" s="1529" t="n"/>
      <c r="I684" s="1529" t="n"/>
      <c r="J684" s="1529" t="n"/>
      <c r="K684" s="1529" t="n"/>
      <c r="L684" s="1529" t="n"/>
      <c r="M684" s="1529" t="n"/>
      <c r="N684" s="1529" t="n"/>
      <c r="O684" s="1420" t="n"/>
      <c r="P684" s="1420" t="n"/>
      <c r="Q684" s="1420" t="n"/>
      <c r="R684" s="1420" t="n"/>
      <c r="S684" s="1529" t="n"/>
      <c r="T684" s="1420" t="n"/>
      <c r="U684" s="1420" t="n"/>
      <c r="V684" s="1420" t="n"/>
      <c r="W684" s="1420" t="n"/>
      <c r="X684" s="1529" t="n"/>
      <c r="Y684" s="1420" t="n"/>
      <c r="Z684" s="1420" t="n"/>
      <c r="AA684" s="1420" t="n"/>
      <c r="AB684" s="1422">
        <f>SUM(AB679:AB683)</f>
        <v/>
      </c>
      <c r="AC684" s="1540">
        <f>SUM(AC679:AC683)</f>
        <v/>
      </c>
      <c r="AD684" s="1420" t="n"/>
      <c r="AE684" s="1420" t="n"/>
      <c r="AF684" s="1422">
        <f>SUM(AF679:AF683)</f>
        <v/>
      </c>
      <c r="AG684" s="1422">
        <f>SUM(AG679:AG683)</f>
        <v/>
      </c>
      <c r="AH684" s="1540">
        <f>SUM(AH679:AH683)</f>
        <v/>
      </c>
      <c r="AI684" s="1420">
        <f>SUM(AI679:AI683)</f>
        <v/>
      </c>
      <c r="AJ684" s="1420">
        <f>SUM(AJ679:AJ683)</f>
        <v/>
      </c>
      <c r="AK684" s="1421">
        <f>SUM(AK679:AK683)</f>
        <v/>
      </c>
      <c r="AL684" s="1420" t="n"/>
      <c r="AM684" s="1529" t="n"/>
      <c r="AN684" s="1420" t="n"/>
      <c r="AO684" s="1420" t="n"/>
      <c r="AP684" s="1420" t="n"/>
      <c r="AQ684" s="1420" t="n"/>
      <c r="AR684" s="1529" t="n"/>
      <c r="AS684" s="1529" t="n"/>
      <c r="AT684" s="1529" t="n"/>
      <c r="AU684" s="1529" t="n"/>
      <c r="AV684" s="1422" t="n"/>
    </row>
    <row r="685" hidden="1" outlineLevel="1" ht="14.4" customFormat="1" customHeight="1" s="1418">
      <c r="A685" s="1701" t="inlineStr">
        <is>
          <t>Less: accumulated depreciation and amortization</t>
        </is>
      </c>
      <c r="B685" s="1702" t="n"/>
      <c r="C685" s="1582" t="n"/>
      <c r="D685" s="1582" t="n"/>
      <c r="E685" s="1582" t="n"/>
      <c r="F685" s="1582" t="n"/>
      <c r="G685" s="1582" t="n"/>
      <c r="H685" s="1582" t="n"/>
      <c r="I685" s="1582" t="n"/>
      <c r="J685" s="1582" t="n"/>
      <c r="K685" s="1582" t="n"/>
      <c r="L685" s="1582" t="n"/>
      <c r="M685" s="1582" t="n"/>
      <c r="N685" s="1582" t="n"/>
      <c r="O685" s="1583" t="n"/>
      <c r="P685" s="1583" t="n"/>
      <c r="Q685" s="1583" t="n"/>
      <c r="R685" s="1583" t="n"/>
      <c r="S685" s="1582" t="n"/>
      <c r="T685" s="1583" t="n"/>
      <c r="U685" s="1583" t="n"/>
      <c r="V685" s="1583" t="n"/>
      <c r="W685" s="1583" t="n"/>
      <c r="X685" s="1582" t="n"/>
      <c r="Y685" s="1583" t="n"/>
      <c r="Z685" s="1583" t="n"/>
      <c r="AA685" s="1583" t="n"/>
      <c r="AB685" s="1704">
        <f>AC685</f>
        <v/>
      </c>
      <c r="AC685" s="1586" t="n">
        <v>-116.796</v>
      </c>
      <c r="AD685" s="1583" t="n"/>
      <c r="AE685" s="1583" t="n"/>
      <c r="AF685" s="1585" t="n">
        <v>-612.217</v>
      </c>
      <c r="AG685" s="1704">
        <f>AH685</f>
        <v/>
      </c>
      <c r="AH685" s="1586" t="n">
        <v>-965.231</v>
      </c>
      <c r="AI685" s="1585" t="n">
        <v>-1399.557</v>
      </c>
      <c r="AJ685" s="1585" t="n">
        <v>-1953.607</v>
      </c>
      <c r="AK685" s="1768" t="n">
        <v>-2574.578</v>
      </c>
      <c r="AL685" s="1583" t="n"/>
      <c r="AM685" s="1582" t="n"/>
      <c r="AN685" s="1583" t="n"/>
      <c r="AO685" s="1583" t="n"/>
      <c r="AP685" s="1583" t="n"/>
      <c r="AQ685" s="1583" t="n"/>
      <c r="AR685" s="1582" t="n"/>
      <c r="AS685" s="1582" t="n"/>
      <c r="AT685" s="1582" t="n"/>
      <c r="AU685" s="1582" t="n"/>
      <c r="AV685" s="1422" t="n"/>
    </row>
    <row r="686" collapsed="1" ht="14.4" customFormat="1" customHeight="1" s="1418">
      <c r="A686" s="1539" t="inlineStr">
        <is>
          <t>Property, plant and equipment, net</t>
        </is>
      </c>
      <c r="B686" s="1698" t="n"/>
      <c r="C686" s="1529" t="n"/>
      <c r="D686" s="1529" t="n"/>
      <c r="E686" s="1529" t="n"/>
      <c r="F686" s="1529" t="n"/>
      <c r="G686" s="1529" t="n"/>
      <c r="H686" s="1529" t="n"/>
      <c r="I686" s="1529" t="n"/>
      <c r="J686" s="1529" t="n"/>
      <c r="K686" s="1529" t="n"/>
      <c r="L686" s="1529" t="n"/>
      <c r="M686" s="1529" t="n"/>
      <c r="N686" s="1529" t="n"/>
      <c r="O686" s="1420" t="n"/>
      <c r="P686" s="1420" t="n"/>
      <c r="Q686" s="1420" t="n"/>
      <c r="R686" s="1420" t="n"/>
      <c r="S686" s="1529" t="n"/>
      <c r="T686" s="1420" t="n"/>
      <c r="U686" s="1420" t="n"/>
      <c r="V686" s="1420" t="n"/>
      <c r="W686" s="1420" t="n"/>
      <c r="X686" s="1529" t="n"/>
      <c r="Y686" s="1420" t="n"/>
      <c r="Z686" s="1420" t="n"/>
      <c r="AA686" s="1420" t="n"/>
      <c r="AB686" s="1422">
        <f>AB685+AB684</f>
        <v/>
      </c>
      <c r="AC686" s="1540">
        <f>AC685+AC684</f>
        <v/>
      </c>
      <c r="AD686" s="1420" t="n"/>
      <c r="AE686" s="1420" t="n"/>
      <c r="AF686" s="1422">
        <f>AF685+AF684</f>
        <v/>
      </c>
      <c r="AG686" s="1422">
        <f>AG685+AG684</f>
        <v/>
      </c>
      <c r="AH686" s="1540">
        <f>AH685+AH684</f>
        <v/>
      </c>
      <c r="AI686" s="1420">
        <f>AI685+AI684</f>
        <v/>
      </c>
      <c r="AJ686" s="1420">
        <f>AJ685+AJ684</f>
        <v/>
      </c>
      <c r="AK686" s="1595" t="n">
        <v>20659.181</v>
      </c>
      <c r="AL686" s="1420">
        <f>AK686+AL635+AL634-AL599-AL600</f>
        <v/>
      </c>
      <c r="AM686" s="1540">
        <f>AL686</f>
        <v/>
      </c>
      <c r="AN686" s="1420">
        <f>AM686+AN635+AN634-AN599-AN600</f>
        <v/>
      </c>
      <c r="AO686" s="1420">
        <f>AN686+AO635+AO634-AO599-AO600</f>
        <v/>
      </c>
      <c r="AP686" s="1420">
        <f>AO686+AP635+AP634-AP599-AP600</f>
        <v/>
      </c>
      <c r="AQ686" s="1420">
        <f>AP686+AQ635+AQ634-AQ599-AQ600</f>
        <v/>
      </c>
      <c r="AR686" s="1529">
        <f>AQ686</f>
        <v/>
      </c>
      <c r="AS686" s="1529">
        <f>AR686+AS635+AS634-AS599-AS600</f>
        <v/>
      </c>
      <c r="AT686" s="1529">
        <f>AS686+AT635+AT634-AT599-AT600</f>
        <v/>
      </c>
      <c r="AU686" s="1529">
        <f>AT686+AU635+AU634-AU599-AU600</f>
        <v/>
      </c>
      <c r="AV686" s="1422" t="n"/>
    </row>
    <row r="687" ht="14.4" customFormat="1" customHeight="1" s="1418">
      <c r="A687" s="1539" t="inlineStr">
        <is>
          <t>Operating lease right-of-use assets</t>
        </is>
      </c>
      <c r="B687" s="1698" t="n"/>
      <c r="C687" s="1529" t="n"/>
      <c r="D687" s="1529" t="n"/>
      <c r="E687" s="1529" t="n"/>
      <c r="F687" s="1529" t="n"/>
      <c r="G687" s="1529" t="n"/>
      <c r="H687" s="1529" t="n"/>
      <c r="I687" s="1529" t="n"/>
      <c r="J687" s="1529" t="n"/>
      <c r="K687" s="1529" t="n"/>
      <c r="L687" s="1529" t="n"/>
      <c r="M687" s="1529" t="n"/>
      <c r="N687" s="1529" t="n"/>
      <c r="O687" s="1420" t="n"/>
      <c r="P687" s="1420" t="n"/>
      <c r="Q687" s="1420" t="n"/>
      <c r="R687" s="1420" t="n"/>
      <c r="S687" s="1529" t="n"/>
      <c r="T687" s="1420" t="n"/>
      <c r="U687" s="1420" t="n"/>
      <c r="V687" s="1420" t="n"/>
      <c r="W687" s="1420" t="n"/>
      <c r="X687" s="1529" t="n"/>
      <c r="Y687" s="1420" t="n"/>
      <c r="Z687" s="1420" t="n"/>
      <c r="AA687" s="1420" t="n"/>
      <c r="AB687" s="1422">
        <f>AC687</f>
        <v/>
      </c>
      <c r="AC687" s="1593" t="n">
        <v>461.966</v>
      </c>
      <c r="AD687" s="1420" t="n"/>
      <c r="AE687" s="1420" t="n"/>
      <c r="AF687" s="1594" t="n">
        <v>1792.885</v>
      </c>
      <c r="AG687" s="1422">
        <f>AH687</f>
        <v/>
      </c>
      <c r="AH687" s="1593" t="n">
        <v>2589.547</v>
      </c>
      <c r="AI687" s="1594" t="n">
        <v>3063.22</v>
      </c>
      <c r="AJ687" s="1594" t="n">
        <v>3380.201</v>
      </c>
      <c r="AK687" s="1595" t="n">
        <v>4677.057</v>
      </c>
      <c r="AL687" s="1420">
        <f>AK687</f>
        <v/>
      </c>
      <c r="AM687" s="1540">
        <f>AL687</f>
        <v/>
      </c>
      <c r="AN687" s="1420">
        <f>AM687</f>
        <v/>
      </c>
      <c r="AO687" s="1420">
        <f>AN687</f>
        <v/>
      </c>
      <c r="AP687" s="1420">
        <f>AO687</f>
        <v/>
      </c>
      <c r="AQ687" s="1420">
        <f>AP687</f>
        <v/>
      </c>
      <c r="AR687" s="1529">
        <f>AQ687</f>
        <v/>
      </c>
      <c r="AS687" s="1529">
        <f>AR687</f>
        <v/>
      </c>
      <c r="AT687" s="1529">
        <f>AS687</f>
        <v/>
      </c>
      <c r="AU687" s="1529">
        <f>AT687</f>
        <v/>
      </c>
      <c r="AV687" s="1422" t="n"/>
    </row>
    <row r="688" ht="14.4" customFormat="1" customHeight="1" s="1418">
      <c r="A688" s="1539" t="inlineStr">
        <is>
          <t>Intangible assets</t>
        </is>
      </c>
      <c r="B688" s="1698" t="n"/>
      <c r="C688" s="1529" t="n"/>
      <c r="D688" s="1529" t="n"/>
      <c r="E688" s="1529" t="n"/>
      <c r="F688" s="1529" t="n"/>
      <c r="G688" s="1529" t="n"/>
      <c r="H688" s="1529" t="n"/>
      <c r="I688" s="1529" t="n"/>
      <c r="J688" s="1529" t="n"/>
      <c r="K688" s="1529" t="n"/>
      <c r="L688" s="1529" t="n"/>
      <c r="M688" s="1529" t="n"/>
      <c r="N688" s="1529" t="n"/>
      <c r="O688" s="1420" t="n"/>
      <c r="P688" s="1420" t="n"/>
      <c r="Q688" s="1420" t="n"/>
      <c r="R688" s="1420" t="n"/>
      <c r="S688" s="1529" t="n"/>
      <c r="T688" s="1420" t="n"/>
      <c r="U688" s="1420" t="n"/>
      <c r="V688" s="1420" t="n"/>
      <c r="W688" s="1420" t="n"/>
      <c r="X688" s="1529" t="n"/>
      <c r="Y688" s="1420" t="n"/>
      <c r="Z688" s="1420" t="n"/>
      <c r="AA688" s="1420" t="n"/>
      <c r="AB688" s="1422">
        <f>AC688</f>
        <v/>
      </c>
      <c r="AC688" s="1593" t="n">
        <v>7.003</v>
      </c>
      <c r="AD688" s="1420" t="n"/>
      <c r="AE688" s="1420" t="n"/>
      <c r="AF688" s="1594" t="n">
        <v>5.43</v>
      </c>
      <c r="AG688" s="1422">
        <f>AH688</f>
        <v/>
      </c>
      <c r="AH688" s="1593" t="n">
        <v>4.909</v>
      </c>
      <c r="AI688" s="1594" t="n">
        <v>4.395</v>
      </c>
      <c r="AJ688" s="1594" t="n">
        <v>205.895</v>
      </c>
      <c r="AK688" s="1595" t="n">
        <v>200.001</v>
      </c>
      <c r="AL688" s="1420">
        <f>AK688+AL641+AL640</f>
        <v/>
      </c>
      <c r="AM688" s="1540">
        <f>AL688</f>
        <v/>
      </c>
      <c r="AN688" s="1420">
        <f>AM688+AN641+AN640</f>
        <v/>
      </c>
      <c r="AO688" s="1420">
        <f>AN688+AO641+AO640</f>
        <v/>
      </c>
      <c r="AP688" s="1420">
        <f>AO688+AP641+AP640</f>
        <v/>
      </c>
      <c r="AQ688" s="1420">
        <f>AP688+AQ641+AQ640</f>
        <v/>
      </c>
      <c r="AR688" s="1529">
        <f>AQ688</f>
        <v/>
      </c>
      <c r="AS688" s="1529">
        <f>AR688+AS641+AS640</f>
        <v/>
      </c>
      <c r="AT688" s="1529">
        <f>AS688+AT641+AT640</f>
        <v/>
      </c>
      <c r="AU688" s="1529">
        <f>AT688+AU641+AU640</f>
        <v/>
      </c>
      <c r="AV688" s="1422" t="n"/>
    </row>
    <row r="689" ht="14.4" customFormat="1" customHeight="1" s="1418">
      <c r="A689" s="1539" t="inlineStr">
        <is>
          <t>Goodwill</t>
        </is>
      </c>
      <c r="B689" s="1698" t="n"/>
      <c r="C689" s="1529" t="n"/>
      <c r="D689" s="1529" t="n"/>
      <c r="E689" s="1529" t="n"/>
      <c r="F689" s="1529" t="n"/>
      <c r="G689" s="1529" t="n"/>
      <c r="H689" s="1529" t="n"/>
      <c r="I689" s="1529" t="n"/>
      <c r="J689" s="1529" t="n"/>
      <c r="K689" s="1529" t="n"/>
      <c r="L689" s="1529" t="n"/>
      <c r="M689" s="1529" t="n"/>
      <c r="N689" s="1529" t="n"/>
      <c r="O689" s="1420" t="n"/>
      <c r="P689" s="1420" t="n"/>
      <c r="Q689" s="1420" t="n"/>
      <c r="R689" s="1420" t="n"/>
      <c r="S689" s="1529" t="n"/>
      <c r="T689" s="1420" t="n"/>
      <c r="U689" s="1420" t="n"/>
      <c r="V689" s="1420" t="n"/>
      <c r="W689" s="1420" t="n"/>
      <c r="X689" s="1529" t="n"/>
      <c r="Y689" s="1420" t="n"/>
      <c r="Z689" s="1420" t="n"/>
      <c r="AA689" s="1420" t="n"/>
      <c r="AB689" s="1422">
        <f>AC689</f>
        <v/>
      </c>
      <c r="AC689" s="1593" t="n">
        <v>19.544</v>
      </c>
      <c r="AD689" s="1420" t="n"/>
      <c r="AE689" s="1420" t="n"/>
      <c r="AF689" s="1594" t="n">
        <v>19.544</v>
      </c>
      <c r="AG689" s="1422">
        <f>AH689</f>
        <v/>
      </c>
      <c r="AH689" s="1593" t="n">
        <v>19.544</v>
      </c>
      <c r="AI689" s="1594" t="n">
        <v>19.544</v>
      </c>
      <c r="AJ689" s="1594" t="n">
        <v>812.97</v>
      </c>
      <c r="AK689" s="1595" t="n">
        <v>829.979</v>
      </c>
      <c r="AL689" s="1422">
        <f>AK689</f>
        <v/>
      </c>
      <c r="AM689" s="1540">
        <f>AL689</f>
        <v/>
      </c>
      <c r="AN689" s="1422">
        <f>AM689</f>
        <v/>
      </c>
      <c r="AO689" s="1422">
        <f>AN689</f>
        <v/>
      </c>
      <c r="AP689" s="1422">
        <f>AO689</f>
        <v/>
      </c>
      <c r="AQ689" s="1422">
        <f>AP689</f>
        <v/>
      </c>
      <c r="AR689" s="1540">
        <f>AQ689</f>
        <v/>
      </c>
      <c r="AS689" s="1540">
        <f>AR689</f>
        <v/>
      </c>
      <c r="AT689" s="1540">
        <f>AS689</f>
        <v/>
      </c>
      <c r="AU689" s="1540">
        <f>AT689</f>
        <v/>
      </c>
      <c r="AV689" s="1422" t="n"/>
    </row>
    <row r="690" ht="14.4" customFormat="1" customHeight="1" s="1418">
      <c r="A690" s="1539" t="inlineStr">
        <is>
          <t>Other non-current assets</t>
        </is>
      </c>
      <c r="B690" s="1698" t="n"/>
      <c r="C690" s="1529" t="n"/>
      <c r="D690" s="1529" t="n"/>
      <c r="E690" s="1529" t="n"/>
      <c r="F690" s="1529" t="n"/>
      <c r="G690" s="1529" t="n"/>
      <c r="H690" s="1529" t="n"/>
      <c r="I690" s="1529" t="n"/>
      <c r="J690" s="1529" t="n"/>
      <c r="K690" s="1529" t="n"/>
      <c r="L690" s="1529" t="n"/>
      <c r="M690" s="1529" t="n"/>
      <c r="N690" s="1529" t="n"/>
      <c r="O690" s="1420" t="n"/>
      <c r="P690" s="1420" t="n"/>
      <c r="Q690" s="1420" t="n"/>
      <c r="R690" s="1420" t="n"/>
      <c r="S690" s="1529" t="n"/>
      <c r="T690" s="1420" t="n"/>
      <c r="U690" s="1420" t="n"/>
      <c r="V690" s="1420" t="n"/>
      <c r="W690" s="1420" t="n"/>
      <c r="X690" s="1529" t="n"/>
      <c r="Y690" s="1420" t="n"/>
      <c r="Z690" s="1420" t="n"/>
      <c r="AA690" s="1420" t="n"/>
      <c r="AB690" s="1422">
        <f>AC690</f>
        <v/>
      </c>
      <c r="AC690" s="1593" t="n">
        <v>110.758</v>
      </c>
      <c r="AD690" s="1420" t="n"/>
      <c r="AE690" s="1420" t="n"/>
      <c r="AF690" s="1594" t="n">
        <v>548.171</v>
      </c>
      <c r="AG690" s="1422">
        <f>AH690</f>
        <v/>
      </c>
      <c r="AH690" s="1593" t="n">
        <v>720.912</v>
      </c>
      <c r="AI690" s="1594" t="n">
        <v>842.475</v>
      </c>
      <c r="AJ690" s="1594" t="n">
        <v>924.277</v>
      </c>
      <c r="AK690" s="1595" t="n">
        <v>1335.482</v>
      </c>
      <c r="AL690" s="1422">
        <f>AK690</f>
        <v/>
      </c>
      <c r="AM690" s="1540">
        <f>AL690</f>
        <v/>
      </c>
      <c r="AN690" s="1422">
        <f>AM690</f>
        <v/>
      </c>
      <c r="AO690" s="1422">
        <f>AN690</f>
        <v/>
      </c>
      <c r="AP690" s="1422">
        <f>AO690</f>
        <v/>
      </c>
      <c r="AQ690" s="1422">
        <f>AP690</f>
        <v/>
      </c>
      <c r="AR690" s="1540">
        <f>AQ690</f>
        <v/>
      </c>
      <c r="AS690" s="1540">
        <f>AR690</f>
        <v/>
      </c>
      <c r="AT690" s="1540">
        <f>AS690</f>
        <v/>
      </c>
      <c r="AU690" s="1540">
        <f>AT690</f>
        <v/>
      </c>
      <c r="AV690" s="1422" t="n"/>
    </row>
    <row r="691" ht="14.4" customFormat="1" customHeight="1" s="1438">
      <c r="A691" s="1542" t="inlineStr">
        <is>
          <t>Total Non-Current Assets</t>
        </is>
      </c>
      <c r="B691" s="1699" t="n"/>
      <c r="C691" s="1544" t="n"/>
      <c r="D691" s="1544" t="n"/>
      <c r="E691" s="1544" t="n"/>
      <c r="F691" s="1544" t="n"/>
      <c r="G691" s="1544" t="n"/>
      <c r="H691" s="1544" t="n"/>
      <c r="I691" s="1544" t="n"/>
      <c r="J691" s="1544" t="n"/>
      <c r="K691" s="1544" t="n"/>
      <c r="L691" s="1544" t="n"/>
      <c r="M691" s="1544" t="n"/>
      <c r="N691" s="1544" t="n"/>
      <c r="O691" s="1545" t="n"/>
      <c r="P691" s="1545" t="n"/>
      <c r="Q691" s="1545" t="n"/>
      <c r="R691" s="1545" t="n"/>
      <c r="S691" s="1544" t="n"/>
      <c r="T691" s="1545" t="n"/>
      <c r="U691" s="1545" t="n"/>
      <c r="V691" s="1545" t="n"/>
      <c r="W691" s="1545" t="n"/>
      <c r="X691" s="1544" t="n"/>
      <c r="Y691" s="1545" t="n"/>
      <c r="Z691" s="1545" t="n"/>
      <c r="AA691" s="1545" t="n"/>
      <c r="AB691" s="1547">
        <f>SUM(AB677:AB678,AB686:AB690)</f>
        <v/>
      </c>
      <c r="AC691" s="1546">
        <f>SUM(AC677:AC678,AC686:AC690)</f>
        <v/>
      </c>
      <c r="AD691" s="1545" t="n"/>
      <c r="AE691" s="1545" t="n"/>
      <c r="AF691" s="1547">
        <f>SUM(AF677:AF678,AF686:AF690)</f>
        <v/>
      </c>
      <c r="AG691" s="1547">
        <f>SUM(AG677:AG678,AG686:AG690)</f>
        <v/>
      </c>
      <c r="AH691" s="1546">
        <f>SUM(AH677:AH678,AH686:AH690)</f>
        <v/>
      </c>
      <c r="AI691" s="1545">
        <f>SUM(AI677:AI678,AI686:AI690)</f>
        <v/>
      </c>
      <c r="AJ691" s="1545">
        <f>SUM(AJ677:AJ678,AJ686:AJ690)</f>
        <v/>
      </c>
      <c r="AK691" s="1548">
        <f>SUM(AK677:AK678,AK686:AK690)</f>
        <v/>
      </c>
      <c r="AL691" s="1547">
        <f>SUM(AL677:AL678,AL686:AL690)</f>
        <v/>
      </c>
      <c r="AM691" s="1546">
        <f>SUM(AM677:AM678,AM686:AM690)</f>
        <v/>
      </c>
      <c r="AN691" s="1547">
        <f>SUM(AN677:AN678,AN686:AN690)</f>
        <v/>
      </c>
      <c r="AO691" s="1547">
        <f>SUM(AO677:AO678,AO686:AO690)</f>
        <v/>
      </c>
      <c r="AP691" s="1547">
        <f>SUM(AP677:AP678,AP686:AP690)</f>
        <v/>
      </c>
      <c r="AQ691" s="1547">
        <f>SUM(AQ677:AQ678,AQ686:AQ690)</f>
        <v/>
      </c>
      <c r="AR691" s="1546">
        <f>SUM(AR677:AR678,AR686:AR690)</f>
        <v/>
      </c>
      <c r="AS691" s="1546">
        <f>SUM(AS677:AS678,AS686:AS690)</f>
        <v/>
      </c>
      <c r="AT691" s="1546">
        <f>SUM(AT677:AT678,AT686:AT690)</f>
        <v/>
      </c>
      <c r="AU691" s="1546">
        <f>SUM(AU677:AU678,AU686:AU690)</f>
        <v/>
      </c>
      <c r="AV691" s="1446" t="n"/>
    </row>
    <row r="692" ht="14.4" customFormat="1" customHeight="1" s="1438">
      <c r="A692" s="1439" t="inlineStr">
        <is>
          <t>Total Assets</t>
        </is>
      </c>
      <c r="B692" s="1695" t="n"/>
      <c r="C692" s="1535" t="n"/>
      <c r="D692" s="1535" t="n"/>
      <c r="E692" s="1535" t="n"/>
      <c r="F692" s="1535" t="n"/>
      <c r="G692" s="1535" t="n"/>
      <c r="H692" s="1535" t="n"/>
      <c r="I692" s="1535" t="n"/>
      <c r="J692" s="1535" t="n"/>
      <c r="K692" s="1535" t="n"/>
      <c r="L692" s="1535" t="n"/>
      <c r="M692" s="1535" t="n"/>
      <c r="N692" s="1535" t="n"/>
      <c r="O692" s="1536" t="n"/>
      <c r="P692" s="1536" t="n"/>
      <c r="Q692" s="1536" t="n"/>
      <c r="R692" s="1536" t="n"/>
      <c r="S692" s="1535" t="n"/>
      <c r="T692" s="1536" t="n"/>
      <c r="U692" s="1536" t="n"/>
      <c r="V692" s="1536" t="n"/>
      <c r="W692" s="1536" t="n"/>
      <c r="X692" s="1535" t="n"/>
      <c r="Y692" s="1536" t="n"/>
      <c r="Z692" s="1536" t="n"/>
      <c r="AA692" s="1536" t="n"/>
      <c r="AB692" s="1446">
        <f>AB674+AB691</f>
        <v/>
      </c>
      <c r="AC692" s="1537">
        <f>AC674+AC691</f>
        <v/>
      </c>
      <c r="AD692" s="1536" t="n"/>
      <c r="AE692" s="1536" t="n"/>
      <c r="AF692" s="1446">
        <f>AF674+AF691</f>
        <v/>
      </c>
      <c r="AG692" s="1446">
        <f>AG674+AG691</f>
        <v/>
      </c>
      <c r="AH692" s="1537">
        <f>AH674+AH691</f>
        <v/>
      </c>
      <c r="AI692" s="1536">
        <f>AI674+AI691</f>
        <v/>
      </c>
      <c r="AJ692" s="1536">
        <f>AJ674+AJ691</f>
        <v/>
      </c>
      <c r="AK692" s="1538">
        <f>AK674+AK691</f>
        <v/>
      </c>
      <c r="AL692" s="1536">
        <f>AL674+AL691</f>
        <v/>
      </c>
      <c r="AM692" s="1535">
        <f>AM674+AM691</f>
        <v/>
      </c>
      <c r="AN692" s="1536">
        <f>AN674+AN691</f>
        <v/>
      </c>
      <c r="AO692" s="1536">
        <f>AO674+AO691</f>
        <v/>
      </c>
      <c r="AP692" s="1536">
        <f>AP674+AP691</f>
        <v/>
      </c>
      <c r="AQ692" s="1536">
        <f>AQ674+AQ691</f>
        <v/>
      </c>
      <c r="AR692" s="1535">
        <f>AR674+AR691</f>
        <v/>
      </c>
      <c r="AS692" s="1535">
        <f>AS674+AS691</f>
        <v/>
      </c>
      <c r="AT692" s="1535">
        <f>AT674+AT691</f>
        <v/>
      </c>
      <c r="AU692" s="1535">
        <f>AU674+AU691</f>
        <v/>
      </c>
      <c r="AV692" s="1446" t="n"/>
    </row>
    <row r="693" ht="14.4" customFormat="1" customHeight="1" s="1438">
      <c r="A693" s="1513" t="n"/>
      <c r="B693" s="1695" t="n"/>
      <c r="C693" s="1535" t="n"/>
      <c r="D693" s="1535" t="n"/>
      <c r="E693" s="1535" t="n"/>
      <c r="F693" s="1535" t="n"/>
      <c r="G693" s="1535" t="n"/>
      <c r="H693" s="1535" t="n"/>
      <c r="I693" s="1535" t="n"/>
      <c r="J693" s="1535" t="n"/>
      <c r="K693" s="1535" t="n"/>
      <c r="L693" s="1535" t="n"/>
      <c r="M693" s="1535" t="n"/>
      <c r="N693" s="1535" t="n"/>
      <c r="O693" s="1536" t="n"/>
      <c r="P693" s="1536" t="n"/>
      <c r="Q693" s="1536" t="n"/>
      <c r="R693" s="1536" t="n"/>
      <c r="S693" s="1535" t="n"/>
      <c r="T693" s="1536" t="n"/>
      <c r="U693" s="1536" t="n"/>
      <c r="V693" s="1536" t="n"/>
      <c r="W693" s="1536" t="n"/>
      <c r="X693" s="1535" t="n"/>
      <c r="Y693" s="1536" t="n"/>
      <c r="Z693" s="1536" t="n"/>
      <c r="AA693" s="1536" t="n"/>
      <c r="AB693" s="1536" t="n"/>
      <c r="AC693" s="1535" t="n"/>
      <c r="AD693" s="1536" t="n"/>
      <c r="AE693" s="1536" t="n"/>
      <c r="AF693" s="1536" t="n"/>
      <c r="AG693" s="1536" t="n"/>
      <c r="AH693" s="1535" t="n"/>
      <c r="AI693" s="1536" t="n"/>
      <c r="AJ693" s="1536" t="n"/>
      <c r="AK693" s="1674" t="n"/>
      <c r="AL693" s="1536" t="n"/>
      <c r="AM693" s="1535" t="n"/>
      <c r="AN693" s="1536" t="n"/>
      <c r="AO693" s="1536" t="n"/>
      <c r="AP693" s="1536" t="n"/>
      <c r="AQ693" s="1536" t="n"/>
      <c r="AR693" s="1535" t="n"/>
      <c r="AS693" s="1535" t="n"/>
      <c r="AT693" s="1535" t="n"/>
      <c r="AU693" s="1535" t="n"/>
      <c r="AV693" s="1446" t="n"/>
    </row>
    <row r="694" ht="14.4" customFormat="1" customHeight="1" s="1418">
      <c r="A694" s="1439" t="inlineStr">
        <is>
          <t>Current Liabilities</t>
        </is>
      </c>
      <c r="B694" s="1698" t="n"/>
      <c r="C694" s="1529" t="n"/>
      <c r="D694" s="1529" t="n"/>
      <c r="E694" s="1529" t="n"/>
      <c r="F694" s="1529" t="n"/>
      <c r="G694" s="1529" t="n"/>
      <c r="H694" s="1529" t="n"/>
      <c r="I694" s="1529" t="n"/>
      <c r="J694" s="1529" t="n"/>
      <c r="K694" s="1529" t="n"/>
      <c r="L694" s="1529" t="n"/>
      <c r="M694" s="1529" t="n"/>
      <c r="N694" s="1529" t="n"/>
      <c r="O694" s="1420" t="n"/>
      <c r="P694" s="1420" t="n"/>
      <c r="Q694" s="1420" t="n"/>
      <c r="R694" s="1420" t="n"/>
      <c r="S694" s="1529" t="n"/>
      <c r="T694" s="1420" t="n"/>
      <c r="U694" s="1420" t="n"/>
      <c r="V694" s="1420" t="n"/>
      <c r="W694" s="1420" t="n"/>
      <c r="X694" s="1529" t="n"/>
      <c r="Y694" s="1420" t="n"/>
      <c r="Z694" s="1420" t="n"/>
      <c r="AA694" s="1420" t="n"/>
      <c r="AB694" s="1420" t="n"/>
      <c r="AC694" s="1529" t="n"/>
      <c r="AD694" s="1420" t="n"/>
      <c r="AE694" s="1420" t="n"/>
      <c r="AF694" s="1420" t="n"/>
      <c r="AG694" s="1420" t="n"/>
      <c r="AH694" s="1529" t="n"/>
      <c r="AI694" s="1420" t="n"/>
      <c r="AJ694" s="1420" t="n"/>
      <c r="AK694" s="1421" t="n"/>
      <c r="AL694" s="1420" t="n"/>
      <c r="AM694" s="1529" t="n"/>
      <c r="AN694" s="1420" t="n"/>
      <c r="AO694" s="1420" t="n"/>
      <c r="AP694" s="1420" t="n"/>
      <c r="AQ694" s="1420" t="n"/>
      <c r="AR694" s="1529" t="n"/>
      <c r="AS694" s="1529" t="n"/>
      <c r="AT694" s="1529" t="n"/>
      <c r="AU694" s="1529" t="n"/>
      <c r="AV694" s="1422" t="n"/>
    </row>
    <row r="695" ht="14.4" customFormat="1" customHeight="1" s="1418">
      <c r="A695" s="1539" t="inlineStr">
        <is>
          <t>Accounts payable</t>
        </is>
      </c>
      <c r="B695" s="1698" t="n"/>
      <c r="C695" s="1529" t="n"/>
      <c r="D695" s="1529" t="n"/>
      <c r="E695" s="1529" t="n"/>
      <c r="F695" s="1529" t="n"/>
      <c r="G695" s="1529" t="n"/>
      <c r="H695" s="1529" t="n"/>
      <c r="I695" s="1529" t="n"/>
      <c r="J695" s="1529" t="n"/>
      <c r="K695" s="1529" t="n"/>
      <c r="L695" s="1529" t="n"/>
      <c r="M695" s="1529" t="n"/>
      <c r="N695" s="1529" t="n"/>
      <c r="O695" s="1420" t="n"/>
      <c r="P695" s="1420" t="n"/>
      <c r="Q695" s="1420" t="n"/>
      <c r="R695" s="1420" t="n"/>
      <c r="S695" s="1529" t="n"/>
      <c r="T695" s="1420" t="n"/>
      <c r="U695" s="1420" t="n"/>
      <c r="V695" s="1420" t="n"/>
      <c r="W695" s="1420" t="n"/>
      <c r="X695" s="1529" t="n"/>
      <c r="Y695" s="1420" t="n"/>
      <c r="Z695" s="1420" t="n"/>
      <c r="AA695" s="1420" t="n"/>
      <c r="AB695" s="1422">
        <f>AC695</f>
        <v/>
      </c>
      <c r="AC695" s="1593" t="n">
        <v>455.563</v>
      </c>
      <c r="AD695" s="1420" t="n"/>
      <c r="AE695" s="1420" t="n"/>
      <c r="AF695" s="1594" t="n">
        <v>1009.375</v>
      </c>
      <c r="AG695" s="1422">
        <f>AH695</f>
        <v/>
      </c>
      <c r="AH695" s="1593" t="n">
        <v>868.259</v>
      </c>
      <c r="AI695" s="1594" t="n">
        <v>1242.1</v>
      </c>
      <c r="AJ695" s="1594" t="n">
        <v>1226.579</v>
      </c>
      <c r="AK695" s="1595" t="n">
        <v>1156.978</v>
      </c>
      <c r="AL695" s="1422">
        <f>SUM(AL333,AK333,AJ333,AI333)*AL657</f>
        <v/>
      </c>
      <c r="AM695" s="1540">
        <f>AL695</f>
        <v/>
      </c>
      <c r="AN695" s="1422">
        <f>SUM(AN333,AL333,AK333,AJ333)*AN657</f>
        <v/>
      </c>
      <c r="AO695" s="1422">
        <f>SUM(AO333,AN333,AL333,AK333)*AO657</f>
        <v/>
      </c>
      <c r="AP695" s="1422">
        <f>SUM(AP333,AO333,AN333,AL333)*AP657</f>
        <v/>
      </c>
      <c r="AQ695" s="1422">
        <f>SUM(AQ333,AP333,AO333,AN333)*AQ657</f>
        <v/>
      </c>
      <c r="AR695" s="1540">
        <f>AQ695</f>
        <v/>
      </c>
      <c r="AS695" s="1540">
        <f>AS333*AS657</f>
        <v/>
      </c>
      <c r="AT695" s="1540">
        <f>AT333*AT657</f>
        <v/>
      </c>
      <c r="AU695" s="1540">
        <f>AU333*AU657</f>
        <v/>
      </c>
      <c r="AV695" s="1422" t="n"/>
    </row>
    <row r="696" ht="14.4" customFormat="1" customHeight="1" s="1418">
      <c r="A696" s="1539" t="inlineStr">
        <is>
          <t>Accrued liabilities</t>
        </is>
      </c>
      <c r="B696" s="1698" t="n"/>
      <c r="C696" s="1529" t="n"/>
      <c r="D696" s="1529" t="n"/>
      <c r="E696" s="1529" t="n"/>
      <c r="F696" s="1529" t="n"/>
      <c r="G696" s="1529" t="n"/>
      <c r="H696" s="1529" t="n"/>
      <c r="I696" s="1529" t="n"/>
      <c r="J696" s="1529" t="n"/>
      <c r="K696" s="1529" t="n"/>
      <c r="L696" s="1529" t="n"/>
      <c r="M696" s="1529" t="n"/>
      <c r="N696" s="1529" t="n"/>
      <c r="O696" s="1420" t="n"/>
      <c r="P696" s="1420" t="n"/>
      <c r="Q696" s="1420" t="n"/>
      <c r="R696" s="1420" t="n"/>
      <c r="S696" s="1529" t="n"/>
      <c r="T696" s="1420" t="n"/>
      <c r="U696" s="1420" t="n"/>
      <c r="V696" s="1420" t="n"/>
      <c r="W696" s="1420" t="n"/>
      <c r="X696" s="1529" t="n"/>
      <c r="Y696" s="1420" t="n"/>
      <c r="Z696" s="1420" t="n"/>
      <c r="AA696" s="1420" t="n"/>
      <c r="AB696" s="1422">
        <f>AC696</f>
        <v/>
      </c>
      <c r="AC696" s="1593" t="n">
        <v>77.782</v>
      </c>
      <c r="AD696" s="1420" t="n"/>
      <c r="AE696" s="1420" t="n"/>
      <c r="AF696" s="1594" t="n">
        <v>423.918</v>
      </c>
      <c r="AG696" s="1422">
        <f>AH696</f>
        <v/>
      </c>
      <c r="AH696" s="1593" t="n">
        <v>355.821</v>
      </c>
      <c r="AI696" s="1594" t="n">
        <v>1377.013</v>
      </c>
      <c r="AJ696" s="1594" t="n">
        <v>1411.237</v>
      </c>
      <c r="AK696" s="1595" t="n">
        <v>3172.274</v>
      </c>
      <c r="AL696" s="1422">
        <f>SUM(AL333,AK333,AJ333,AI333)*AL658</f>
        <v/>
      </c>
      <c r="AM696" s="1540">
        <f>AL696</f>
        <v/>
      </c>
      <c r="AN696" s="1422">
        <f>SUM(AN333,AL333,AK333,AJ333)*AN658</f>
        <v/>
      </c>
      <c r="AO696" s="1422">
        <f>SUM(AO333,AN333,AL333,AK333)*AO658</f>
        <v/>
      </c>
      <c r="AP696" s="1422">
        <f>SUM(AP333,AO333,AN333,AL333)*AP658</f>
        <v/>
      </c>
      <c r="AQ696" s="1422">
        <f>SUM(AQ333,AP333,AO333,AN333)*AQ658</f>
        <v/>
      </c>
      <c r="AR696" s="1540">
        <f>AQ696</f>
        <v/>
      </c>
      <c r="AS696" s="1540">
        <f>AS333*AS658</f>
        <v/>
      </c>
      <c r="AT696" s="1540">
        <f>AT333*AT658</f>
        <v/>
      </c>
      <c r="AU696" s="1540">
        <f>AU333*AU658</f>
        <v/>
      </c>
      <c r="AV696" s="1422" t="n"/>
    </row>
    <row r="697" ht="14.4" customFormat="1" customHeight="1" s="1418">
      <c r="A697" s="1539" t="inlineStr">
        <is>
          <t>Debt, current</t>
        </is>
      </c>
      <c r="B697" s="1698" t="n"/>
      <c r="C697" s="1529" t="n"/>
      <c r="D697" s="1529" t="n"/>
      <c r="E697" s="1529" t="n"/>
      <c r="F697" s="1529" t="n"/>
      <c r="G697" s="1529" t="n"/>
      <c r="H697" s="1529" t="n"/>
      <c r="I697" s="1529" t="n"/>
      <c r="J697" s="1529" t="n"/>
      <c r="K697" s="1529" t="n"/>
      <c r="L697" s="1529" t="n"/>
      <c r="M697" s="1529" t="n"/>
      <c r="N697" s="1529" t="n"/>
      <c r="O697" s="1420" t="n"/>
      <c r="P697" s="1420" t="n"/>
      <c r="Q697" s="1420" t="n"/>
      <c r="R697" s="1420" t="n"/>
      <c r="S697" s="1529" t="n"/>
      <c r="T697" s="1420" t="n"/>
      <c r="U697" s="1420" t="n"/>
      <c r="V697" s="1420" t="n"/>
      <c r="W697" s="1420" t="n"/>
      <c r="X697" s="1529" t="n"/>
      <c r="Y697" s="1420" t="n"/>
      <c r="Z697" s="1420" t="n"/>
      <c r="AA697" s="1420" t="n"/>
      <c r="AB697" s="1422">
        <f>AC697</f>
        <v/>
      </c>
      <c r="AC697" s="1593" t="n">
        <v>171.865</v>
      </c>
      <c r="AD697" s="1420" t="n"/>
      <c r="AE697" s="1420" t="n"/>
      <c r="AF697" s="1594" t="n">
        <v>1005.352</v>
      </c>
      <c r="AG697" s="1422">
        <f>AH697</f>
        <v/>
      </c>
      <c r="AH697" s="1593" t="n">
        <v>2468.425</v>
      </c>
      <c r="AI697" s="1594" t="n">
        <v>3776.595</v>
      </c>
      <c r="AJ697" s="1594" t="n">
        <v>3627.664</v>
      </c>
      <c r="AK697" s="1595" t="n">
        <v>3712.177</v>
      </c>
      <c r="AL697" s="1422">
        <f>AL461-AL700</f>
        <v/>
      </c>
      <c r="AM697" s="1540">
        <f>AL697</f>
        <v/>
      </c>
      <c r="AN697" s="1422">
        <f>AN461-AN700</f>
        <v/>
      </c>
      <c r="AO697" s="1422">
        <f>AO461-AO700</f>
        <v/>
      </c>
      <c r="AP697" s="1422">
        <f>AP461-AP700</f>
        <v/>
      </c>
      <c r="AQ697" s="1422">
        <f>AQ461-AQ700</f>
        <v/>
      </c>
      <c r="AR697" s="1540">
        <f>AQ697</f>
        <v/>
      </c>
      <c r="AS697" s="1540">
        <f>AS461-AS700</f>
        <v/>
      </c>
      <c r="AT697" s="1540">
        <f>AT461-AT700</f>
        <v/>
      </c>
      <c r="AU697" s="1540">
        <f>AU461-AU700</f>
        <v/>
      </c>
      <c r="AV697" s="1422" t="n"/>
    </row>
    <row r="698" ht="14.4" customFormat="1" customHeight="1" s="1418">
      <c r="A698" s="1539" t="inlineStr">
        <is>
          <t>Deferred revenue, current</t>
        </is>
      </c>
      <c r="B698" s="1698" t="n"/>
      <c r="C698" s="1529" t="n"/>
      <c r="D698" s="1529" t="n"/>
      <c r="E698" s="1529" t="n"/>
      <c r="F698" s="1529" t="n"/>
      <c r="G698" s="1529" t="n"/>
      <c r="H698" s="1529" t="n"/>
      <c r="I698" s="1529" t="n"/>
      <c r="J698" s="1529" t="n"/>
      <c r="K698" s="1529" t="n"/>
      <c r="L698" s="1529" t="n"/>
      <c r="M698" s="1529" t="n"/>
      <c r="N698" s="1529" t="n"/>
      <c r="O698" s="1420" t="n"/>
      <c r="P698" s="1420" t="n"/>
      <c r="Q698" s="1420" t="n"/>
      <c r="R698" s="1420" t="n"/>
      <c r="S698" s="1529" t="n"/>
      <c r="T698" s="1420" t="n"/>
      <c r="U698" s="1420" t="n"/>
      <c r="V698" s="1420" t="n"/>
      <c r="W698" s="1420" t="n"/>
      <c r="X698" s="1529" t="n"/>
      <c r="Y698" s="1420" t="n"/>
      <c r="Z698" s="1420" t="n"/>
      <c r="AA698" s="1420" t="n"/>
      <c r="AB698" s="1422">
        <f>AC698</f>
        <v/>
      </c>
      <c r="AC698" s="1593" t="n">
        <v>249.831</v>
      </c>
      <c r="AD698" s="1420" t="n"/>
      <c r="AE698" s="1420" t="n"/>
      <c r="AF698" s="1594" t="n">
        <v>1079.111</v>
      </c>
      <c r="AG698" s="1422">
        <f>AH698</f>
        <v/>
      </c>
      <c r="AH698" s="1593" t="n">
        <v>768.927</v>
      </c>
      <c r="AI698" s="1594" t="n">
        <v>436.53</v>
      </c>
      <c r="AJ698" s="1594" t="n">
        <v>951.346</v>
      </c>
      <c r="AK698" s="1595" t="n">
        <v>1107.58</v>
      </c>
      <c r="AL698" s="1422">
        <f>SUM(AL333,AK333,AJ333,AI333)*AL659</f>
        <v/>
      </c>
      <c r="AM698" s="1540">
        <f>AL698</f>
        <v/>
      </c>
      <c r="AN698" s="1422">
        <f>SUM(AN333,AL333,AK333,AJ333)*AN659</f>
        <v/>
      </c>
      <c r="AO698" s="1422">
        <f>SUM(AO333,AN333,AL333,AK333)*AO659</f>
        <v/>
      </c>
      <c r="AP698" s="1422">
        <f>SUM(AP333,AO333,AN333,AL333)*AP659</f>
        <v/>
      </c>
      <c r="AQ698" s="1422">
        <f>SUM(AQ333,AP333,AO333,AN333)*AQ659</f>
        <v/>
      </c>
      <c r="AR698" s="1540">
        <f>AQ698</f>
        <v/>
      </c>
      <c r="AS698" s="1540">
        <f>AS333*AS659</f>
        <v/>
      </c>
      <c r="AT698" s="1540">
        <f>AT333*AT659</f>
        <v/>
      </c>
      <c r="AU698" s="1540">
        <f>AU333*AU659</f>
        <v/>
      </c>
      <c r="AV698" s="1422" t="n"/>
    </row>
    <row r="699" ht="14.4" customFormat="1" customHeight="1" s="1418">
      <c r="A699" s="1539" t="inlineStr">
        <is>
          <t>Operating lease liabilities, current</t>
        </is>
      </c>
      <c r="B699" s="1698" t="n"/>
      <c r="C699" s="1529" t="n"/>
      <c r="D699" s="1529" t="n"/>
      <c r="E699" s="1529" t="n"/>
      <c r="F699" s="1529" t="n"/>
      <c r="G699" s="1529" t="n"/>
      <c r="H699" s="1529" t="n"/>
      <c r="I699" s="1529" t="n"/>
      <c r="J699" s="1529" t="n"/>
      <c r="K699" s="1529" t="n"/>
      <c r="L699" s="1529" t="n"/>
      <c r="M699" s="1529" t="n"/>
      <c r="N699" s="1529" t="n"/>
      <c r="O699" s="1420" t="n"/>
      <c r="P699" s="1420" t="n"/>
      <c r="Q699" s="1420" t="n"/>
      <c r="R699" s="1420" t="n"/>
      <c r="S699" s="1529" t="n"/>
      <c r="T699" s="1420" t="n"/>
      <c r="U699" s="1420" t="n"/>
      <c r="V699" s="1420" t="n"/>
      <c r="W699" s="1420" t="n"/>
      <c r="X699" s="1529" t="n"/>
      <c r="Y699" s="1420" t="n"/>
      <c r="Z699" s="1420" t="n"/>
      <c r="AA699" s="1420" t="n"/>
      <c r="AB699" s="1422">
        <f>AC699</f>
        <v/>
      </c>
      <c r="AC699" s="1593" t="n">
        <v>39.789</v>
      </c>
      <c r="AD699" s="1420" t="n"/>
      <c r="AE699" s="1420" t="n"/>
      <c r="AF699" s="1594" t="n">
        <v>151.421</v>
      </c>
      <c r="AG699" s="1422">
        <f>AH699</f>
        <v/>
      </c>
      <c r="AH699" s="1593" t="n">
        <v>213.104</v>
      </c>
      <c r="AI699" s="1594" t="n">
        <v>239.549</v>
      </c>
      <c r="AJ699" s="1594" t="n">
        <v>279.08</v>
      </c>
      <c r="AK699" s="1595" t="n">
        <v>345.472</v>
      </c>
      <c r="AL699" s="1422">
        <f>AK699</f>
        <v/>
      </c>
      <c r="AM699" s="1540">
        <f>AL699</f>
        <v/>
      </c>
      <c r="AN699" s="1422">
        <f>AM699</f>
        <v/>
      </c>
      <c r="AO699" s="1422">
        <f>AN699</f>
        <v/>
      </c>
      <c r="AP699" s="1422">
        <f>AO699</f>
        <v/>
      </c>
      <c r="AQ699" s="1422">
        <f>AP699</f>
        <v/>
      </c>
      <c r="AR699" s="1540">
        <f>AQ699</f>
        <v/>
      </c>
      <c r="AS699" s="1540">
        <f>AR699</f>
        <v/>
      </c>
      <c r="AT699" s="1540">
        <f>AS699</f>
        <v/>
      </c>
      <c r="AU699" s="1540">
        <f>AT699</f>
        <v/>
      </c>
      <c r="AV699" s="1422" t="n"/>
    </row>
    <row r="700" ht="14.4" customFormat="1" customHeight="1" s="1418">
      <c r="A700" s="1539" t="inlineStr">
        <is>
          <t>Finance lease liabilities, current</t>
        </is>
      </c>
      <c r="B700" s="1698" t="n"/>
      <c r="C700" s="1529" t="n"/>
      <c r="D700" s="1529" t="n"/>
      <c r="E700" s="1529" t="n"/>
      <c r="F700" s="1529" t="n"/>
      <c r="G700" s="1529" t="n"/>
      <c r="H700" s="1529" t="n"/>
      <c r="I700" s="1529" t="n"/>
      <c r="J700" s="1529" t="n"/>
      <c r="K700" s="1529" t="n"/>
      <c r="L700" s="1529" t="n"/>
      <c r="M700" s="1529" t="n"/>
      <c r="N700" s="1529" t="n"/>
      <c r="O700" s="1420" t="n"/>
      <c r="P700" s="1420" t="n"/>
      <c r="Q700" s="1420" t="n"/>
      <c r="R700" s="1420" t="n"/>
      <c r="S700" s="1529" t="n"/>
      <c r="T700" s="1420" t="n"/>
      <c r="U700" s="1420" t="n"/>
      <c r="V700" s="1420" t="n"/>
      <c r="W700" s="1420" t="n"/>
      <c r="X700" s="1529" t="n"/>
      <c r="Y700" s="1420" t="n"/>
      <c r="Z700" s="1420" t="n"/>
      <c r="AA700" s="1420" t="n"/>
      <c r="AB700" s="1422">
        <f>AC700</f>
        <v/>
      </c>
      <c r="AC700" s="1593" t="n">
        <v>3.534</v>
      </c>
      <c r="AD700" s="1420" t="n"/>
      <c r="AE700" s="1420" t="n"/>
      <c r="AF700" s="1594" t="n">
        <v>16.446</v>
      </c>
      <c r="AG700" s="1422">
        <f>AH700</f>
        <v/>
      </c>
      <c r="AH700" s="1593" t="n">
        <v>57.801</v>
      </c>
      <c r="AI700" s="1594" t="n">
        <v>59.01</v>
      </c>
      <c r="AJ700" s="1594" t="n">
        <v>60.396</v>
      </c>
      <c r="AK700" s="1595" t="n">
        <v>48.99</v>
      </c>
      <c r="AL700" s="1422">
        <f>AK700</f>
        <v/>
      </c>
      <c r="AM700" s="1540">
        <f>AL700</f>
        <v/>
      </c>
      <c r="AN700" s="1422">
        <f>AM700</f>
        <v/>
      </c>
      <c r="AO700" s="1422">
        <f>AN700</f>
        <v/>
      </c>
      <c r="AP700" s="1422">
        <f>AO700</f>
        <v/>
      </c>
      <c r="AQ700" s="1422">
        <f>AP700</f>
        <v/>
      </c>
      <c r="AR700" s="1540">
        <f>AQ700</f>
        <v/>
      </c>
      <c r="AS700" s="1540">
        <f>AR700</f>
        <v/>
      </c>
      <c r="AT700" s="1540">
        <f>AS700</f>
        <v/>
      </c>
      <c r="AU700" s="1540">
        <f>AT700</f>
        <v/>
      </c>
      <c r="AV700" s="1422" t="n"/>
    </row>
    <row r="701" ht="14.4" customFormat="1" customHeight="1" s="1418">
      <c r="A701" s="1539" t="inlineStr">
        <is>
          <t>Other current liabilities</t>
        </is>
      </c>
      <c r="B701" s="1698" t="n"/>
      <c r="C701" s="1529" t="n"/>
      <c r="D701" s="1529" t="n"/>
      <c r="E701" s="1529" t="n"/>
      <c r="F701" s="1529" t="n"/>
      <c r="G701" s="1529" t="n"/>
      <c r="H701" s="1529" t="n"/>
      <c r="I701" s="1529" t="n"/>
      <c r="J701" s="1529" t="n"/>
      <c r="K701" s="1529" t="n"/>
      <c r="L701" s="1529" t="n"/>
      <c r="M701" s="1529" t="n"/>
      <c r="N701" s="1529" t="n"/>
      <c r="O701" s="1420" t="n"/>
      <c r="P701" s="1420" t="n"/>
      <c r="Q701" s="1420" t="n"/>
      <c r="R701" s="1420" t="n"/>
      <c r="S701" s="1529" t="n"/>
      <c r="T701" s="1420" t="n"/>
      <c r="U701" s="1420" t="n"/>
      <c r="V701" s="1420" t="n"/>
      <c r="W701" s="1420" t="n"/>
      <c r="X701" s="1529" t="n"/>
      <c r="Y701" s="1420" t="n"/>
      <c r="Z701" s="1420" t="n"/>
      <c r="AA701" s="1420" t="n"/>
      <c r="AB701" s="1422">
        <f>AC701</f>
        <v/>
      </c>
      <c r="AC701" s="1593" t="n">
        <v>0.097</v>
      </c>
      <c r="AD701" s="1420" t="n"/>
      <c r="AE701" s="1420" t="n"/>
      <c r="AF701" s="1594" t="n">
        <v>282.601</v>
      </c>
      <c r="AG701" s="1422">
        <f>AH701</f>
        <v/>
      </c>
      <c r="AH701" s="1593" t="n">
        <v>230.244</v>
      </c>
      <c r="AI701" s="1594" t="n">
        <v>0</v>
      </c>
      <c r="AJ701" s="1594" t="n">
        <v>0.053</v>
      </c>
      <c r="AK701" s="1595" t="n">
        <v>171.401</v>
      </c>
      <c r="AL701" s="1422">
        <f>AK701</f>
        <v/>
      </c>
      <c r="AM701" s="1540">
        <f>AL701</f>
        <v/>
      </c>
      <c r="AN701" s="1422">
        <f>AM701</f>
        <v/>
      </c>
      <c r="AO701" s="1422">
        <f>AN701</f>
        <v/>
      </c>
      <c r="AP701" s="1422">
        <f>AO701</f>
        <v/>
      </c>
      <c r="AQ701" s="1422">
        <f>AP701</f>
        <v/>
      </c>
      <c r="AR701" s="1540">
        <f>AQ701</f>
        <v/>
      </c>
      <c r="AS701" s="1540">
        <f>AR701</f>
        <v/>
      </c>
      <c r="AT701" s="1540">
        <f>AS701</f>
        <v/>
      </c>
      <c r="AU701" s="1540">
        <f>AT701</f>
        <v/>
      </c>
      <c r="AV701" s="1422" t="n"/>
    </row>
    <row r="702" ht="14.4" customFormat="1" customHeight="1" s="1438">
      <c r="A702" s="1542" t="inlineStr">
        <is>
          <t>Total Current Liabilities</t>
        </is>
      </c>
      <c r="B702" s="1699" t="n"/>
      <c r="C702" s="1544" t="n"/>
      <c r="D702" s="1544" t="n"/>
      <c r="E702" s="1544" t="n"/>
      <c r="F702" s="1544" t="n"/>
      <c r="G702" s="1544" t="n"/>
      <c r="H702" s="1544" t="n"/>
      <c r="I702" s="1544" t="n"/>
      <c r="J702" s="1544" t="n"/>
      <c r="K702" s="1544" t="n"/>
      <c r="L702" s="1544" t="n"/>
      <c r="M702" s="1544" t="n"/>
      <c r="N702" s="1544" t="n"/>
      <c r="O702" s="1545" t="n"/>
      <c r="P702" s="1545" t="n"/>
      <c r="Q702" s="1545" t="n"/>
      <c r="R702" s="1545" t="n"/>
      <c r="S702" s="1544" t="n"/>
      <c r="T702" s="1545" t="n"/>
      <c r="U702" s="1545" t="n"/>
      <c r="V702" s="1545" t="n"/>
      <c r="W702" s="1545" t="n"/>
      <c r="X702" s="1544" t="n"/>
      <c r="Y702" s="1545" t="n"/>
      <c r="Z702" s="1545" t="n"/>
      <c r="AA702" s="1545" t="n"/>
      <c r="AB702" s="1547">
        <f>SUM(AB695:AB701)</f>
        <v/>
      </c>
      <c r="AC702" s="1546">
        <f>SUM(AC695:AC701)</f>
        <v/>
      </c>
      <c r="AD702" s="1545" t="n"/>
      <c r="AE702" s="1545" t="n"/>
      <c r="AF702" s="1547">
        <f>SUM(AF695:AF701)</f>
        <v/>
      </c>
      <c r="AG702" s="1547">
        <f>SUM(AG695:AG701)</f>
        <v/>
      </c>
      <c r="AH702" s="1546">
        <f>SUM(AH695:AH701)</f>
        <v/>
      </c>
      <c r="AI702" s="1545">
        <f>SUM(AI695:AI701)</f>
        <v/>
      </c>
      <c r="AJ702" s="1545">
        <f>SUM(AJ695:AJ701)</f>
        <v/>
      </c>
      <c r="AK702" s="1548">
        <f>SUM(AK695:AK701)</f>
        <v/>
      </c>
      <c r="AL702" s="1547">
        <f>SUM(AL695:AL701)</f>
        <v/>
      </c>
      <c r="AM702" s="1546">
        <f>SUM(AM695:AM701)</f>
        <v/>
      </c>
      <c r="AN702" s="1547">
        <f>SUM(AN695:AN701)</f>
        <v/>
      </c>
      <c r="AO702" s="1547">
        <f>SUM(AO695:AO701)</f>
        <v/>
      </c>
      <c r="AP702" s="1547">
        <f>SUM(AP695:AP701)</f>
        <v/>
      </c>
      <c r="AQ702" s="1547">
        <f>SUM(AQ695:AQ701)</f>
        <v/>
      </c>
      <c r="AR702" s="1546">
        <f>SUM(AR695:AR701)</f>
        <v/>
      </c>
      <c r="AS702" s="1546">
        <f>SUM(AS695:AS701)</f>
        <v/>
      </c>
      <c r="AT702" s="1546">
        <f>SUM(AT695:AT701)</f>
        <v/>
      </c>
      <c r="AU702" s="1546">
        <f>SUM(AU695:AU701)</f>
        <v/>
      </c>
      <c r="AV702" s="1446" t="n"/>
    </row>
    <row r="703" ht="14.4" customFormat="1" customHeight="1" s="1438">
      <c r="A703" s="1513" t="n"/>
      <c r="B703" s="1695" t="n"/>
      <c r="C703" s="1535" t="n"/>
      <c r="D703" s="1535" t="n"/>
      <c r="E703" s="1535" t="n"/>
      <c r="F703" s="1535" t="n"/>
      <c r="G703" s="1535" t="n"/>
      <c r="H703" s="1535" t="n"/>
      <c r="I703" s="1535" t="n"/>
      <c r="J703" s="1535" t="n"/>
      <c r="K703" s="1535" t="n"/>
      <c r="L703" s="1535" t="n"/>
      <c r="M703" s="1535" t="n"/>
      <c r="N703" s="1535" t="n"/>
      <c r="O703" s="1536" t="n"/>
      <c r="P703" s="1536" t="n"/>
      <c r="Q703" s="1536" t="n"/>
      <c r="R703" s="1536" t="n"/>
      <c r="S703" s="1535" t="n"/>
      <c r="T703" s="1536" t="n"/>
      <c r="U703" s="1536" t="n"/>
      <c r="V703" s="1536" t="n"/>
      <c r="W703" s="1536" t="n"/>
      <c r="X703" s="1535" t="n"/>
      <c r="Y703" s="1536" t="n"/>
      <c r="Z703" s="1536" t="n"/>
      <c r="AA703" s="1536" t="n"/>
      <c r="AB703" s="1536" t="n"/>
      <c r="AC703" s="1535" t="n"/>
      <c r="AD703" s="1536" t="n"/>
      <c r="AE703" s="1536" t="n"/>
      <c r="AF703" s="1536" t="n"/>
      <c r="AG703" s="1536" t="n"/>
      <c r="AH703" s="1535" t="n"/>
      <c r="AI703" s="1536" t="n"/>
      <c r="AJ703" s="1536" t="n"/>
      <c r="AK703" s="1674" t="n"/>
      <c r="AL703" s="1536" t="n"/>
      <c r="AM703" s="1535" t="n"/>
      <c r="AN703" s="1536" t="n"/>
      <c r="AO703" s="1536" t="n"/>
      <c r="AP703" s="1536" t="n"/>
      <c r="AQ703" s="1536" t="n"/>
      <c r="AR703" s="1535" t="n"/>
      <c r="AS703" s="1535" t="n"/>
      <c r="AT703" s="1535" t="n"/>
      <c r="AU703" s="1535" t="n"/>
      <c r="AV703" s="1446" t="n"/>
    </row>
    <row r="704" ht="14.4" customFormat="1" customHeight="1" s="1438">
      <c r="A704" s="1811" t="inlineStr">
        <is>
          <t>Non-Current Liabilities</t>
        </is>
      </c>
      <c r="B704" s="1695" t="n"/>
      <c r="C704" s="1535" t="n"/>
      <c r="D704" s="1535" t="n"/>
      <c r="E704" s="1535" t="n"/>
      <c r="F704" s="1535" t="n"/>
      <c r="G704" s="1535" t="n"/>
      <c r="H704" s="1535" t="n"/>
      <c r="I704" s="1535" t="n"/>
      <c r="J704" s="1535" t="n"/>
      <c r="K704" s="1535" t="n"/>
      <c r="L704" s="1535" t="n"/>
      <c r="M704" s="1535" t="n"/>
      <c r="N704" s="1535" t="n"/>
      <c r="O704" s="1536" t="n"/>
      <c r="P704" s="1536" t="n"/>
      <c r="Q704" s="1536" t="n"/>
      <c r="R704" s="1536" t="n"/>
      <c r="S704" s="1535" t="n"/>
      <c r="T704" s="1536" t="n"/>
      <c r="U704" s="1536" t="n"/>
      <c r="V704" s="1536" t="n"/>
      <c r="W704" s="1536" t="n"/>
      <c r="X704" s="1535" t="n"/>
      <c r="Y704" s="1536" t="n"/>
      <c r="Z704" s="1536" t="n"/>
      <c r="AA704" s="1536" t="n"/>
      <c r="AB704" s="1536" t="n"/>
      <c r="AC704" s="1535" t="n"/>
      <c r="AD704" s="1536" t="n"/>
      <c r="AE704" s="1536" t="n"/>
      <c r="AF704" s="1536" t="n"/>
      <c r="AG704" s="1536" t="n"/>
      <c r="AH704" s="1535" t="n"/>
      <c r="AI704" s="1536" t="n"/>
      <c r="AJ704" s="1536" t="n"/>
      <c r="AK704" s="1674" t="n"/>
      <c r="AL704" s="1536" t="n"/>
      <c r="AM704" s="1535" t="n"/>
      <c r="AN704" s="1536" t="n"/>
      <c r="AO704" s="1536" t="n"/>
      <c r="AP704" s="1536" t="n"/>
      <c r="AQ704" s="1536" t="n"/>
      <c r="AR704" s="1535" t="n"/>
      <c r="AS704" s="1535" t="n"/>
      <c r="AT704" s="1535" t="n"/>
      <c r="AU704" s="1535" t="n"/>
      <c r="AV704" s="1446" t="n"/>
    </row>
    <row r="705" ht="14.4" customFormat="1" customHeight="1" s="1418">
      <c r="A705" s="1539" t="inlineStr">
        <is>
          <t>Debt, non-current</t>
        </is>
      </c>
      <c r="B705" s="1698" t="n"/>
      <c r="C705" s="1529" t="n"/>
      <c r="D705" s="1529" t="n"/>
      <c r="E705" s="1529" t="n"/>
      <c r="F705" s="1529" t="n"/>
      <c r="G705" s="1529" t="n"/>
      <c r="H705" s="1529" t="n"/>
      <c r="I705" s="1529" t="n"/>
      <c r="J705" s="1529" t="n"/>
      <c r="K705" s="1529" t="n"/>
      <c r="L705" s="1529" t="n"/>
      <c r="M705" s="1529" t="n"/>
      <c r="N705" s="1529" t="n"/>
      <c r="O705" s="1420" t="n"/>
      <c r="P705" s="1420" t="n"/>
      <c r="Q705" s="1420" t="n"/>
      <c r="R705" s="1420" t="n"/>
      <c r="S705" s="1529" t="n"/>
      <c r="T705" s="1420" t="n"/>
      <c r="U705" s="1420" t="n"/>
      <c r="V705" s="1420" t="n"/>
      <c r="W705" s="1420" t="n"/>
      <c r="X705" s="1529" t="n"/>
      <c r="Y705" s="1420" t="n"/>
      <c r="Z705" s="1420" t="n"/>
      <c r="AA705" s="1420" t="n"/>
      <c r="AB705" s="1422">
        <f>AC705</f>
        <v/>
      </c>
      <c r="AC705" s="1593" t="n">
        <v>1351.389</v>
      </c>
      <c r="AD705" s="1420" t="n"/>
      <c r="AE705" s="1420" t="n"/>
      <c r="AF705" s="1594" t="n">
        <v>3445.72</v>
      </c>
      <c r="AG705" s="1422">
        <f>AH705</f>
        <v/>
      </c>
      <c r="AH705" s="1593" t="n">
        <v>5457.915</v>
      </c>
      <c r="AI705" s="1594" t="n">
        <v>4935.071</v>
      </c>
      <c r="AJ705" s="1594" t="n">
        <v>7423.837</v>
      </c>
      <c r="AK705" s="1595" t="n">
        <v>10322.757</v>
      </c>
      <c r="AL705" s="1422">
        <f>AL462-AL709</f>
        <v/>
      </c>
      <c r="AM705" s="1540">
        <f>AL705</f>
        <v/>
      </c>
      <c r="AN705" s="1422">
        <f>AN462-AN709</f>
        <v/>
      </c>
      <c r="AO705" s="1422">
        <f>AO462-AO709</f>
        <v/>
      </c>
      <c r="AP705" s="1422">
        <f>AP462-AP709</f>
        <v/>
      </c>
      <c r="AQ705" s="1422">
        <f>AQ462-AQ709</f>
        <v/>
      </c>
      <c r="AR705" s="1540">
        <f>AQ705</f>
        <v/>
      </c>
      <c r="AS705" s="1540">
        <f>AS462-AS709</f>
        <v/>
      </c>
      <c r="AT705" s="1540">
        <f>AT462-AT709</f>
        <v/>
      </c>
      <c r="AU705" s="1540">
        <f>AU462-AU709</f>
        <v/>
      </c>
      <c r="AV705" s="1422" t="n"/>
    </row>
    <row r="706" ht="14.4" customFormat="1" customHeight="1" s="1418">
      <c r="A706" s="1539" t="inlineStr">
        <is>
          <t>Derivative and warrant liabilities</t>
        </is>
      </c>
      <c r="B706" s="1698" t="n"/>
      <c r="C706" s="1529" t="n"/>
      <c r="D706" s="1529" t="n"/>
      <c r="E706" s="1529" t="n"/>
      <c r="F706" s="1529" t="n"/>
      <c r="G706" s="1529" t="n"/>
      <c r="H706" s="1529" t="n"/>
      <c r="I706" s="1529" t="n"/>
      <c r="J706" s="1529" t="n"/>
      <c r="K706" s="1529" t="n"/>
      <c r="L706" s="1529" t="n"/>
      <c r="M706" s="1529" t="n"/>
      <c r="N706" s="1529" t="n"/>
      <c r="O706" s="1420" t="n"/>
      <c r="P706" s="1420" t="n"/>
      <c r="Q706" s="1420" t="n"/>
      <c r="R706" s="1420" t="n"/>
      <c r="S706" s="1529" t="n"/>
      <c r="T706" s="1420" t="n"/>
      <c r="U706" s="1420" t="n"/>
      <c r="V706" s="1420" t="n"/>
      <c r="W706" s="1420" t="n"/>
      <c r="X706" s="1529" t="n"/>
      <c r="Y706" s="1420" t="n"/>
      <c r="Z706" s="1420" t="n"/>
      <c r="AA706" s="1420" t="n"/>
      <c r="AB706" s="1422">
        <f>AC706</f>
        <v/>
      </c>
      <c r="AC706" s="1593" t="n">
        <v>527.047</v>
      </c>
      <c r="AD706" s="1420" t="n"/>
      <c r="AE706" s="1420" t="n"/>
      <c r="AF706" s="1594" t="n">
        <v>194.33</v>
      </c>
      <c r="AG706" s="1422">
        <f>AH706</f>
        <v/>
      </c>
      <c r="AH706" s="1593" t="n">
        <v>200.089</v>
      </c>
      <c r="AI706" s="1594" t="n">
        <v>0.491</v>
      </c>
      <c r="AJ706" s="1594" t="n">
        <v>0.698</v>
      </c>
      <c r="AK706" s="1595" t="n">
        <v>1.71</v>
      </c>
      <c r="AL706" s="1422">
        <f>AK706</f>
        <v/>
      </c>
      <c r="AM706" s="1540">
        <f>AL706</f>
        <v/>
      </c>
      <c r="AN706" s="1422">
        <f>AM706</f>
        <v/>
      </c>
      <c r="AO706" s="1422">
        <f>AN706</f>
        <v/>
      </c>
      <c r="AP706" s="1422">
        <f>AO706</f>
        <v/>
      </c>
      <c r="AQ706" s="1422">
        <f>AP706</f>
        <v/>
      </c>
      <c r="AR706" s="1540">
        <f>AQ706</f>
        <v/>
      </c>
      <c r="AS706" s="1540">
        <f>AR706</f>
        <v/>
      </c>
      <c r="AT706" s="1540">
        <f>AS706</f>
        <v/>
      </c>
      <c r="AU706" s="1540">
        <f>AT706</f>
        <v/>
      </c>
      <c r="AV706" s="1422" t="n"/>
    </row>
    <row r="707" ht="14.4" customFormat="1" customHeight="1" s="1418">
      <c r="A707" s="1539" t="inlineStr">
        <is>
          <t>Deferred revenue, non-current</t>
        </is>
      </c>
      <c r="B707" s="1698" t="n"/>
      <c r="C707" s="1529" t="n"/>
      <c r="D707" s="1529" t="n"/>
      <c r="E707" s="1529" t="n"/>
      <c r="F707" s="1529" t="n"/>
      <c r="G707" s="1529" t="n"/>
      <c r="H707" s="1529" t="n"/>
      <c r="I707" s="1529" t="n"/>
      <c r="J707" s="1529" t="n"/>
      <c r="K707" s="1529" t="n"/>
      <c r="L707" s="1529" t="n"/>
      <c r="M707" s="1529" t="n"/>
      <c r="N707" s="1529" t="n"/>
      <c r="O707" s="1420" t="n"/>
      <c r="P707" s="1420" t="n"/>
      <c r="Q707" s="1420" t="n"/>
      <c r="R707" s="1420" t="n"/>
      <c r="S707" s="1529" t="n"/>
      <c r="T707" s="1420" t="n"/>
      <c r="U707" s="1420" t="n"/>
      <c r="V707" s="1420" t="n"/>
      <c r="W707" s="1420" t="n"/>
      <c r="X707" s="1529" t="n"/>
      <c r="Y707" s="1420" t="n"/>
      <c r="Z707" s="1420" t="n"/>
      <c r="AA707" s="1420" t="n"/>
      <c r="AB707" s="1422">
        <f>AC707</f>
        <v/>
      </c>
      <c r="AC707" s="1593" t="n">
        <v>1754.873</v>
      </c>
      <c r="AD707" s="1420" t="n"/>
      <c r="AE707" s="1420" t="n"/>
      <c r="AF707" s="1594" t="n">
        <v>3350.236</v>
      </c>
      <c r="AG707" s="1422">
        <f>AH707</f>
        <v/>
      </c>
      <c r="AH707" s="1593" t="n">
        <v>3294.977</v>
      </c>
      <c r="AI707" s="1594" t="n">
        <v>3611.469</v>
      </c>
      <c r="AJ707" s="1594" t="n">
        <v>3896.173</v>
      </c>
      <c r="AK707" s="1595" t="n">
        <v>4228.222</v>
      </c>
      <c r="AL707" s="1422">
        <f>AK707</f>
        <v/>
      </c>
      <c r="AM707" s="1540">
        <f>AL707</f>
        <v/>
      </c>
      <c r="AN707" s="1422">
        <f>AM707</f>
        <v/>
      </c>
      <c r="AO707" s="1422">
        <f>AN707</f>
        <v/>
      </c>
      <c r="AP707" s="1422">
        <f>AO707</f>
        <v/>
      </c>
      <c r="AQ707" s="1422">
        <f>AP707</f>
        <v/>
      </c>
      <c r="AR707" s="1540">
        <f>AQ707</f>
        <v/>
      </c>
      <c r="AS707" s="1540">
        <f>AR707</f>
        <v/>
      </c>
      <c r="AT707" s="1540">
        <f>AS707</f>
        <v/>
      </c>
      <c r="AU707" s="1540">
        <f>AT707</f>
        <v/>
      </c>
      <c r="AV707" s="1422" t="n"/>
    </row>
    <row r="708" ht="14.4" customFormat="1" customHeight="1" s="1418">
      <c r="A708" s="1539" t="inlineStr">
        <is>
          <t>Operating lease liabilities, non-current</t>
        </is>
      </c>
      <c r="B708" s="1698" t="n"/>
      <c r="C708" s="1529" t="n"/>
      <c r="D708" s="1529" t="n"/>
      <c r="E708" s="1529" t="n"/>
      <c r="F708" s="1529" t="n"/>
      <c r="G708" s="1529" t="n"/>
      <c r="H708" s="1529" t="n"/>
      <c r="I708" s="1529" t="n"/>
      <c r="J708" s="1529" t="n"/>
      <c r="K708" s="1529" t="n"/>
      <c r="L708" s="1529" t="n"/>
      <c r="M708" s="1529" t="n"/>
      <c r="N708" s="1529" t="n"/>
      <c r="O708" s="1420" t="n"/>
      <c r="P708" s="1420" t="n"/>
      <c r="Q708" s="1420" t="n"/>
      <c r="R708" s="1420" t="n"/>
      <c r="S708" s="1529" t="n"/>
      <c r="T708" s="1420" t="n"/>
      <c r="U708" s="1420" t="n"/>
      <c r="V708" s="1420" t="n"/>
      <c r="W708" s="1420" t="n"/>
      <c r="X708" s="1529" t="n"/>
      <c r="Y708" s="1420" t="n"/>
      <c r="Z708" s="1420" t="n"/>
      <c r="AA708" s="1420" t="n"/>
      <c r="AB708" s="1422">
        <f>AC708</f>
        <v/>
      </c>
      <c r="AC708" s="1593" t="n">
        <v>432.653</v>
      </c>
      <c r="AD708" s="1420" t="n"/>
      <c r="AE708" s="1420" t="n"/>
      <c r="AF708" s="1594" t="n">
        <v>1642.41</v>
      </c>
      <c r="AG708" s="1422">
        <f>AH708</f>
        <v/>
      </c>
      <c r="AH708" s="1593" t="n">
        <v>2388.912</v>
      </c>
      <c r="AI708" s="1594" t="n">
        <v>2867.838</v>
      </c>
      <c r="AJ708" s="1594" t="n">
        <v>3168.392</v>
      </c>
      <c r="AK708" s="1595" t="n">
        <v>4378.869</v>
      </c>
      <c r="AL708" s="1422">
        <f>AK708</f>
        <v/>
      </c>
      <c r="AM708" s="1540">
        <f>AL708</f>
        <v/>
      </c>
      <c r="AN708" s="1422">
        <f>AM708</f>
        <v/>
      </c>
      <c r="AO708" s="1422">
        <f>AN708</f>
        <v/>
      </c>
      <c r="AP708" s="1422">
        <f>AO708</f>
        <v/>
      </c>
      <c r="AQ708" s="1422">
        <f>AP708</f>
        <v/>
      </c>
      <c r="AR708" s="1540">
        <f>AQ708</f>
        <v/>
      </c>
      <c r="AS708" s="1540">
        <f>AR708</f>
        <v/>
      </c>
      <c r="AT708" s="1540">
        <f>AS708</f>
        <v/>
      </c>
      <c r="AU708" s="1540">
        <f>AT708</f>
        <v/>
      </c>
      <c r="AV708" s="1422" t="n"/>
    </row>
    <row r="709" ht="14.4" customFormat="1" customHeight="1" s="1418">
      <c r="A709" s="1539" t="inlineStr">
        <is>
          <t>Finance lease liabilities, non-current</t>
        </is>
      </c>
      <c r="B709" s="1698" t="n"/>
      <c r="C709" s="1529" t="n"/>
      <c r="D709" s="1529" t="n"/>
      <c r="E709" s="1529" t="n"/>
      <c r="F709" s="1529" t="n"/>
      <c r="G709" s="1529" t="n"/>
      <c r="H709" s="1529" t="n"/>
      <c r="I709" s="1529" t="n"/>
      <c r="J709" s="1529" t="n"/>
      <c r="K709" s="1529" t="n"/>
      <c r="L709" s="1529" t="n"/>
      <c r="M709" s="1529" t="n"/>
      <c r="N709" s="1529" t="n"/>
      <c r="O709" s="1420" t="n"/>
      <c r="P709" s="1420" t="n"/>
      <c r="Q709" s="1420" t="n"/>
      <c r="R709" s="1420" t="n"/>
      <c r="S709" s="1529" t="n"/>
      <c r="T709" s="1420" t="n"/>
      <c r="U709" s="1420" t="n"/>
      <c r="V709" s="1420" t="n"/>
      <c r="W709" s="1420" t="n"/>
      <c r="X709" s="1529" t="n"/>
      <c r="Y709" s="1420" t="n"/>
      <c r="Z709" s="1420" t="n"/>
      <c r="AA709" s="1420" t="n"/>
      <c r="AB709" s="1422">
        <f>AC709</f>
        <v/>
      </c>
      <c r="AC709" s="1593" t="n">
        <v>0.51</v>
      </c>
      <c r="AD709" s="1420" t="n"/>
      <c r="AE709" s="1420" t="n"/>
      <c r="AF709" s="1594" t="n">
        <v>16.25</v>
      </c>
      <c r="AG709" s="1422">
        <f>AH709</f>
        <v/>
      </c>
      <c r="AH709" s="1593" t="n">
        <v>34.12</v>
      </c>
      <c r="AI709" s="1594" t="n">
        <v>18.814</v>
      </c>
      <c r="AJ709" s="1594" t="n">
        <v>3.112</v>
      </c>
      <c r="AK709" s="1595" t="n">
        <v>0.012</v>
      </c>
      <c r="AL709" s="1422">
        <f>AK709</f>
        <v/>
      </c>
      <c r="AM709" s="1540">
        <f>AL709</f>
        <v/>
      </c>
      <c r="AN709" s="1422">
        <f>AM709</f>
        <v/>
      </c>
      <c r="AO709" s="1422">
        <f>AN709</f>
        <v/>
      </c>
      <c r="AP709" s="1422">
        <f>AO709</f>
        <v/>
      </c>
      <c r="AQ709" s="1422">
        <f>AP709</f>
        <v/>
      </c>
      <c r="AR709" s="1540">
        <f>AQ709</f>
        <v/>
      </c>
      <c r="AS709" s="1540">
        <f>AR709</f>
        <v/>
      </c>
      <c r="AT709" s="1540">
        <f>AS709</f>
        <v/>
      </c>
      <c r="AU709" s="1540">
        <f>AT709</f>
        <v/>
      </c>
      <c r="AV709" s="1422" t="n"/>
    </row>
    <row r="710" ht="14.4" customFormat="1" customHeight="1" s="1418">
      <c r="A710" s="1539" t="inlineStr">
        <is>
          <t>Deferred tax liabilities, non-current</t>
        </is>
      </c>
      <c r="B710" s="1698" t="n"/>
      <c r="C710" s="1529" t="n"/>
      <c r="D710" s="1529" t="n"/>
      <c r="E710" s="1529" t="n"/>
      <c r="F710" s="1529" t="n"/>
      <c r="G710" s="1529" t="n"/>
      <c r="H710" s="1529" t="n"/>
      <c r="I710" s="1529" t="n"/>
      <c r="J710" s="1529" t="n"/>
      <c r="K710" s="1529" t="n"/>
      <c r="L710" s="1529" t="n"/>
      <c r="M710" s="1529" t="n"/>
      <c r="N710" s="1529" t="n"/>
      <c r="O710" s="1420" t="n"/>
      <c r="P710" s="1420" t="n"/>
      <c r="Q710" s="1420" t="n"/>
      <c r="R710" s="1420" t="n"/>
      <c r="S710" s="1529" t="n"/>
      <c r="T710" s="1420" t="n"/>
      <c r="U710" s="1420" t="n"/>
      <c r="V710" s="1420" t="n"/>
      <c r="W710" s="1420" t="n"/>
      <c r="X710" s="1529" t="n"/>
      <c r="Y710" s="1420" t="n"/>
      <c r="Z710" s="1420" t="n"/>
      <c r="AA710" s="1420" t="n"/>
      <c r="AB710" s="1422">
        <f>AC710</f>
        <v/>
      </c>
      <c r="AC710" s="1593" t="n">
        <v>36.447</v>
      </c>
      <c r="AD710" s="1420" t="n"/>
      <c r="AE710" s="1420" t="n"/>
      <c r="AF710" s="1594" t="n">
        <v>116.699</v>
      </c>
      <c r="AG710" s="1422">
        <f>AH710</f>
        <v/>
      </c>
      <c r="AH710" s="1593" t="n">
        <v>149.232</v>
      </c>
      <c r="AI710" s="1594" t="n">
        <v>193.849</v>
      </c>
      <c r="AJ710" s="1594" t="n">
        <v>245.659</v>
      </c>
      <c r="AK710" s="1595" t="n">
        <v>117.633</v>
      </c>
      <c r="AL710" s="1422">
        <f>AK710+AL577</f>
        <v/>
      </c>
      <c r="AM710" s="1540">
        <f>AL710</f>
        <v/>
      </c>
      <c r="AN710" s="1422">
        <f>AM710+AN577</f>
        <v/>
      </c>
      <c r="AO710" s="1422">
        <f>AN710+AO577</f>
        <v/>
      </c>
      <c r="AP710" s="1422">
        <f>AO710+AP577</f>
        <v/>
      </c>
      <c r="AQ710" s="1422">
        <f>AP710+AQ577</f>
        <v/>
      </c>
      <c r="AR710" s="1540">
        <f>AQ710</f>
        <v/>
      </c>
      <c r="AS710" s="1540">
        <f>AR710+AS577</f>
        <v/>
      </c>
      <c r="AT710" s="1540">
        <f>AS710+AT577</f>
        <v/>
      </c>
      <c r="AU710" s="1540">
        <f>AT710+AU577</f>
        <v/>
      </c>
      <c r="AV710" s="1422" t="n"/>
    </row>
    <row r="711" ht="14.4" customFormat="1" customHeight="1" s="1418">
      <c r="A711" s="1539" t="inlineStr">
        <is>
          <t>Other non-current liabilities</t>
        </is>
      </c>
      <c r="B711" s="1698" t="n"/>
      <c r="C711" s="1529" t="n"/>
      <c r="D711" s="1529" t="n"/>
      <c r="E711" s="1529" t="n"/>
      <c r="F711" s="1529" t="n"/>
      <c r="G711" s="1529" t="n"/>
      <c r="H711" s="1529" t="n"/>
      <c r="I711" s="1529" t="n"/>
      <c r="J711" s="1529" t="n"/>
      <c r="K711" s="1529" t="n"/>
      <c r="L711" s="1529" t="n"/>
      <c r="M711" s="1529" t="n"/>
      <c r="N711" s="1529" t="n"/>
      <c r="O711" s="1420" t="n"/>
      <c r="P711" s="1420" t="n"/>
      <c r="Q711" s="1420" t="n"/>
      <c r="R711" s="1420" t="n"/>
      <c r="S711" s="1529" t="n"/>
      <c r="T711" s="1420" t="n"/>
      <c r="U711" s="1420" t="n"/>
      <c r="V711" s="1420" t="n"/>
      <c r="W711" s="1420" t="n"/>
      <c r="X711" s="1529" t="n"/>
      <c r="Y711" s="1420" t="n"/>
      <c r="Z711" s="1420" t="n"/>
      <c r="AA711" s="1420" t="n"/>
      <c r="AB711" s="1422">
        <f>AC711</f>
        <v/>
      </c>
      <c r="AC711" s="1593" t="n">
        <v>7.496</v>
      </c>
      <c r="AD711" s="1420" t="n"/>
      <c r="AE711" s="1420" t="n"/>
      <c r="AF711" s="1594" t="n">
        <v>24.142</v>
      </c>
      <c r="AG711" s="1422">
        <f>AH711</f>
        <v/>
      </c>
      <c r="AH711" s="1593" t="n">
        <v>36.26</v>
      </c>
      <c r="AI711" s="1594" t="n">
        <v>32.772</v>
      </c>
      <c r="AJ711" s="1594" t="n">
        <v>126.331</v>
      </c>
      <c r="AK711" s="1595" t="n">
        <v>268.409</v>
      </c>
      <c r="AL711" s="1422">
        <f>AK711</f>
        <v/>
      </c>
      <c r="AM711" s="1540">
        <f>AL711</f>
        <v/>
      </c>
      <c r="AN711" s="1422">
        <f>AM711</f>
        <v/>
      </c>
      <c r="AO711" s="1422">
        <f>AN711</f>
        <v/>
      </c>
      <c r="AP711" s="1422">
        <f>AO711</f>
        <v/>
      </c>
      <c r="AQ711" s="1422">
        <f>AP711</f>
        <v/>
      </c>
      <c r="AR711" s="1540">
        <f>AQ711</f>
        <v/>
      </c>
      <c r="AS711" s="1540">
        <f>AR711</f>
        <v/>
      </c>
      <c r="AT711" s="1540">
        <f>AS711</f>
        <v/>
      </c>
      <c r="AU711" s="1540">
        <f>AT711</f>
        <v/>
      </c>
      <c r="AV711" s="1422" t="n"/>
    </row>
    <row r="712" ht="14.4" customFormat="1" customHeight="1" s="1438">
      <c r="A712" s="1542" t="inlineStr">
        <is>
          <t>Total Non-Current liabilities</t>
        </is>
      </c>
      <c r="B712" s="1699" t="n"/>
      <c r="C712" s="1544" t="n"/>
      <c r="D712" s="1544" t="n"/>
      <c r="E712" s="1544" t="n"/>
      <c r="F712" s="1544" t="n"/>
      <c r="G712" s="1544" t="n"/>
      <c r="H712" s="1544" t="n"/>
      <c r="I712" s="1544" t="n"/>
      <c r="J712" s="1544" t="n"/>
      <c r="K712" s="1544" t="n"/>
      <c r="L712" s="1544" t="n"/>
      <c r="M712" s="1544" t="n"/>
      <c r="N712" s="1544" t="n"/>
      <c r="O712" s="1545" t="n"/>
      <c r="P712" s="1545" t="n"/>
      <c r="Q712" s="1545" t="n"/>
      <c r="R712" s="1545" t="n"/>
      <c r="S712" s="1544" t="n"/>
      <c r="T712" s="1545" t="n"/>
      <c r="U712" s="1545" t="n"/>
      <c r="V712" s="1545" t="n"/>
      <c r="W712" s="1545" t="n"/>
      <c r="X712" s="1544" t="n"/>
      <c r="Y712" s="1545" t="n"/>
      <c r="Z712" s="1545" t="n"/>
      <c r="AA712" s="1545" t="n"/>
      <c r="AB712" s="1547">
        <f>SUM(AB705:AB711)</f>
        <v/>
      </c>
      <c r="AC712" s="1546">
        <f>SUM(AC705:AC711)</f>
        <v/>
      </c>
      <c r="AD712" s="1545" t="n"/>
      <c r="AE712" s="1545" t="n"/>
      <c r="AF712" s="1547">
        <f>SUM(AF705:AF711)</f>
        <v/>
      </c>
      <c r="AG712" s="1547">
        <f>SUM(AG705:AG711)</f>
        <v/>
      </c>
      <c r="AH712" s="1546">
        <f>SUM(AH705:AH711)</f>
        <v/>
      </c>
      <c r="AI712" s="1545">
        <f>SUM(AI705:AI711)</f>
        <v/>
      </c>
      <c r="AJ712" s="1545">
        <f>SUM(AJ705:AJ711)</f>
        <v/>
      </c>
      <c r="AK712" s="1548">
        <f>SUM(AK705:AK711)</f>
        <v/>
      </c>
      <c r="AL712" s="1547">
        <f>SUM(AL705:AL711)</f>
        <v/>
      </c>
      <c r="AM712" s="1546">
        <f>SUM(AM705:AM711)</f>
        <v/>
      </c>
      <c r="AN712" s="1547">
        <f>SUM(AN705:AN711)</f>
        <v/>
      </c>
      <c r="AO712" s="1547">
        <f>SUM(AO705:AO711)</f>
        <v/>
      </c>
      <c r="AP712" s="1547">
        <f>SUM(AP705:AP711)</f>
        <v/>
      </c>
      <c r="AQ712" s="1547">
        <f>SUM(AQ705:AQ711)</f>
        <v/>
      </c>
      <c r="AR712" s="1546">
        <f>SUM(AR705:AR711)</f>
        <v/>
      </c>
      <c r="AS712" s="1546">
        <f>SUM(AS705:AS711)</f>
        <v/>
      </c>
      <c r="AT712" s="1546">
        <f>SUM(AT705:AT711)</f>
        <v/>
      </c>
      <c r="AU712" s="1546">
        <f>SUM(AU705:AU711)</f>
        <v/>
      </c>
      <c r="AV712" s="1446" t="n"/>
    </row>
    <row r="713" ht="14.4" customFormat="1" customHeight="1" s="1438">
      <c r="A713" s="1439" t="inlineStr">
        <is>
          <t>Total Liabilities</t>
        </is>
      </c>
      <c r="B713" s="1695" t="n"/>
      <c r="C713" s="1535" t="n"/>
      <c r="D713" s="1535" t="n"/>
      <c r="E713" s="1535" t="n"/>
      <c r="F713" s="1535" t="n"/>
      <c r="G713" s="1535" t="n"/>
      <c r="H713" s="1535" t="n"/>
      <c r="I713" s="1535" t="n"/>
      <c r="J713" s="1535" t="n"/>
      <c r="K713" s="1535" t="n"/>
      <c r="L713" s="1535" t="n"/>
      <c r="M713" s="1535" t="n"/>
      <c r="N713" s="1535" t="n"/>
      <c r="O713" s="1536" t="n"/>
      <c r="P713" s="1536" t="n"/>
      <c r="Q713" s="1536" t="n"/>
      <c r="R713" s="1536" t="n"/>
      <c r="S713" s="1535" t="n"/>
      <c r="T713" s="1536" t="n"/>
      <c r="U713" s="1536" t="n"/>
      <c r="V713" s="1536" t="n"/>
      <c r="W713" s="1536" t="n"/>
      <c r="X713" s="1535" t="n"/>
      <c r="Y713" s="1536" t="n"/>
      <c r="Z713" s="1536" t="n"/>
      <c r="AA713" s="1536" t="n"/>
      <c r="AB713" s="1446">
        <f>AB702+AB712</f>
        <v/>
      </c>
      <c r="AC713" s="1537">
        <f>AC702+AC712</f>
        <v/>
      </c>
      <c r="AD713" s="1536" t="n"/>
      <c r="AE713" s="1536" t="n"/>
      <c r="AF713" s="1446">
        <f>AF702+AF712</f>
        <v/>
      </c>
      <c r="AG713" s="1446">
        <f>AG702+AG712</f>
        <v/>
      </c>
      <c r="AH713" s="1537">
        <f>AH702+AH712</f>
        <v/>
      </c>
      <c r="AI713" s="1536">
        <f>AI702+AI712</f>
        <v/>
      </c>
      <c r="AJ713" s="1536">
        <f>AJ702+AJ712</f>
        <v/>
      </c>
      <c r="AK713" s="1538">
        <f>AK702+AK712</f>
        <v/>
      </c>
      <c r="AL713" s="1536">
        <f>AL702+AL712</f>
        <v/>
      </c>
      <c r="AM713" s="1535">
        <f>AM702+AM712</f>
        <v/>
      </c>
      <c r="AN713" s="1536">
        <f>AN702+AN712</f>
        <v/>
      </c>
      <c r="AO713" s="1536">
        <f>AO702+AO712</f>
        <v/>
      </c>
      <c r="AP713" s="1536">
        <f>AP702+AP712</f>
        <v/>
      </c>
      <c r="AQ713" s="1536">
        <f>AQ702+AQ712</f>
        <v/>
      </c>
      <c r="AR713" s="1535">
        <f>AR702+AR712</f>
        <v/>
      </c>
      <c r="AS713" s="1535">
        <f>AS702+AS712</f>
        <v/>
      </c>
      <c r="AT713" s="1535">
        <f>AT702+AT712</f>
        <v/>
      </c>
      <c r="AU713" s="1535">
        <f>AU702+AU712</f>
        <v/>
      </c>
      <c r="AV713" s="1446" t="n"/>
    </row>
    <row r="714" ht="14.4" customFormat="1" customHeight="1" s="1418">
      <c r="A714" s="1513" t="n"/>
      <c r="B714" s="1698" t="n"/>
      <c r="C714" s="1529" t="n"/>
      <c r="D714" s="1529" t="n"/>
      <c r="E714" s="1529" t="n"/>
      <c r="F714" s="1529" t="n"/>
      <c r="G714" s="1529" t="n"/>
      <c r="H714" s="1529" t="n"/>
      <c r="I714" s="1529" t="n"/>
      <c r="J714" s="1529" t="n"/>
      <c r="K714" s="1529" t="n"/>
      <c r="L714" s="1529" t="n"/>
      <c r="M714" s="1529" t="n"/>
      <c r="N714" s="1529" t="n"/>
      <c r="O714" s="1420" t="n"/>
      <c r="P714" s="1420" t="n"/>
      <c r="Q714" s="1420" t="n"/>
      <c r="R714" s="1420" t="n"/>
      <c r="S714" s="1529" t="n"/>
      <c r="T714" s="1420" t="n"/>
      <c r="U714" s="1420" t="n"/>
      <c r="V714" s="1420" t="n"/>
      <c r="W714" s="1420" t="n"/>
      <c r="X714" s="1529" t="n"/>
      <c r="Y714" s="1420" t="n"/>
      <c r="Z714" s="1420" t="n"/>
      <c r="AA714" s="1420" t="n"/>
      <c r="AB714" s="1420" t="n"/>
      <c r="AC714" s="1529" t="n"/>
      <c r="AD714" s="1420" t="n"/>
      <c r="AE714" s="1420" t="n"/>
      <c r="AF714" s="1420" t="n"/>
      <c r="AG714" s="1420" t="n"/>
      <c r="AH714" s="1529" t="n"/>
      <c r="AI714" s="1420" t="n"/>
      <c r="AJ714" s="1420" t="n"/>
      <c r="AK714" s="1421" t="n"/>
      <c r="AL714" s="1420" t="n"/>
      <c r="AM714" s="1529" t="n"/>
      <c r="AN714" s="1420" t="n"/>
      <c r="AO714" s="1420" t="n"/>
      <c r="AP714" s="1420" t="n"/>
      <c r="AQ714" s="1420" t="n"/>
      <c r="AR714" s="1529" t="n"/>
      <c r="AS714" s="1529" t="n"/>
      <c r="AT714" s="1529" t="n"/>
      <c r="AU714" s="1529" t="n"/>
      <c r="AV714" s="1422" t="n"/>
    </row>
    <row r="715" ht="14.4" customFormat="1" customHeight="1" s="1418">
      <c r="A715" s="1811" t="inlineStr">
        <is>
          <t>Shareholders' Equity</t>
        </is>
      </c>
      <c r="B715" s="1698" t="n"/>
      <c r="C715" s="1529" t="n"/>
      <c r="D715" s="1529" t="n"/>
      <c r="E715" s="1529" t="n"/>
      <c r="F715" s="1529" t="n"/>
      <c r="G715" s="1529" t="n"/>
      <c r="H715" s="1529" t="n"/>
      <c r="I715" s="1529" t="n"/>
      <c r="J715" s="1529" t="n"/>
      <c r="K715" s="1529" t="n"/>
      <c r="L715" s="1529" t="n"/>
      <c r="M715" s="1529" t="n"/>
      <c r="N715" s="1529" t="n"/>
      <c r="O715" s="1420" t="n"/>
      <c r="P715" s="1420" t="n"/>
      <c r="Q715" s="1420" t="n"/>
      <c r="R715" s="1420" t="n"/>
      <c r="S715" s="1529" t="n"/>
      <c r="T715" s="1420" t="n"/>
      <c r="U715" s="1420" t="n"/>
      <c r="V715" s="1420" t="n"/>
      <c r="W715" s="1420" t="n"/>
      <c r="X715" s="1529" t="n"/>
      <c r="Y715" s="1420" t="n"/>
      <c r="Z715" s="1420" t="n"/>
      <c r="AA715" s="1420" t="n"/>
      <c r="AB715" s="1420" t="n"/>
      <c r="AC715" s="1529" t="n"/>
      <c r="AD715" s="1420" t="n"/>
      <c r="AE715" s="1420" t="n"/>
      <c r="AF715" s="1420" t="n"/>
      <c r="AG715" s="1420" t="n"/>
      <c r="AH715" s="1529" t="n"/>
      <c r="AI715" s="1420" t="n"/>
      <c r="AJ715" s="1420" t="n"/>
      <c r="AK715" s="1421" t="n"/>
      <c r="AL715" s="1420" t="n"/>
      <c r="AM715" s="1529" t="n"/>
      <c r="AN715" s="1420" t="n"/>
      <c r="AO715" s="1420" t="n"/>
      <c r="AP715" s="1420" t="n"/>
      <c r="AQ715" s="1420" t="n"/>
      <c r="AR715" s="1529" t="n"/>
      <c r="AS715" s="1529" t="n"/>
      <c r="AT715" s="1529" t="n"/>
      <c r="AU715" s="1529" t="n"/>
      <c r="AV715" s="1422" t="n"/>
    </row>
    <row r="716" ht="14.4" customFormat="1" customHeight="1" s="1418">
      <c r="A716" s="1539" t="inlineStr">
        <is>
          <t>Redeemable convertible preferred stock</t>
        </is>
      </c>
      <c r="B716" s="1698" t="n"/>
      <c r="C716" s="1529" t="n"/>
      <c r="D716" s="1529" t="n"/>
      <c r="E716" s="1529" t="n"/>
      <c r="F716" s="1529" t="n"/>
      <c r="G716" s="1529" t="n"/>
      <c r="H716" s="1529" t="n"/>
      <c r="I716" s="1529" t="n"/>
      <c r="J716" s="1529" t="n"/>
      <c r="K716" s="1529" t="n"/>
      <c r="L716" s="1529" t="n"/>
      <c r="M716" s="1529" t="n"/>
      <c r="N716" s="1529" t="n"/>
      <c r="O716" s="1420" t="n"/>
      <c r="P716" s="1420" t="n"/>
      <c r="Q716" s="1420" t="n"/>
      <c r="R716" s="1420" t="n"/>
      <c r="S716" s="1529" t="n"/>
      <c r="T716" s="1420" t="n"/>
      <c r="U716" s="1420" t="n"/>
      <c r="V716" s="1420" t="n"/>
      <c r="W716" s="1420" t="n"/>
      <c r="X716" s="1529" t="n"/>
      <c r="Y716" s="1420" t="n"/>
      <c r="Z716" s="1420" t="n"/>
      <c r="AA716" s="1420" t="n"/>
      <c r="AB716" s="1422">
        <f>AC716</f>
        <v/>
      </c>
      <c r="AC716" s="1593" t="n">
        <v>464.69</v>
      </c>
      <c r="AD716" s="1420" t="n"/>
      <c r="AE716" s="1420" t="n"/>
      <c r="AF716" s="1594" t="n">
        <v>1722.389</v>
      </c>
      <c r="AG716" s="1422">
        <f>AH716</f>
        <v/>
      </c>
      <c r="AH716" s="1593" t="n">
        <v>1722.111</v>
      </c>
      <c r="AI716" s="1594" t="n">
        <v>0</v>
      </c>
      <c r="AJ716" s="1594" t="n">
        <v>0</v>
      </c>
      <c r="AK716" s="1421" t="n"/>
      <c r="AL716" s="1422">
        <f>AK716</f>
        <v/>
      </c>
      <c r="AM716" s="1540">
        <f>AL716</f>
        <v/>
      </c>
      <c r="AN716" s="1422">
        <f>AM716</f>
        <v/>
      </c>
      <c r="AO716" s="1422">
        <f>AN716</f>
        <v/>
      </c>
      <c r="AP716" s="1422">
        <f>AO716</f>
        <v/>
      </c>
      <c r="AQ716" s="1422">
        <f>AP716</f>
        <v/>
      </c>
      <c r="AR716" s="1540">
        <f>AQ716</f>
        <v/>
      </c>
      <c r="AS716" s="1540">
        <f>AR716</f>
        <v/>
      </c>
      <c r="AT716" s="1540">
        <f>AS716</f>
        <v/>
      </c>
      <c r="AU716" s="1540">
        <f>AT716</f>
        <v/>
      </c>
      <c r="AV716" s="1422" t="n"/>
    </row>
    <row r="717" ht="14.4" customFormat="1" customHeight="1" s="1418">
      <c r="A717" s="1539" t="inlineStr">
        <is>
          <t>Redeemable Class A common stock</t>
        </is>
      </c>
      <c r="B717" s="1698" t="n"/>
      <c r="C717" s="1529" t="n"/>
      <c r="D717" s="1529" t="n"/>
      <c r="E717" s="1529" t="n"/>
      <c r="F717" s="1529" t="n"/>
      <c r="G717" s="1529" t="n"/>
      <c r="H717" s="1529" t="n"/>
      <c r="I717" s="1529" t="n"/>
      <c r="J717" s="1529" t="n"/>
      <c r="K717" s="1529" t="n"/>
      <c r="L717" s="1529" t="n"/>
      <c r="M717" s="1529" t="n"/>
      <c r="N717" s="1529" t="n"/>
      <c r="O717" s="1420" t="n"/>
      <c r="P717" s="1420" t="n"/>
      <c r="Q717" s="1420" t="n"/>
      <c r="R717" s="1420" t="n"/>
      <c r="S717" s="1529" t="n"/>
      <c r="T717" s="1420" t="n"/>
      <c r="U717" s="1420" t="n"/>
      <c r="V717" s="1420" t="n"/>
      <c r="W717" s="1420" t="n"/>
      <c r="X717" s="1529" t="n"/>
      <c r="Y717" s="1420" t="n"/>
      <c r="Z717" s="1420" t="n"/>
      <c r="AA717" s="1420" t="n"/>
      <c r="AB717" s="1420" t="n"/>
      <c r="AC717" s="1529" t="n"/>
      <c r="AD717" s="1420" t="n"/>
      <c r="AE717" s="1420" t="n"/>
      <c r="AF717" s="1420" t="n"/>
      <c r="AG717" s="1420" t="n"/>
      <c r="AH717" s="1529" t="n"/>
      <c r="AI717" s="1594" t="n">
        <v>1163.159</v>
      </c>
      <c r="AJ717" s="1594" t="n">
        <v>1163.159</v>
      </c>
      <c r="AK717" s="1421" t="n"/>
      <c r="AL717" s="1422">
        <f>AK717</f>
        <v/>
      </c>
      <c r="AM717" s="1540">
        <f>AL717</f>
        <v/>
      </c>
      <c r="AN717" s="1422">
        <f>AM717</f>
        <v/>
      </c>
      <c r="AO717" s="1422">
        <f>AN717</f>
        <v/>
      </c>
      <c r="AP717" s="1422">
        <f>AO717</f>
        <v/>
      </c>
      <c r="AQ717" s="1422">
        <f>AP717</f>
        <v/>
      </c>
      <c r="AR717" s="1540">
        <f>AQ717</f>
        <v/>
      </c>
      <c r="AS717" s="1540">
        <f>AR717</f>
        <v/>
      </c>
      <c r="AT717" s="1540">
        <f>AS717</f>
        <v/>
      </c>
      <c r="AU717" s="1540">
        <f>AT717</f>
        <v/>
      </c>
      <c r="AV717" s="1422" t="n"/>
    </row>
    <row r="718" ht="14.4" customFormat="1" customHeight="1" s="1418">
      <c r="A718" s="1539" t="inlineStr">
        <is>
          <t>Class A common stock</t>
        </is>
      </c>
      <c r="B718" s="1698" t="n"/>
      <c r="C718" s="1529" t="n"/>
      <c r="D718" s="1529" t="n"/>
      <c r="E718" s="1529" t="n"/>
      <c r="F718" s="1529" t="n"/>
      <c r="G718" s="1529" t="n"/>
      <c r="H718" s="1529" t="n"/>
      <c r="I718" s="1529" t="n"/>
      <c r="J718" s="1529" t="n"/>
      <c r="K718" s="1529" t="n"/>
      <c r="L718" s="1529" t="n"/>
      <c r="M718" s="1529" t="n"/>
      <c r="N718" s="1529" t="n"/>
      <c r="O718" s="1420" t="n"/>
      <c r="P718" s="1420" t="n"/>
      <c r="Q718" s="1420" t="n"/>
      <c r="R718" s="1420" t="n"/>
      <c r="S718" s="1529" t="n"/>
      <c r="T718" s="1420" t="n"/>
      <c r="U718" s="1420" t="n"/>
      <c r="V718" s="1420" t="n"/>
      <c r="W718" s="1420" t="n"/>
      <c r="X718" s="1529" t="n"/>
      <c r="Y718" s="1420" t="n"/>
      <c r="Z718" s="1420" t="n"/>
      <c r="AA718" s="1420" t="n"/>
      <c r="AB718" s="1422">
        <f>AC718</f>
        <v/>
      </c>
      <c r="AC718" s="1593" t="n">
        <v>0.001</v>
      </c>
      <c r="AD718" s="1420" t="n"/>
      <c r="AE718" s="1420" t="n"/>
      <c r="AF718" s="1594" t="n">
        <v>0.001</v>
      </c>
      <c r="AG718" s="1422">
        <f>AH718</f>
        <v/>
      </c>
      <c r="AH718" s="1593" t="n">
        <v>0.001</v>
      </c>
      <c r="AI718" s="1594" t="n">
        <v>0.002</v>
      </c>
      <c r="AJ718" s="1594" t="n">
        <v>0.002</v>
      </c>
      <c r="AK718" s="1595" t="n">
        <v>0.002</v>
      </c>
      <c r="AL718" s="1422">
        <f>AK718</f>
        <v/>
      </c>
      <c r="AM718" s="1540">
        <f>AL718</f>
        <v/>
      </c>
      <c r="AN718" s="1422">
        <f>AM718</f>
        <v/>
      </c>
      <c r="AO718" s="1422">
        <f>AN718</f>
        <v/>
      </c>
      <c r="AP718" s="1422">
        <f>AO718</f>
        <v/>
      </c>
      <c r="AQ718" s="1422">
        <f>AP718</f>
        <v/>
      </c>
      <c r="AR718" s="1540">
        <f>AQ718</f>
        <v/>
      </c>
      <c r="AS718" s="1540">
        <f>AR718</f>
        <v/>
      </c>
      <c r="AT718" s="1540">
        <f>AS718</f>
        <v/>
      </c>
      <c r="AU718" s="1540">
        <f>AT718</f>
        <v/>
      </c>
      <c r="AV718" s="1422" t="n"/>
    </row>
    <row r="719" ht="14.4" customFormat="1" customHeight="1" s="1418">
      <c r="A719" s="1539" t="inlineStr">
        <is>
          <t>Class B common stock</t>
        </is>
      </c>
      <c r="B719" s="1698" t="n"/>
      <c r="C719" s="1529" t="n"/>
      <c r="D719" s="1529" t="n"/>
      <c r="E719" s="1529" t="n"/>
      <c r="F719" s="1529" t="n"/>
      <c r="G719" s="1529" t="n"/>
      <c r="H719" s="1529" t="n"/>
      <c r="I719" s="1529" t="n"/>
      <c r="J719" s="1529" t="n"/>
      <c r="K719" s="1529" t="n"/>
      <c r="L719" s="1529" t="n"/>
      <c r="M719" s="1529" t="n"/>
      <c r="N719" s="1529" t="n"/>
      <c r="O719" s="1420" t="n"/>
      <c r="P719" s="1420" t="n"/>
      <c r="Q719" s="1420" t="n"/>
      <c r="R719" s="1420" t="n"/>
      <c r="S719" s="1529" t="n"/>
      <c r="T719" s="1420" t="n"/>
      <c r="U719" s="1420" t="n"/>
      <c r="V719" s="1420" t="n"/>
      <c r="W719" s="1420" t="n"/>
      <c r="X719" s="1529" t="n"/>
      <c r="Y719" s="1420" t="n"/>
      <c r="Z719" s="1420" t="n"/>
      <c r="AA719" s="1420" t="n"/>
      <c r="AB719" s="1422">
        <f>AC719</f>
        <v/>
      </c>
      <c r="AC719" s="1593" t="n">
        <v>0</v>
      </c>
      <c r="AD719" s="1420" t="n"/>
      <c r="AE719" s="1420" t="n"/>
      <c r="AF719" s="1420" t="n"/>
      <c r="AG719" s="1422">
        <f>AH719</f>
        <v/>
      </c>
      <c r="AH719" s="1593" t="n">
        <v>0</v>
      </c>
      <c r="AI719" s="1420" t="n"/>
      <c r="AJ719" s="1420" t="n"/>
      <c r="AK719" s="1421" t="n"/>
      <c r="AL719" s="1422">
        <f>AK719</f>
        <v/>
      </c>
      <c r="AM719" s="1540">
        <f>AL719</f>
        <v/>
      </c>
      <c r="AN719" s="1422">
        <f>AM719</f>
        <v/>
      </c>
      <c r="AO719" s="1422">
        <f>AN719</f>
        <v/>
      </c>
      <c r="AP719" s="1422">
        <f>AO719</f>
        <v/>
      </c>
      <c r="AQ719" s="1422">
        <f>AP719</f>
        <v/>
      </c>
      <c r="AR719" s="1540">
        <f>AQ719</f>
        <v/>
      </c>
      <c r="AS719" s="1540">
        <f>AR719</f>
        <v/>
      </c>
      <c r="AT719" s="1540">
        <f>AS719</f>
        <v/>
      </c>
      <c r="AU719" s="1540">
        <f>AT719</f>
        <v/>
      </c>
      <c r="AV719" s="1422" t="n"/>
    </row>
    <row r="720" ht="14.4" customFormat="1" customHeight="1" s="1418">
      <c r="A720" s="1539" t="inlineStr">
        <is>
          <t>Treasury stock</t>
        </is>
      </c>
      <c r="B720" s="1698" t="n"/>
      <c r="C720" s="1529" t="n"/>
      <c r="D720" s="1529" t="n"/>
      <c r="E720" s="1529" t="n"/>
      <c r="F720" s="1529" t="n"/>
      <c r="G720" s="1529" t="n"/>
      <c r="H720" s="1529" t="n"/>
      <c r="I720" s="1529" t="n"/>
      <c r="J720" s="1529" t="n"/>
      <c r="K720" s="1529" t="n"/>
      <c r="L720" s="1529" t="n"/>
      <c r="M720" s="1529" t="n"/>
      <c r="N720" s="1529" t="n"/>
      <c r="O720" s="1420" t="n"/>
      <c r="P720" s="1420" t="n"/>
      <c r="Q720" s="1420" t="n"/>
      <c r="R720" s="1420" t="n"/>
      <c r="S720" s="1529" t="n"/>
      <c r="T720" s="1420" t="n"/>
      <c r="U720" s="1420" t="n"/>
      <c r="V720" s="1420" t="n"/>
      <c r="W720" s="1420" t="n"/>
      <c r="X720" s="1529" t="n"/>
      <c r="Y720" s="1420" t="n"/>
      <c r="Z720" s="1420" t="n"/>
      <c r="AA720" s="1420" t="n"/>
      <c r="AB720" s="1422">
        <f>AC720</f>
        <v/>
      </c>
      <c r="AC720" s="1593" t="n">
        <v>-32.054</v>
      </c>
      <c r="AD720" s="1420" t="n"/>
      <c r="AE720" s="1420" t="n"/>
      <c r="AF720" s="1594" t="n">
        <v>-33.524</v>
      </c>
      <c r="AG720" s="1422">
        <f>AH720</f>
        <v/>
      </c>
      <c r="AH720" s="1593" t="n">
        <v>-33.524</v>
      </c>
      <c r="AI720" s="1594" t="n">
        <v>-33.524</v>
      </c>
      <c r="AJ720" s="1594" t="n">
        <v>-33.524</v>
      </c>
      <c r="AK720" s="1595" t="n">
        <v>-33.524</v>
      </c>
      <c r="AL720" s="1422">
        <f>AK720</f>
        <v/>
      </c>
      <c r="AM720" s="1540">
        <f>AL720</f>
        <v/>
      </c>
      <c r="AN720" s="1422">
        <f>AM720</f>
        <v/>
      </c>
      <c r="AO720" s="1422">
        <f>AN720</f>
        <v/>
      </c>
      <c r="AP720" s="1422">
        <f>AO720</f>
        <v/>
      </c>
      <c r="AQ720" s="1422">
        <f>AP720</f>
        <v/>
      </c>
      <c r="AR720" s="1540">
        <f>AQ720</f>
        <v/>
      </c>
      <c r="AS720" s="1540">
        <f>AR720</f>
        <v/>
      </c>
      <c r="AT720" s="1540">
        <f>AS720</f>
        <v/>
      </c>
      <c r="AU720" s="1540">
        <f>AT720</f>
        <v/>
      </c>
      <c r="AV720" s="1422" t="n"/>
    </row>
    <row r="721" ht="14.4" customFormat="1" customHeight="1" s="1418">
      <c r="A721" s="1539" t="inlineStr">
        <is>
          <t>Additional paid-in capital</t>
        </is>
      </c>
      <c r="B721" s="1698" t="n"/>
      <c r="C721" s="1529" t="n"/>
      <c r="D721" s="1529" t="n"/>
      <c r="E721" s="1529" t="n"/>
      <c r="F721" s="1529" t="n"/>
      <c r="G721" s="1529" t="n"/>
      <c r="H721" s="1529" t="n"/>
      <c r="I721" s="1529" t="n"/>
      <c r="J721" s="1529" t="n"/>
      <c r="K721" s="1529" t="n"/>
      <c r="L721" s="1529" t="n"/>
      <c r="M721" s="1529" t="n"/>
      <c r="N721" s="1529" t="n"/>
      <c r="O721" s="1420" t="n"/>
      <c r="P721" s="1420" t="n"/>
      <c r="Q721" s="1420" t="n"/>
      <c r="R721" s="1420" t="n"/>
      <c r="S721" s="1529" t="n"/>
      <c r="T721" s="1420" t="n"/>
      <c r="U721" s="1420" t="n"/>
      <c r="V721" s="1420" t="n"/>
      <c r="W721" s="1420" t="n"/>
      <c r="X721" s="1529" t="n"/>
      <c r="Y721" s="1420" t="n"/>
      <c r="Z721" s="1420" t="n"/>
      <c r="AA721" s="1420" t="n"/>
      <c r="AB721" s="1422">
        <f>AC721</f>
        <v/>
      </c>
      <c r="AC721" s="1593" t="n">
        <v>48.397</v>
      </c>
      <c r="AD721" s="1420" t="n"/>
      <c r="AE721" s="1420" t="n"/>
      <c r="AF721" s="1594" t="n">
        <v>1114.349</v>
      </c>
      <c r="AG721" s="1422">
        <f>AH721</f>
        <v/>
      </c>
      <c r="AH721" s="1593" t="n">
        <v>1096.16</v>
      </c>
      <c r="AI721" s="1594" t="n">
        <v>3730.521</v>
      </c>
      <c r="AJ721" s="1594" t="n">
        <v>4772.825</v>
      </c>
      <c r="AK721" s="1595" t="n">
        <v>6104.329</v>
      </c>
      <c r="AL721" s="1422">
        <f>AK721+AL575+AL612</f>
        <v/>
      </c>
      <c r="AM721" s="1540">
        <f>AL721</f>
        <v/>
      </c>
      <c r="AN721" s="1422">
        <f>AM721+AN575+AN612</f>
        <v/>
      </c>
      <c r="AO721" s="1422">
        <f>AN721+AO575+AO612</f>
        <v/>
      </c>
      <c r="AP721" s="1422">
        <f>AO721+AP575+AP612</f>
        <v/>
      </c>
      <c r="AQ721" s="1422">
        <f>AP721+AQ575+AQ612</f>
        <v/>
      </c>
      <c r="AR721" s="1540">
        <f>AQ721</f>
        <v/>
      </c>
      <c r="AS721" s="1540">
        <f>AR721+AS575+AS612</f>
        <v/>
      </c>
      <c r="AT721" s="1540">
        <f>AS721+AT575+AT612</f>
        <v/>
      </c>
      <c r="AU721" s="1540">
        <f>AT721+AU575+AU612</f>
        <v/>
      </c>
      <c r="AV721" s="1422" t="n"/>
    </row>
    <row r="722" ht="14.4" customFormat="1" customHeight="1" s="1418">
      <c r="A722" s="1539" t="inlineStr">
        <is>
          <t>Accumulated other comprehensive loss</t>
        </is>
      </c>
      <c r="B722" s="1698" t="n"/>
      <c r="C722" s="1529" t="n"/>
      <c r="D722" s="1529" t="n"/>
      <c r="E722" s="1529" t="n"/>
      <c r="F722" s="1529" t="n"/>
      <c r="G722" s="1529" t="n"/>
      <c r="H722" s="1529" t="n"/>
      <c r="I722" s="1529" t="n"/>
      <c r="J722" s="1529" t="n"/>
      <c r="K722" s="1529" t="n"/>
      <c r="L722" s="1529" t="n"/>
      <c r="M722" s="1529" t="n"/>
      <c r="N722" s="1529" t="n"/>
      <c r="O722" s="1420" t="n"/>
      <c r="P722" s="1420" t="n"/>
      <c r="Q722" s="1420" t="n"/>
      <c r="R722" s="1420" t="n"/>
      <c r="S722" s="1529" t="n"/>
      <c r="T722" s="1420" t="n"/>
      <c r="U722" s="1420" t="n"/>
      <c r="V722" s="1420" t="n"/>
      <c r="W722" s="1420" t="n"/>
      <c r="X722" s="1529" t="n"/>
      <c r="Y722" s="1420" t="n"/>
      <c r="Z722" s="1420" t="n"/>
      <c r="AA722" s="1420" t="n"/>
      <c r="AB722" s="1422">
        <f>AC722</f>
        <v/>
      </c>
      <c r="AC722" s="1593" t="n">
        <v>-0.148</v>
      </c>
      <c r="AD722" s="1420" t="n"/>
      <c r="AE722" s="1420" t="n"/>
      <c r="AF722" s="1594" t="n">
        <v>0.01</v>
      </c>
      <c r="AG722" s="1422">
        <f>AH722</f>
        <v/>
      </c>
      <c r="AH722" s="1593" t="n">
        <v>0</v>
      </c>
      <c r="AI722" s="1420" t="n"/>
      <c r="AJ722" s="1594" t="n">
        <v>-0.271</v>
      </c>
      <c r="AK722" s="1595" t="n">
        <v>-1.284</v>
      </c>
      <c r="AL722" s="1422">
        <f>AK722</f>
        <v/>
      </c>
      <c r="AM722" s="1540">
        <f>AL722</f>
        <v/>
      </c>
      <c r="AN722" s="1422">
        <f>AM722</f>
        <v/>
      </c>
      <c r="AO722" s="1422">
        <f>AN722</f>
        <v/>
      </c>
      <c r="AP722" s="1422">
        <f>AO722</f>
        <v/>
      </c>
      <c r="AQ722" s="1422">
        <f>AP722</f>
        <v/>
      </c>
      <c r="AR722" s="1540">
        <f>AQ722</f>
        <v/>
      </c>
      <c r="AS722" s="1540">
        <f>AR722</f>
        <v/>
      </c>
      <c r="AT722" s="1540">
        <f>AS722</f>
        <v/>
      </c>
      <c r="AU722" s="1540">
        <f>AT722</f>
        <v/>
      </c>
      <c r="AV722" s="1422" t="n"/>
    </row>
    <row r="723" ht="14.4" customFormat="1" customHeight="1" s="1418">
      <c r="A723" s="1539" t="inlineStr">
        <is>
          <t>Accumulated deficit</t>
        </is>
      </c>
      <c r="B723" s="1698" t="n"/>
      <c r="C723" s="1529" t="n"/>
      <c r="D723" s="1529" t="n"/>
      <c r="E723" s="1529" t="n"/>
      <c r="F723" s="1529" t="n"/>
      <c r="G723" s="1529" t="n"/>
      <c r="H723" s="1529" t="n"/>
      <c r="I723" s="1529" t="n"/>
      <c r="J723" s="1529" t="n"/>
      <c r="K723" s="1529" t="n"/>
      <c r="L723" s="1529" t="n"/>
      <c r="M723" s="1529" t="n"/>
      <c r="N723" s="1529" t="n"/>
      <c r="O723" s="1420" t="n"/>
      <c r="P723" s="1420" t="n"/>
      <c r="Q723" s="1420" t="n"/>
      <c r="R723" s="1420" t="n"/>
      <c r="S723" s="1529" t="n"/>
      <c r="T723" s="1420" t="n"/>
      <c r="U723" s="1420" t="n"/>
      <c r="V723" s="1420" t="n"/>
      <c r="W723" s="1420" t="n"/>
      <c r="X723" s="1529" t="n"/>
      <c r="Y723" s="1420" t="n"/>
      <c r="Z723" s="1420" t="n"/>
      <c r="AA723" s="1420" t="n"/>
      <c r="AB723" s="1422">
        <f>AC723</f>
        <v/>
      </c>
      <c r="AC723" s="1593" t="n">
        <v>-612.787</v>
      </c>
      <c r="AD723" s="1420" t="n"/>
      <c r="AE723" s="1420" t="n"/>
      <c r="AF723" s="1594" t="n">
        <v>-1424.863</v>
      </c>
      <c r="AG723" s="1422">
        <f>AH723</f>
        <v/>
      </c>
      <c r="AH723" s="1593" t="n">
        <v>-1476.235</v>
      </c>
      <c r="AI723" s="1594" t="n">
        <v>-1790.876</v>
      </c>
      <c r="AJ723" s="1594" t="n">
        <v>-2081.385</v>
      </c>
      <c r="AK723" s="1595" t="n">
        <v>-2191.509</v>
      </c>
      <c r="AL723" s="1422">
        <f>AK723+AL570+AL615</f>
        <v/>
      </c>
      <c r="AM723" s="1540">
        <f>AL723</f>
        <v/>
      </c>
      <c r="AN723" s="1422">
        <f>AM723+AN570+AN615</f>
        <v/>
      </c>
      <c r="AO723" s="1422">
        <f>AN723+AO570+AO615</f>
        <v/>
      </c>
      <c r="AP723" s="1422">
        <f>AO723+AP570+AP615</f>
        <v/>
      </c>
      <c r="AQ723" s="1422">
        <f>AP723+AQ570+AQ615</f>
        <v/>
      </c>
      <c r="AR723" s="1540">
        <f>AQ723</f>
        <v/>
      </c>
      <c r="AS723" s="1540">
        <f>AR723+AS570+AS615</f>
        <v/>
      </c>
      <c r="AT723" s="1540">
        <f>AS723+AT570+AT615</f>
        <v/>
      </c>
      <c r="AU723" s="1540">
        <f>AT723+AU570+AU615</f>
        <v/>
      </c>
      <c r="AV723" s="1422" t="n"/>
    </row>
    <row r="724" ht="14.4" customFormat="1" customHeight="1" s="1438">
      <c r="A724" s="1542" t="inlineStr">
        <is>
          <t>Total SE</t>
        </is>
      </c>
      <c r="B724" s="1699" t="n"/>
      <c r="C724" s="1544" t="n"/>
      <c r="D724" s="1544" t="n"/>
      <c r="E724" s="1544" t="n"/>
      <c r="F724" s="1544" t="n"/>
      <c r="G724" s="1544" t="n"/>
      <c r="H724" s="1544" t="n"/>
      <c r="I724" s="1544" t="n"/>
      <c r="J724" s="1544" t="n"/>
      <c r="K724" s="1544" t="n"/>
      <c r="L724" s="1544" t="n"/>
      <c r="M724" s="1544" t="n"/>
      <c r="N724" s="1544" t="n"/>
      <c r="O724" s="1545" t="n"/>
      <c r="P724" s="1545" t="n"/>
      <c r="Q724" s="1545" t="n"/>
      <c r="R724" s="1545" t="n"/>
      <c r="S724" s="1544" t="n"/>
      <c r="T724" s="1545" t="n"/>
      <c r="U724" s="1545" t="n"/>
      <c r="V724" s="1545" t="n"/>
      <c r="W724" s="1545" t="n"/>
      <c r="X724" s="1544" t="n"/>
      <c r="Y724" s="1545" t="n"/>
      <c r="Z724" s="1545" t="n"/>
      <c r="AA724" s="1545" t="n"/>
      <c r="AB724" s="1547">
        <f>SUM(AB716:AB723)</f>
        <v/>
      </c>
      <c r="AC724" s="1546">
        <f>SUM(AC716:AC723)</f>
        <v/>
      </c>
      <c r="AD724" s="1545" t="n"/>
      <c r="AE724" s="1545" t="n"/>
      <c r="AF724" s="1547">
        <f>SUM(AF716:AF723)</f>
        <v/>
      </c>
      <c r="AG724" s="1547">
        <f>SUM(AG716:AG723)</f>
        <v/>
      </c>
      <c r="AH724" s="1546">
        <f>SUM(AH716:AH723)</f>
        <v/>
      </c>
      <c r="AI724" s="1545">
        <f>SUM(AI716:AI723)</f>
        <v/>
      </c>
      <c r="AJ724" s="1545">
        <f>SUM(AJ716:AJ723)</f>
        <v/>
      </c>
      <c r="AK724" s="1548">
        <f>SUM(AK716:AK723)</f>
        <v/>
      </c>
      <c r="AL724" s="1547">
        <f>SUM(AL716:AL723)</f>
        <v/>
      </c>
      <c r="AM724" s="1546">
        <f>SUM(AM716:AM723)</f>
        <v/>
      </c>
      <c r="AN724" s="1547">
        <f>SUM(AN716:AN723)</f>
        <v/>
      </c>
      <c r="AO724" s="1547">
        <f>SUM(AO716:AO723)</f>
        <v/>
      </c>
      <c r="AP724" s="1547">
        <f>SUM(AP716:AP723)</f>
        <v/>
      </c>
      <c r="AQ724" s="1547">
        <f>SUM(AQ716:AQ723)</f>
        <v/>
      </c>
      <c r="AR724" s="1546">
        <f>SUM(AR716:AR723)</f>
        <v/>
      </c>
      <c r="AS724" s="1546">
        <f>SUM(AS716:AS723)</f>
        <v/>
      </c>
      <c r="AT724" s="1546">
        <f>SUM(AT716:AT723)</f>
        <v/>
      </c>
      <c r="AU724" s="1546">
        <f>SUM(AU716:AU723)</f>
        <v/>
      </c>
      <c r="AV724" s="1446" t="n"/>
    </row>
    <row r="725" ht="14.4" customFormat="1" customHeight="1" s="1418">
      <c r="A725" s="1539" t="inlineStr">
        <is>
          <t>NCI</t>
        </is>
      </c>
      <c r="B725" s="1698" t="n"/>
      <c r="C725" s="1529" t="n"/>
      <c r="D725" s="1529" t="n"/>
      <c r="E725" s="1529" t="n"/>
      <c r="F725" s="1529" t="n"/>
      <c r="G725" s="1529" t="n"/>
      <c r="H725" s="1529" t="n"/>
      <c r="I725" s="1529" t="n"/>
      <c r="J725" s="1529" t="n"/>
      <c r="K725" s="1529" t="n"/>
      <c r="L725" s="1529" t="n"/>
      <c r="M725" s="1529" t="n"/>
      <c r="N725" s="1529" t="n"/>
      <c r="O725" s="1420" t="n"/>
      <c r="P725" s="1420" t="n"/>
      <c r="Q725" s="1420" t="n"/>
      <c r="R725" s="1420" t="n"/>
      <c r="S725" s="1529" t="n"/>
      <c r="T725" s="1420" t="n"/>
      <c r="U725" s="1420" t="n"/>
      <c r="V725" s="1420" t="n"/>
      <c r="W725" s="1420" t="n"/>
      <c r="X725" s="1529" t="n"/>
      <c r="Y725" s="1420" t="n"/>
      <c r="Z725" s="1420" t="n"/>
      <c r="AA725" s="1420" t="n"/>
      <c r="AB725" s="1422">
        <f>AC725</f>
        <v/>
      </c>
      <c r="AC725" s="1529" t="n"/>
      <c r="AD725" s="1420" t="n"/>
      <c r="AE725" s="1420" t="n"/>
      <c r="AF725" s="1422">
        <f>AG725</f>
        <v/>
      </c>
      <c r="AG725" s="1422">
        <f>AH725</f>
        <v/>
      </c>
      <c r="AH725" s="1529" t="n"/>
      <c r="AI725" s="1420" t="n"/>
      <c r="AJ725" s="1420" t="n"/>
      <c r="AK725" s="1421" t="n"/>
      <c r="AL725" s="1420">
        <f>AK725</f>
        <v/>
      </c>
      <c r="AM725" s="1529">
        <f>AL725</f>
        <v/>
      </c>
      <c r="AN725" s="1420">
        <f>AM725</f>
        <v/>
      </c>
      <c r="AO725" s="1420">
        <f>AN725</f>
        <v/>
      </c>
      <c r="AP725" s="1420">
        <f>AO725</f>
        <v/>
      </c>
      <c r="AQ725" s="1420">
        <f>AP725</f>
        <v/>
      </c>
      <c r="AR725" s="1529">
        <f>AQ725</f>
        <v/>
      </c>
      <c r="AS725" s="1529">
        <f>AR725</f>
        <v/>
      </c>
      <c r="AT725" s="1529">
        <f>AS725</f>
        <v/>
      </c>
      <c r="AU725" s="1529">
        <f>AT725</f>
        <v/>
      </c>
      <c r="AV725" s="1422" t="n"/>
    </row>
    <row r="726" ht="14.4" customFormat="1" customHeight="1" s="1438">
      <c r="A726" s="1439" t="inlineStr">
        <is>
          <t>Total Liabilities &amp; SE</t>
        </is>
      </c>
      <c r="B726" s="1695" t="n"/>
      <c r="C726" s="1535" t="n"/>
      <c r="D726" s="1535" t="n"/>
      <c r="E726" s="1535" t="n"/>
      <c r="F726" s="1535" t="n"/>
      <c r="G726" s="1535" t="n"/>
      <c r="H726" s="1535" t="n"/>
      <c r="I726" s="1535" t="n"/>
      <c r="J726" s="1535" t="n"/>
      <c r="K726" s="1535" t="n"/>
      <c r="L726" s="1535" t="n"/>
      <c r="M726" s="1535" t="n"/>
      <c r="N726" s="1535" t="n"/>
      <c r="O726" s="1536" t="n"/>
      <c r="P726" s="1536" t="n"/>
      <c r="Q726" s="1536" t="n"/>
      <c r="R726" s="1536" t="n"/>
      <c r="S726" s="1535" t="n"/>
      <c r="T726" s="1536" t="n"/>
      <c r="U726" s="1536" t="n"/>
      <c r="V726" s="1536" t="n"/>
      <c r="W726" s="1536" t="n"/>
      <c r="X726" s="1535" t="n"/>
      <c r="Y726" s="1536" t="n"/>
      <c r="Z726" s="1536" t="n"/>
      <c r="AA726" s="1536" t="n"/>
      <c r="AB726" s="1446">
        <f>AB724+AB713+AB725</f>
        <v/>
      </c>
      <c r="AC726" s="1537">
        <f>AC724+AC713+AC725</f>
        <v/>
      </c>
      <c r="AD726" s="1536" t="n"/>
      <c r="AE726" s="1536" t="n"/>
      <c r="AF726" s="1446">
        <f>AF724+AF713+AF725</f>
        <v/>
      </c>
      <c r="AG726" s="1446">
        <f>AG724+AG713+AG725</f>
        <v/>
      </c>
      <c r="AH726" s="1537">
        <f>AH724+AH713+AH725</f>
        <v/>
      </c>
      <c r="AI726" s="1536">
        <f>AI724+AI713+AI725</f>
        <v/>
      </c>
      <c r="AJ726" s="1536">
        <f>AJ724+AJ713+AJ725</f>
        <v/>
      </c>
      <c r="AK726" s="1538">
        <f>AK724+AK713+AK725</f>
        <v/>
      </c>
      <c r="AL726" s="1536">
        <f>AL724+AL713+AL725</f>
        <v/>
      </c>
      <c r="AM726" s="1535">
        <f>AM724+AM713+AM725</f>
        <v/>
      </c>
      <c r="AN726" s="1536">
        <f>AN724+AN713+AN725</f>
        <v/>
      </c>
      <c r="AO726" s="1536">
        <f>AO724+AO713+AO725</f>
        <v/>
      </c>
      <c r="AP726" s="1536">
        <f>AP724+AP713+AP725</f>
        <v/>
      </c>
      <c r="AQ726" s="1536">
        <f>AQ724+AQ713+AQ725</f>
        <v/>
      </c>
      <c r="AR726" s="1535">
        <f>AR724+AR713+AR725</f>
        <v/>
      </c>
      <c r="AS726" s="1535">
        <f>AS724+AS713+AS725</f>
        <v/>
      </c>
      <c r="AT726" s="1535">
        <f>AT724+AT713+AT725</f>
        <v/>
      </c>
      <c r="AU726" s="1535">
        <f>AU724+AU713+AU725</f>
        <v/>
      </c>
      <c r="AV726" s="1446" t="n"/>
    </row>
    <row r="727" ht="14.4" customFormat="1" customHeight="1" s="1418">
      <c r="A727" s="1420" t="n"/>
      <c r="B727" s="1420" t="n"/>
      <c r="C727" s="1420" t="n"/>
      <c r="D727" s="1420" t="n"/>
      <c r="E727" s="1420" t="n"/>
      <c r="F727" s="1420" t="n"/>
      <c r="G727" s="1420" t="n"/>
      <c r="H727" s="1420" t="n"/>
      <c r="I727" s="1420" t="n"/>
      <c r="J727" s="1420" t="n"/>
      <c r="K727" s="1420" t="n"/>
      <c r="L727" s="1420" t="n"/>
      <c r="M727" s="1420" t="n"/>
      <c r="N727" s="1420" t="n"/>
      <c r="O727" s="1420" t="n"/>
      <c r="P727" s="1420" t="n"/>
      <c r="Q727" s="1420" t="n"/>
      <c r="R727" s="1420" t="n"/>
      <c r="S727" s="1420" t="n"/>
      <c r="T727" s="1420" t="n"/>
      <c r="U727" s="1420" t="n"/>
      <c r="V727" s="1420" t="n"/>
      <c r="W727" s="1420" t="n"/>
      <c r="X727" s="1420" t="n"/>
      <c r="Y727" s="1420" t="n"/>
      <c r="Z727" s="1420" t="n"/>
      <c r="AA727" s="1420" t="n"/>
      <c r="AB727" s="1420" t="n"/>
      <c r="AC727" s="1420" t="n"/>
      <c r="AD727" s="1420" t="n"/>
      <c r="AE727" s="1420" t="n"/>
      <c r="AF727" s="1420" t="n"/>
      <c r="AG727" s="1420" t="n"/>
      <c r="AH727" s="1420" t="n"/>
      <c r="AI727" s="1420" t="n"/>
      <c r="AJ727" s="1420" t="n"/>
      <c r="AK727" s="1421" t="n"/>
      <c r="AL727" s="1420" t="n"/>
      <c r="AM727" s="1420" t="n"/>
      <c r="AN727" s="1420" t="n"/>
      <c r="AO727" s="1420" t="n"/>
      <c r="AP727" s="1420" t="n"/>
      <c r="AQ727" s="1420" t="n"/>
      <c r="AR727" s="1420" t="n"/>
      <c r="AS727" s="1420" t="n"/>
      <c r="AT727" s="1420" t="n"/>
      <c r="AU727" s="1420" t="n"/>
      <c r="AV727" s="1422" t="n"/>
    </row>
    <row r="728" ht="14.4" customFormat="1" customHeight="1" s="1418">
      <c r="A728" s="1712" t="inlineStr">
        <is>
          <t>BS Check</t>
        </is>
      </c>
      <c r="B728" s="1712" t="n"/>
      <c r="C728" s="1713" t="n"/>
      <c r="D728" s="1713" t="n"/>
      <c r="E728" s="1713" t="n"/>
      <c r="F728" s="1713" t="n"/>
      <c r="G728" s="1713" t="n"/>
      <c r="H728" s="1713" t="n"/>
      <c r="I728" s="1713" t="n"/>
      <c r="J728" s="1713" t="n"/>
      <c r="K728" s="1713" t="n"/>
      <c r="L728" s="1713" t="n"/>
      <c r="M728" s="1713" t="n"/>
      <c r="N728" s="1713" t="n"/>
      <c r="O728" s="1713" t="n"/>
      <c r="P728" s="1713" t="n"/>
      <c r="Q728" s="1713" t="n"/>
      <c r="R728" s="1713" t="n"/>
      <c r="S728" s="1713" t="n"/>
      <c r="T728" s="1713" t="n"/>
      <c r="U728" s="1713" t="n"/>
      <c r="V728" s="1713" t="n"/>
      <c r="W728" s="1713" t="n"/>
      <c r="X728" s="1713">
        <f>ROUND(X692-X726,6)</f>
        <v/>
      </c>
      <c r="Y728" s="1713">
        <f>ROUND(Y692-Y726,6)</f>
        <v/>
      </c>
      <c r="Z728" s="1713">
        <f>ROUND(Z692-Z726,6)</f>
        <v/>
      </c>
      <c r="AA728" s="1713">
        <f>ROUND(AA692-AA726,6)</f>
        <v/>
      </c>
      <c r="AB728" s="1713">
        <f>ROUND(AB692-AB726,6)</f>
        <v/>
      </c>
      <c r="AC728" s="1713">
        <f>ROUND(AC692-AC726,6)</f>
        <v/>
      </c>
      <c r="AD728" s="1713">
        <f>ROUND(AD692-AD726,6)</f>
        <v/>
      </c>
      <c r="AE728" s="1713">
        <f>ROUND(AE692-AE726,6)</f>
        <v/>
      </c>
      <c r="AF728" s="1713">
        <f>ROUND(AF692-AF726,6)</f>
        <v/>
      </c>
      <c r="AG728" s="1713">
        <f>ROUND(AG692-AG726,6)</f>
        <v/>
      </c>
      <c r="AH728" s="1713">
        <f>ROUND(AH692-AH726,6)</f>
        <v/>
      </c>
      <c r="AI728" s="1713">
        <f>ROUND(AI692-AI726,6)</f>
        <v/>
      </c>
      <c r="AJ728" s="1713">
        <f>ROUND(AJ692-AJ726,6)</f>
        <v/>
      </c>
      <c r="AK728" s="1714">
        <f>ROUND(AK692-AK726,6)</f>
        <v/>
      </c>
      <c r="AL728" s="1713">
        <f>ROUND(AL692-AL726,6)</f>
        <v/>
      </c>
      <c r="AM728" s="1713">
        <f>ROUND(AM692-AM726,6)</f>
        <v/>
      </c>
      <c r="AN728" s="1713">
        <f>ROUND(AN692-AN726,6)</f>
        <v/>
      </c>
      <c r="AO728" s="1713">
        <f>ROUND(AO692-AO726,6)</f>
        <v/>
      </c>
      <c r="AP728" s="1713">
        <f>ROUND(AP692-AP726,6)</f>
        <v/>
      </c>
      <c r="AQ728" s="1713">
        <f>ROUND(AQ692-AQ726,6)</f>
        <v/>
      </c>
      <c r="AR728" s="1713">
        <f>ROUND(AR692-AR726,6)</f>
        <v/>
      </c>
      <c r="AS728" s="1713">
        <f>ROUND(AS692-AS726,6)</f>
        <v/>
      </c>
      <c r="AT728" s="1713">
        <f>ROUND(AT692-AT726,6)</f>
        <v/>
      </c>
      <c r="AU728" s="1713">
        <f>ROUND(AU692-AU726,6)</f>
        <v/>
      </c>
      <c r="AV728" s="1422" t="n"/>
    </row>
    <row r="729" ht="14.4" customFormat="1" customHeight="1" s="1418">
      <c r="A729" s="1420" t="n"/>
      <c r="B729" s="1420" t="n"/>
      <c r="C729" s="1420" t="n"/>
      <c r="D729" s="1420" t="n"/>
      <c r="E729" s="1420" t="n"/>
      <c r="F729" s="1420" t="n"/>
      <c r="G729" s="1420" t="n"/>
      <c r="H729" s="1420" t="n"/>
      <c r="I729" s="1420" t="n"/>
      <c r="J729" s="1420" t="n"/>
      <c r="K729" s="1420" t="n"/>
      <c r="L729" s="1420" t="n"/>
      <c r="M729" s="1420" t="n"/>
      <c r="N729" s="1420" t="n"/>
      <c r="O729" s="1420" t="n"/>
      <c r="P729" s="1420" t="n"/>
      <c r="Q729" s="1420" t="n"/>
      <c r="R729" s="1420" t="n"/>
      <c r="S729" s="1420" t="n"/>
      <c r="T729" s="1420" t="n"/>
      <c r="U729" s="1420" t="n"/>
      <c r="V729" s="1420" t="n"/>
      <c r="W729" s="1420" t="n"/>
      <c r="X729" s="1420" t="n"/>
      <c r="Y729" s="1420" t="n"/>
      <c r="Z729" s="1420" t="n"/>
      <c r="AA729" s="1420" t="n"/>
      <c r="AB729" s="1420" t="n"/>
      <c r="AC729" s="1420" t="n"/>
      <c r="AD729" s="1420" t="n"/>
      <c r="AE729" s="1420" t="n"/>
      <c r="AF729" s="1420" t="n"/>
      <c r="AG729" s="1420" t="n"/>
      <c r="AH729" s="1420" t="n"/>
      <c r="AI729" s="1420" t="n"/>
      <c r="AJ729" s="1420" t="n"/>
      <c r="AK729" s="1421" t="n"/>
      <c r="AL729" s="1420" t="n"/>
      <c r="AM729" s="1420" t="n"/>
      <c r="AN729" s="1420" t="n"/>
      <c r="AO729" s="1420" t="n"/>
      <c r="AP729" s="1420" t="n"/>
      <c r="AQ729" s="1420" t="n"/>
      <c r="AR729" s="1420" t="n"/>
      <c r="AS729" s="1420" t="n"/>
      <c r="AT729" s="1420" t="n"/>
      <c r="AU729" s="1420" t="n"/>
      <c r="AV729" s="1422" t="n"/>
    </row>
    <row r="730" ht="14.4" customFormat="1" customHeight="1" s="1418">
      <c r="A730" s="1916" t="inlineStr">
        <is>
          <t>Model Checks</t>
        </is>
      </c>
      <c r="B730" s="1916" t="n"/>
      <c r="C730" s="1916" t="n"/>
      <c r="D730" s="1916" t="n"/>
      <c r="E730" s="1916" t="n"/>
      <c r="F730" s="1916" t="n"/>
      <c r="G730" s="1916" t="n"/>
      <c r="H730" s="1916" t="n"/>
      <c r="I730" s="1916" t="n"/>
      <c r="J730" s="1916" t="n"/>
      <c r="K730" s="1916" t="n"/>
      <c r="L730" s="1916" t="n"/>
      <c r="M730" s="1916" t="n"/>
      <c r="N730" s="1916" t="n"/>
      <c r="O730" s="1916" t="n"/>
      <c r="P730" s="1916" t="n"/>
      <c r="Q730" s="1916" t="n"/>
      <c r="R730" s="1916" t="n"/>
      <c r="S730" s="1916" t="n"/>
      <c r="T730" s="1916" t="n"/>
      <c r="U730" s="1916" t="n"/>
      <c r="V730" s="1916" t="n"/>
      <c r="W730" s="1916" t="n"/>
      <c r="X730" s="1916" t="n"/>
      <c r="Y730" s="1916" t="n"/>
      <c r="Z730" s="1916" t="n"/>
      <c r="AA730" s="1916" t="n"/>
      <c r="AB730" s="1916" t="n"/>
      <c r="AC730" s="1916" t="n"/>
      <c r="AD730" s="1916" t="n"/>
      <c r="AE730" s="1916" t="n"/>
      <c r="AF730" s="1916" t="n"/>
      <c r="AG730" s="1916" t="n"/>
      <c r="AH730" s="1916" t="n"/>
      <c r="AI730" s="1916" t="n"/>
      <c r="AJ730" s="1916" t="n"/>
      <c r="AK730" s="1917" t="n"/>
      <c r="AL730" s="1916" t="n"/>
      <c r="AM730" s="1916" t="n"/>
      <c r="AN730" s="1916" t="n"/>
      <c r="AO730" s="1916" t="n"/>
      <c r="AP730" s="1916" t="n"/>
      <c r="AQ730" s="1916" t="n"/>
      <c r="AR730" s="1916" t="n"/>
      <c r="AS730" s="1916" t="n"/>
      <c r="AT730" s="1916" t="n"/>
      <c r="AU730" s="1916" t="n"/>
      <c r="AV730" s="1422" t="n"/>
    </row>
    <row r="731" ht="14.4" customFormat="1" customHeight="1" s="1418">
      <c r="A731" s="1422" t="inlineStr">
        <is>
          <t>Net Income on Revised IS = NI on CF statement</t>
        </is>
      </c>
      <c r="B731" s="1470" t="n"/>
      <c r="C731" s="1713" t="n"/>
      <c r="D731" s="1713" t="n"/>
      <c r="E731" s="1713" t="n"/>
      <c r="F731" s="1713" t="n"/>
      <c r="G731" s="1713" t="n"/>
      <c r="H731" s="1713" t="n"/>
      <c r="I731" s="1713" t="n"/>
      <c r="J731" s="1713" t="n"/>
      <c r="K731" s="1713" t="n"/>
      <c r="L731" s="1713" t="n"/>
      <c r="M731" s="1713" t="n"/>
      <c r="N731" s="1713" t="n"/>
      <c r="O731" s="1713" t="n"/>
      <c r="P731" s="1713" t="n"/>
      <c r="Q731" s="1713" t="n"/>
      <c r="R731" s="1713" t="n"/>
      <c r="S731" s="1713" t="n"/>
      <c r="T731" s="1713" t="n"/>
      <c r="U731" s="1713" t="n"/>
      <c r="V731" s="1713" t="n"/>
      <c r="W731" s="1713" t="n"/>
      <c r="X731" s="1713">
        <f>IF(ISBLANK(INDEX(MO_IS_FirstRow,0,COLUMN())),0,ROUND(X568-X390-X382,6))</f>
        <v/>
      </c>
      <c r="Y731" s="1713">
        <f>IF(ISBLANK(INDEX(MO_IS_FirstRow,0,COLUMN())),0,ROUND(Y568-Y390-Y382,6))</f>
        <v/>
      </c>
      <c r="Z731" s="1713">
        <f>IF(ISBLANK(INDEX(MO_IS_FirstRow,0,COLUMN())),0,ROUND(Z568-Z390-Z382,6))</f>
        <v/>
      </c>
      <c r="AA731" s="1713">
        <f>IF(ISBLANK(INDEX(MO_IS_FirstRow,0,COLUMN())),0,ROUND(AA568-AA390-AA382,6))</f>
        <v/>
      </c>
      <c r="AB731" s="1713">
        <f>IF(ISBLANK(INDEX(MO_IS_FirstRow,0,COLUMN())),0,ROUND(AB568-AB390-AB382,6))</f>
        <v/>
      </c>
      <c r="AC731" s="1713">
        <f>IF(ISBLANK(INDEX(MO_IS_FirstRow,0,COLUMN())),0,ROUND(AC568-AC390-AC382,6))</f>
        <v/>
      </c>
      <c r="AD731" s="1713">
        <f>IF(ISBLANK(INDEX(MO_IS_FirstRow,0,COLUMN())),0,ROUND(AD568-AD390-AD382,6))</f>
        <v/>
      </c>
      <c r="AE731" s="1713">
        <f>IF(ISBLANK(INDEX(MO_IS_FirstRow,0,COLUMN())),0,ROUND(AE570-AE390-AE382,6))</f>
        <v/>
      </c>
      <c r="AF731" s="1713">
        <f>IF(ISBLANK(INDEX(MO_IS_FirstRow,0,COLUMN())),0,ROUND(AF570-AF390-AF382,6))</f>
        <v/>
      </c>
      <c r="AG731" s="1713">
        <f>IF(ISBLANK(INDEX(MO_IS_FirstRow,0,COLUMN())),0,ROUND(AG568-AG390-AG382,6))</f>
        <v/>
      </c>
      <c r="AH731" s="1713">
        <f>IF(ISBLANK(INDEX(MO_IS_FirstRow,0,COLUMN())),0,ROUND(AH568-AH390-AH382,6))</f>
        <v/>
      </c>
      <c r="AI731" s="1713">
        <f>IF(ISBLANK(INDEX(MO_IS_FirstRow,0,COLUMN())),0,ROUND(AI568-AI390-AI382,6))</f>
        <v/>
      </c>
      <c r="AJ731" s="1713">
        <f>IF(ISBLANK(INDEX(MO_IS_FirstRow,0,COLUMN())),0,ROUND(AJ570-AJ390-AJ382,6))</f>
        <v/>
      </c>
      <c r="AK731" s="1714">
        <f>IF(ISBLANK(INDEX(MO_IS_FirstRow,0,COLUMN())),0,ROUND(AK570-AK390-AK382,6))</f>
        <v/>
      </c>
      <c r="AL731" s="1713">
        <f>IF(ISBLANK(INDEX(MO_IS_FirstRow,0,COLUMN())),0,ROUND(AL570-AL390-AL382,6))</f>
        <v/>
      </c>
      <c r="AM731" s="1713">
        <f>IF(ISBLANK(INDEX(MO_IS_FirstRow,0,COLUMN())),0,ROUND(AM570-AM390-AM382,6))</f>
        <v/>
      </c>
      <c r="AN731" s="1713">
        <f>IF(ISBLANK(INDEX(MO_IS_FirstRow,0,COLUMN())),0,ROUND(AN570-AN390-AN382,6))</f>
        <v/>
      </c>
      <c r="AO731" s="1713">
        <f>IF(ISBLANK(INDEX(MO_IS_FirstRow,0,COLUMN())),0,ROUND(AO570-AO390-AO382,6))</f>
        <v/>
      </c>
      <c r="AP731" s="1713">
        <f>IF(ISBLANK(INDEX(MO_IS_FirstRow,0,COLUMN())),0,ROUND(AP570-AP390-AP382,6))</f>
        <v/>
      </c>
      <c r="AQ731" s="1713">
        <f>IF(ISBLANK(INDEX(MO_IS_FirstRow,0,COLUMN())),0,ROUND(AQ570-AQ390-AQ382,6))</f>
        <v/>
      </c>
      <c r="AR731" s="1713">
        <f>IF(ISBLANK(INDEX(MO_IS_FirstRow,0,COLUMN())),0,ROUND(AR570-AR390-AR382,6))</f>
        <v/>
      </c>
      <c r="AS731" s="1713">
        <f>IF(ISBLANK(INDEX(MO_IS_FirstRow,0,COLUMN())),0,ROUND(AS570-AS390-AS382,6))</f>
        <v/>
      </c>
      <c r="AT731" s="1713">
        <f>IF(ISBLANK(INDEX(MO_IS_FirstRow,0,COLUMN())),0,ROUND(AT570-AT390-AT382,6))</f>
        <v/>
      </c>
      <c r="AU731" s="1713">
        <f>IF(ISBLANK(INDEX(MO_IS_FirstRow,0,COLUMN())),0,ROUND(AU570-AU390-AU382,6))</f>
        <v/>
      </c>
      <c r="AV731" s="1422" t="n"/>
    </row>
    <row r="732" ht="14.4" customFormat="1" customHeight="1" s="1418">
      <c r="A732" s="1422" t="inlineStr">
        <is>
          <t>Net Income on Reported IS = NI on Revised</t>
        </is>
      </c>
      <c r="B732" s="1470" t="n"/>
      <c r="C732" s="1713" t="n"/>
      <c r="D732" s="1713" t="n"/>
      <c r="E732" s="1713" t="n"/>
      <c r="F732" s="1713" t="n"/>
      <c r="G732" s="1713" t="n"/>
      <c r="H732" s="1713" t="n"/>
      <c r="I732" s="1713" t="n"/>
      <c r="J732" s="1713" t="n"/>
      <c r="K732" s="1713" t="n"/>
      <c r="L732" s="1713" t="n"/>
      <c r="M732" s="1713" t="n"/>
      <c r="N732" s="1713" t="n"/>
      <c r="O732" s="1713" t="n"/>
      <c r="P732" s="1713" t="n"/>
      <c r="Q732" s="1713" t="n"/>
      <c r="R732" s="1713" t="n"/>
      <c r="S732" s="1713" t="n"/>
      <c r="T732" s="1713" t="n"/>
      <c r="U732" s="1713" t="n"/>
      <c r="V732" s="1713" t="n"/>
      <c r="W732" s="1713" t="n"/>
      <c r="X732" s="1713">
        <f>IF(ISBLANK(INDEX(MO_IS_FirstRow,0,COLUMN())),0,ROUND(X297-X390,6))</f>
        <v/>
      </c>
      <c r="Y732" s="1713">
        <f>IF(ISBLANK(INDEX(MO_IS_FirstRow,0,COLUMN())),0,ROUND(Y297-Y390,6))</f>
        <v/>
      </c>
      <c r="Z732" s="1713">
        <f>IF(ISBLANK(INDEX(MO_IS_FirstRow,0,COLUMN())),0,ROUND(Z297-Z390,6))</f>
        <v/>
      </c>
      <c r="AA732" s="1713">
        <f>IF(ISBLANK(INDEX(MO_IS_FirstRow,0,COLUMN())),0,ROUND(AA297-AA390,6))</f>
        <v/>
      </c>
      <c r="AB732" s="1713">
        <f>IF(ISBLANK(INDEX(MO_IS_FirstRow,0,COLUMN())),0,ROUND(AB297-AB390,6))</f>
        <v/>
      </c>
      <c r="AC732" s="1713">
        <f>IF(ISBLANK(INDEX(MO_IS_FirstRow,0,COLUMN())),0,ROUND(AC297-AC390,6))</f>
        <v/>
      </c>
      <c r="AD732" s="1713">
        <f>IF(ISBLANK(INDEX(MO_IS_FirstRow,0,COLUMN())),0,ROUND(AD297-AD390,6))</f>
        <v/>
      </c>
      <c r="AE732" s="1713">
        <f>IF(ISBLANK(INDEX(MO_IS_FirstRow,0,COLUMN())),0,ROUND(AE297-AE390,6))</f>
        <v/>
      </c>
      <c r="AF732" s="1713">
        <f>IF(ISBLANK(INDEX(MO_IS_FirstRow,0,COLUMN())),0,ROUND(AF297-AF390,6))</f>
        <v/>
      </c>
      <c r="AG732" s="1713">
        <f>IF(ISBLANK(INDEX(MO_IS_FirstRow,0,COLUMN())),0,ROUND(AG297-AG390,6))</f>
        <v/>
      </c>
      <c r="AH732" s="1713">
        <f>IF(ISBLANK(INDEX(MO_IS_FirstRow,0,COLUMN())),0,ROUND(AH297-AH390,6))</f>
        <v/>
      </c>
      <c r="AI732" s="1713">
        <f>IF(ISBLANK(INDEX(MO_IS_FirstRow,0,COLUMN())),0,ROUND(AI297-AI390,6))</f>
        <v/>
      </c>
      <c r="AJ732" s="1713">
        <f>IF(ISBLANK(INDEX(MO_IS_FirstRow,0,COLUMN())),0,ROUND(AJ297-AJ390,6))</f>
        <v/>
      </c>
      <c r="AK732" s="1714">
        <f>IF(ISBLANK(INDEX(MO_IS_FirstRow,0,COLUMN())),0,ROUND(AK297-AK390,6))</f>
        <v/>
      </c>
      <c r="AL732" s="1713">
        <f>IF(ISBLANK(INDEX(MO_IS_FirstRow,0,COLUMN())),0,ROUND(AL297-AL390,6))</f>
        <v/>
      </c>
      <c r="AM732" s="1713">
        <f>IF(ISBLANK(INDEX(MO_IS_FirstRow,0,COLUMN())),0,ROUND(AM297-AM390,6))</f>
        <v/>
      </c>
      <c r="AN732" s="1713">
        <f>IF(ISBLANK(INDEX(MO_IS_FirstRow,0,COLUMN())),0,ROUND(AN297-AN390,6))</f>
        <v/>
      </c>
      <c r="AO732" s="1713">
        <f>IF(ISBLANK(INDEX(MO_IS_FirstRow,0,COLUMN())),0,ROUND(AO297-AO390,6))</f>
        <v/>
      </c>
      <c r="AP732" s="1713">
        <f>IF(ISBLANK(INDEX(MO_IS_FirstRow,0,COLUMN())),0,ROUND(AP297-AP390,6))</f>
        <v/>
      </c>
      <c r="AQ732" s="1713">
        <f>IF(ISBLANK(INDEX(MO_IS_FirstRow,0,COLUMN())),0,ROUND(AQ297-AQ390,6))</f>
        <v/>
      </c>
      <c r="AR732" s="1713">
        <f>IF(ISBLANK(INDEX(MO_IS_FirstRow,0,COLUMN())),0,ROUND(AR297-AR390,6))</f>
        <v/>
      </c>
      <c r="AS732" s="1713">
        <f>IF(ISBLANK(INDEX(MO_IS_FirstRow,0,COLUMN())),0,ROUND(AS297-AS390,6))</f>
        <v/>
      </c>
      <c r="AT732" s="1713">
        <f>IF(ISBLANK(INDEX(MO_IS_FirstRow,0,COLUMN())),0,ROUND(AT297-AT390,6))</f>
        <v/>
      </c>
      <c r="AU732" s="1713">
        <f>IF(ISBLANK(INDEX(MO_IS_FirstRow,0,COLUMN())),0,ROUND(AU297-AU390,6))</f>
        <v/>
      </c>
      <c r="AV732" s="1422" t="n"/>
    </row>
    <row r="733" ht="14.4" customFormat="1" customHeight="1" s="1418">
      <c r="A733" s="1422" t="inlineStr">
        <is>
          <t>Cash is Positive</t>
        </is>
      </c>
      <c r="B733" s="1470" t="n"/>
      <c r="C733" s="1713" t="n"/>
      <c r="D733" s="1713" t="n"/>
      <c r="E733" s="1713" t="n"/>
      <c r="F733" s="1713" t="n"/>
      <c r="G733" s="1713" t="n"/>
      <c r="H733" s="1713" t="n"/>
      <c r="I733" s="1713" t="n"/>
      <c r="J733" s="1713" t="n"/>
      <c r="K733" s="1713" t="n"/>
      <c r="L733" s="1713" t="n"/>
      <c r="M733" s="1713" t="n"/>
      <c r="N733" s="1713" t="n"/>
      <c r="O733" s="1713" t="n"/>
      <c r="P733" s="1713" t="n"/>
      <c r="Q733" s="1713" t="n"/>
      <c r="R733" s="1713" t="n"/>
      <c r="S733" s="1713" t="n"/>
      <c r="T733" s="1713" t="n"/>
      <c r="U733" s="1713" t="n"/>
      <c r="V733" s="1713" t="n"/>
      <c r="W733" s="1713" t="n"/>
      <c r="X733" s="1713">
        <f>IF(X460&lt;0,X460,0)</f>
        <v/>
      </c>
      <c r="Y733" s="1713">
        <f>IF(Y460&lt;0,Y460,0)</f>
        <v/>
      </c>
      <c r="Z733" s="1713">
        <f>IF(Z460&lt;0,Z460,0)</f>
        <v/>
      </c>
      <c r="AA733" s="1713">
        <f>IF(AA460&lt;0,AA460,0)</f>
        <v/>
      </c>
      <c r="AB733" s="1713">
        <f>IF(AB460&lt;0,AB460,0)</f>
        <v/>
      </c>
      <c r="AC733" s="1713">
        <f>IF(AC460&lt;0,AC460,0)</f>
        <v/>
      </c>
      <c r="AD733" s="1713">
        <f>IF(AD460&lt;0,AD460,0)</f>
        <v/>
      </c>
      <c r="AE733" s="1713">
        <f>IF(AE460&lt;0,AE460,0)</f>
        <v/>
      </c>
      <c r="AF733" s="1713">
        <f>IF(AF460&lt;0,AF460,0)</f>
        <v/>
      </c>
      <c r="AG733" s="1713">
        <f>IF(AG460&lt;0,AG460,0)</f>
        <v/>
      </c>
      <c r="AH733" s="1713">
        <f>IF(AH460&lt;0,AH460,0)</f>
        <v/>
      </c>
      <c r="AI733" s="1713">
        <f>IF(AI460&lt;0,AI460,0)</f>
        <v/>
      </c>
      <c r="AJ733" s="1713">
        <f>IF(AJ460&lt;0,AJ460,0)</f>
        <v/>
      </c>
      <c r="AK733" s="1714">
        <f>IF(AK460&lt;0,AK460,0)</f>
        <v/>
      </c>
      <c r="AL733" s="1713">
        <f>IF(AL460&lt;0,AL460,0)</f>
        <v/>
      </c>
      <c r="AM733" s="1713">
        <f>IF(AM460&lt;0,AM460,0)</f>
        <v/>
      </c>
      <c r="AN733" s="1713">
        <f>IF(AN460&lt;0,AN460,0)</f>
        <v/>
      </c>
      <c r="AO733" s="1713">
        <f>IF(AO460&lt;0,AO460,0)</f>
        <v/>
      </c>
      <c r="AP733" s="1713">
        <f>IF(AP460&lt;0,AP460,0)</f>
        <v/>
      </c>
      <c r="AQ733" s="1713">
        <f>IF(AQ460&lt;0,AQ460,0)</f>
        <v/>
      </c>
      <c r="AR733" s="1713">
        <f>IF(AR460&lt;0,AR460,0)</f>
        <v/>
      </c>
      <c r="AS733" s="1713">
        <f>IF(AS460&lt;0,AS460,0)</f>
        <v/>
      </c>
      <c r="AT733" s="1713">
        <f>IF(AT460&lt;0,AT460,0)</f>
        <v/>
      </c>
      <c r="AU733" s="1713">
        <f>IF(AU460&lt;0,AU460,0)</f>
        <v/>
      </c>
      <c r="AV733" s="1422" t="n"/>
    </row>
    <row r="734" ht="14.4" customFormat="1" customHeight="1" s="1418">
      <c r="A734" s="1422" t="inlineStr">
        <is>
          <t>Debt is Positive</t>
        </is>
      </c>
      <c r="B734" s="1470" t="n"/>
      <c r="C734" s="1713" t="n"/>
      <c r="D734" s="1713" t="n"/>
      <c r="E734" s="1713" t="n"/>
      <c r="F734" s="1713" t="n"/>
      <c r="G734" s="1713" t="n"/>
      <c r="H734" s="1713" t="n"/>
      <c r="I734" s="1713" t="n"/>
      <c r="J734" s="1713" t="n"/>
      <c r="K734" s="1713" t="n"/>
      <c r="L734" s="1713" t="n"/>
      <c r="M734" s="1713" t="n"/>
      <c r="N734" s="1713" t="n"/>
      <c r="O734" s="1713" t="n"/>
      <c r="P734" s="1713" t="n"/>
      <c r="Q734" s="1713" t="n"/>
      <c r="R734" s="1713" t="n"/>
      <c r="S734" s="1713" t="n"/>
      <c r="T734" s="1713" t="n"/>
      <c r="U734" s="1713" t="n"/>
      <c r="V734" s="1713" t="n"/>
      <c r="W734" s="1713" t="n"/>
      <c r="X734" s="1713">
        <f>IF(X463&lt;0,X463,0)</f>
        <v/>
      </c>
      <c r="Y734" s="1713">
        <f>IF(Y463&lt;0,Y463,0)</f>
        <v/>
      </c>
      <c r="Z734" s="1713">
        <f>IF(Z463&lt;0,Z463,0)</f>
        <v/>
      </c>
      <c r="AA734" s="1713">
        <f>IF(AA463&lt;0,AA463,0)</f>
        <v/>
      </c>
      <c r="AB734" s="1713">
        <f>IF(AB463&lt;0,AB463,0)</f>
        <v/>
      </c>
      <c r="AC734" s="1713">
        <f>IF(AC463&lt;0,AC463,0)</f>
        <v/>
      </c>
      <c r="AD734" s="1713">
        <f>IF(AD463&lt;0,AD463,0)</f>
        <v/>
      </c>
      <c r="AE734" s="1713">
        <f>IF(AE463&lt;0,AE463,0)</f>
        <v/>
      </c>
      <c r="AF734" s="1713">
        <f>IF(AF463&lt;0,AF463,0)</f>
        <v/>
      </c>
      <c r="AG734" s="1713">
        <f>IF(AG463&lt;0,AG463,0)</f>
        <v/>
      </c>
      <c r="AH734" s="1713">
        <f>IF(AH463&lt;0,AH463,0)</f>
        <v/>
      </c>
      <c r="AI734" s="1713">
        <f>IF(AI463&lt;0,AI463,0)</f>
        <v/>
      </c>
      <c r="AJ734" s="1713">
        <f>IF(AJ463&lt;0,AJ463,0)</f>
        <v/>
      </c>
      <c r="AK734" s="1714">
        <f>IF(AK463&lt;0,AK463,0)</f>
        <v/>
      </c>
      <c r="AL734" s="1713">
        <f>IF(AL463&lt;0,AL463,0)</f>
        <v/>
      </c>
      <c r="AM734" s="1713">
        <f>IF(AM463&lt;0,AM463,0)</f>
        <v/>
      </c>
      <c r="AN734" s="1713">
        <f>IF(AN463&lt;0,AN463,0)</f>
        <v/>
      </c>
      <c r="AO734" s="1713">
        <f>IF(AO463&lt;0,AO463,0)</f>
        <v/>
      </c>
      <c r="AP734" s="1713">
        <f>IF(AP463&lt;0,AP463,0)</f>
        <v/>
      </c>
      <c r="AQ734" s="1713">
        <f>IF(AQ463&lt;0,AQ463,0)</f>
        <v/>
      </c>
      <c r="AR734" s="1713">
        <f>IF(AR463&lt;0,AR463,0)</f>
        <v/>
      </c>
      <c r="AS734" s="1713">
        <f>IF(AS463&lt;0,AS463,0)</f>
        <v/>
      </c>
      <c r="AT734" s="1713">
        <f>IF(AT463&lt;0,AT463,0)</f>
        <v/>
      </c>
      <c r="AU734" s="1713">
        <f>IF(AU463&lt;0,AU463,0)</f>
        <v/>
      </c>
      <c r="AV734" s="1422" t="n"/>
    </row>
    <row r="735" ht="14.4" customFormat="1" customHeight="1" s="1418">
      <c r="A735" s="1422" t="inlineStr">
        <is>
          <t>Segmented Revenue = Revenue</t>
        </is>
      </c>
      <c r="B735" s="1470" t="n"/>
      <c r="C735" s="1713" t="n"/>
      <c r="D735" s="1713" t="n"/>
      <c r="E735" s="1713" t="n"/>
      <c r="F735" s="1713" t="n"/>
      <c r="G735" s="1713" t="n"/>
      <c r="H735" s="1713" t="n"/>
      <c r="I735" s="1713" t="n"/>
      <c r="J735" s="1713" t="n"/>
      <c r="K735" s="1713" t="n"/>
      <c r="L735" s="1713" t="n"/>
      <c r="M735" s="1713" t="n"/>
      <c r="N735" s="1713" t="n"/>
      <c r="O735" s="1713" t="n"/>
      <c r="P735" s="1713" t="n"/>
      <c r="Q735" s="1713" t="n"/>
      <c r="R735" s="1713" t="n"/>
      <c r="S735" s="1713" t="n"/>
      <c r="T735" s="1713" t="n"/>
      <c r="U735" s="1713" t="n"/>
      <c r="V735" s="1713" t="n"/>
      <c r="W735" s="1713" t="n"/>
      <c r="X735" s="1713">
        <f>IF(AND(ISBLANK(X280)),0,ROUND(X333-X7,6))</f>
        <v/>
      </c>
      <c r="Y735" s="1713">
        <f>IF(AND(ISBLANK(Y280)),0,ROUND(Y333-Y7,6))</f>
        <v/>
      </c>
      <c r="Z735" s="1713">
        <f>IF(AND(ISBLANK(Z280)),0,ROUND(Z333-Z7,6))</f>
        <v/>
      </c>
      <c r="AA735" s="1713">
        <f>IF(AND(ISBLANK(AA280)),0,ROUND(AA333-AA7,6))</f>
        <v/>
      </c>
      <c r="AB735" s="1713">
        <f>IF(AND(ISBLANK(AB280)),0,ROUND(AB333-AB7,6))</f>
        <v/>
      </c>
      <c r="AC735" s="1713">
        <f>IF(AND(ISBLANK(AC280)),0,ROUND(AC333-AC7,6))</f>
        <v/>
      </c>
      <c r="AD735" s="1713">
        <f>IF(AND(ISBLANK(AD280)),0,ROUND(AD333-AD7,6))</f>
        <v/>
      </c>
      <c r="AE735" s="1713">
        <f>IF(AND(ISBLANK(AE280)),0,ROUND(AE333-AE7,6))</f>
        <v/>
      </c>
      <c r="AF735" s="1713">
        <f>IF(AND(ISBLANK(AF280)),0,ROUND(AF333-AF7,6))</f>
        <v/>
      </c>
      <c r="AG735" s="1713">
        <f>IF(AND(ISBLANK(AG280)),0,ROUND(AG333-AG7,6))</f>
        <v/>
      </c>
      <c r="AH735" s="1713">
        <f>IF(AND(ISBLANK(AH280)),0,ROUND(AH333-AH7,6))</f>
        <v/>
      </c>
      <c r="AI735" s="1713">
        <f>IF(AND(ISBLANK(AI280)),0,ROUND(AI333-AI7,6))</f>
        <v/>
      </c>
      <c r="AJ735" s="1713">
        <f>IF(AND(ISBLANK(AJ280)),0,ROUND(AJ333-AJ7,6))</f>
        <v/>
      </c>
      <c r="AK735" s="1714">
        <f>IF(AND(ISBLANK(AK280)),0,ROUND(AK333-AK7,6))</f>
        <v/>
      </c>
      <c r="AL735" s="1713">
        <f>IF(AND(ISBLANK(AL280)),0,ROUND(AL333-AL7,6))</f>
        <v/>
      </c>
      <c r="AM735" s="1713">
        <f>IF(AND(ISBLANK(AM280)),0,ROUND(AM333-AM7,6))</f>
        <v/>
      </c>
      <c r="AN735" s="1713">
        <f>IF(AND(ISBLANK(AN280)),0,ROUND(AN333-AN7,6))</f>
        <v/>
      </c>
      <c r="AO735" s="1713">
        <f>IF(AND(ISBLANK(AO280)),0,ROUND(AO333-AO7,6))</f>
        <v/>
      </c>
      <c r="AP735" s="1713">
        <f>IF(AND(ISBLANK(AP280)),0,ROUND(AP333-AP7,6))</f>
        <v/>
      </c>
      <c r="AQ735" s="1713">
        <f>IF(AND(ISBLANK(AQ280)),0,ROUND(AQ333-AQ7,6))</f>
        <v/>
      </c>
      <c r="AR735" s="1713">
        <f>IF(AND(ISBLANK(AR280)),0,ROUND(AR333-AR7,6))</f>
        <v/>
      </c>
      <c r="AS735" s="1713">
        <f>IF(AND(ISBLANK(AS280)),0,ROUND(AS333-AS7,6))</f>
        <v/>
      </c>
      <c r="AT735" s="1713">
        <f>IF(AND(ISBLANK(AT280)),0,ROUND(AT333-AT7,6))</f>
        <v/>
      </c>
      <c r="AU735" s="1713">
        <f>IF(AND(ISBLANK(AU280)),0,ROUND(AU333-AU7,6))</f>
        <v/>
      </c>
      <c r="AV735" s="1422" t="n"/>
    </row>
    <row r="736" ht="14.4" customFormat="1" customHeight="1" s="1418">
      <c r="A736" s="1422" t="inlineStr">
        <is>
          <t>Cash Flow is not Repeated</t>
        </is>
      </c>
      <c r="B736" s="1470" t="n"/>
      <c r="C736" s="1713" t="n"/>
      <c r="D736" s="1713" t="n"/>
      <c r="E736" s="1713" t="n"/>
      <c r="F736" s="1713" t="n"/>
      <c r="G736" s="1713" t="n"/>
      <c r="H736" s="1713" t="n"/>
      <c r="I736" s="1713" t="n"/>
      <c r="J736" s="1713" t="n"/>
      <c r="K736" s="1713" t="n"/>
      <c r="L736" s="1713" t="n"/>
      <c r="M736" s="1713" t="n"/>
      <c r="N736" s="1713" t="n"/>
      <c r="O736" s="1713" t="n"/>
      <c r="P736" s="1713" t="n"/>
      <c r="Q736" s="1713" t="n"/>
      <c r="R736" s="1713" t="n"/>
      <c r="S736" s="1713" t="n"/>
      <c r="T736" s="1713" t="n"/>
      <c r="U736" s="1713" t="n"/>
      <c r="V736" s="1713" t="n"/>
      <c r="W736" s="1713" t="n"/>
      <c r="X736" s="1713">
        <f>IF(ISBLANK(INDEX(MO_IS_FirstRow,0,COLUMN())),0,IF(X622=S622,"CHECK",0))</f>
        <v/>
      </c>
      <c r="Y736" s="1713">
        <f>IF(ISBLANK(INDEX(MO_IS_FirstRow,0,COLUMN())),0,IF(OR(Y622=T622,Y622=Z622,Y622=W622),"CHECK",0))</f>
        <v/>
      </c>
      <c r="Z736" s="1713">
        <f>IF(ISBLANK(INDEX(MO_IS_FirstRow,0,COLUMN())),0,IF(OR(Z622=U622,Z622=AA622,Z622=Y622),"CHECK",0))</f>
        <v/>
      </c>
      <c r="AA736" s="1713">
        <f>IF(ISBLANK(INDEX(MO_IS_FirstRow,0,COLUMN())),0,IF(OR(AA622=V622,AA622=AB622,AA622=Z622),"CHECK",0))</f>
        <v/>
      </c>
      <c r="AB736" s="1713">
        <f>IF(ISBLANK(INDEX(MO_IS_FirstRow,0,COLUMN())),0,IF(OR(AB622=W622,AB622=AC622,AB622=AA622),"CHECK",0))</f>
        <v/>
      </c>
      <c r="AC736" s="1713">
        <f>IF(ISBLANK(INDEX(MO_IS_FirstRow,0,COLUMN())),0,IF(AC622=X622,"CHECK",0))</f>
        <v/>
      </c>
      <c r="AD736" s="1713">
        <f>IF(ISBLANK(INDEX(MO_IS_FirstRow,0,COLUMN())),0,IF(OR(AD622=Y622,AD622=AE622,AD622=AC622),"CHECK",0))</f>
        <v/>
      </c>
      <c r="AE736" s="1713">
        <f>IF(ISBLANK(INDEX(MO_IS_FirstRow,0,COLUMN())),0,IF(OR(AE622=Z622,AE622=AF622,AE622=AD622),"CHECK",0))</f>
        <v/>
      </c>
      <c r="AF736" s="1713">
        <f>IF(ISBLANK(INDEX(MO_IS_FirstRow,0,COLUMN())),0,IF(OR(AF622=AA622,AF622=AG622,AF622=AE622),"CHECK",0))</f>
        <v/>
      </c>
      <c r="AG736" s="1713">
        <f>IF(ISBLANK(INDEX(MO_IS_FirstRow,0,COLUMN())),0,IF(OR(AG622=AB622,AG622=AH622,AG622=AF622),"CHECK",0))</f>
        <v/>
      </c>
      <c r="AH736" s="1713">
        <f>IF(ISBLANK(INDEX(MO_IS_FirstRow,0,COLUMN())),0,IF(AH622=AC622,"CHECK",0))</f>
        <v/>
      </c>
      <c r="AI736" s="1713">
        <f>IF(ISBLANK(INDEX(MO_IS_FirstRow,0,COLUMN())),0,IF(OR(AI622=AD622,AI622=AJ622,AI622=AH622),"CHECK",0))</f>
        <v/>
      </c>
      <c r="AJ736" s="1713">
        <f>IF(ISBLANK(INDEX(MO_IS_FirstRow,0,COLUMN())),0,IF(OR(AJ622=AE622,AJ622=AK622,AJ622=AI622),"CHECK",0))</f>
        <v/>
      </c>
      <c r="AK736" s="1714">
        <f>IF(ISBLANK(INDEX(MO_IS_FirstRow,0,COLUMN())),0,IF(OR(AK622=AF622,AK622=AL622,AK622=AJ622),"CHECK",0))</f>
        <v/>
      </c>
      <c r="AL736" s="1713" t="n"/>
      <c r="AM736" s="1713" t="n"/>
      <c r="AN736" s="1713" t="n"/>
      <c r="AO736" s="1713" t="n"/>
      <c r="AP736" s="1713" t="n"/>
      <c r="AQ736" s="1713" t="n"/>
      <c r="AR736" s="1713" t="n"/>
      <c r="AS736" s="1713" t="n"/>
      <c r="AT736" s="1713" t="n"/>
      <c r="AU736" s="1713" t="n"/>
      <c r="AV736" s="1422" t="n"/>
    </row>
    <row r="737" ht="14.4" customFormat="1" customHeight="1" s="1418">
      <c r="A737" s="1422" t="inlineStr">
        <is>
          <t>Income Statement is not Repeated</t>
        </is>
      </c>
      <c r="B737" s="1470" t="n"/>
      <c r="C737" s="1713" t="n"/>
      <c r="D737" s="1713" t="n"/>
      <c r="E737" s="1713" t="n"/>
      <c r="F737" s="1713" t="n"/>
      <c r="G737" s="1713" t="n"/>
      <c r="H737" s="1713" t="n"/>
      <c r="I737" s="1713" t="n"/>
      <c r="J737" s="1713" t="n"/>
      <c r="K737" s="1713" t="n"/>
      <c r="L737" s="1713" t="n"/>
      <c r="M737" s="1713" t="n"/>
      <c r="N737" s="1713" t="n"/>
      <c r="O737" s="1713" t="n"/>
      <c r="P737" s="1713" t="n"/>
      <c r="Q737" s="1713" t="n"/>
      <c r="R737" s="1713" t="n"/>
      <c r="S737" s="1713" t="n"/>
      <c r="T737" s="1713" t="n"/>
      <c r="U737" s="1713" t="n"/>
      <c r="V737" s="1713" t="n"/>
      <c r="W737" s="1713" t="n"/>
      <c r="X737" s="1713">
        <f>IF(ISBLANK(INDEX(MO_IS_FirstRow,0,COLUMN())),0,IF(OR(X390=S390,X390=W390,X390=Y390),"CHECK",0))</f>
        <v/>
      </c>
      <c r="Y737" s="1713">
        <f>IF(ISBLANK(INDEX(MO_IS_FirstRow,0,COLUMN())),0,IF(OR(Y390=T390,Y390=X390,Y390=Z390),"CHECK",0))</f>
        <v/>
      </c>
      <c r="Z737" s="1713">
        <f>IF(ISBLANK(INDEX(MO_IS_FirstRow,0,COLUMN())),0,IF(OR(Z390=U390,Z390=Y390,Z390=AA390),"CHECK",0))</f>
        <v/>
      </c>
      <c r="AA737" s="1713">
        <f>IF(ISBLANK(INDEX(MO_IS_FirstRow,0,COLUMN())),0,IF(OR(AA390=V390,AA390=Z390,AA390=AB390),"CHECK",0))</f>
        <v/>
      </c>
      <c r="AB737" s="1713">
        <f>IF(ISBLANK(INDEX(MO_IS_FirstRow,0,COLUMN())),0,IF(OR(AB390=W390,AB390=AA390,AB390=AC390),"CHECK",0))</f>
        <v/>
      </c>
      <c r="AC737" s="1713">
        <f>IF(ISBLANK(INDEX(MO_IS_FirstRow,0,COLUMN())),0,IF(OR(AC390=X390,AC390=AB390,AC390=AD390),"CHECK",0))</f>
        <v/>
      </c>
      <c r="AD737" s="1713">
        <f>IF(ISBLANK(INDEX(MO_IS_FirstRow,0,COLUMN())),0,IF(OR(AD390=Y390,AD390=AC390,AD390=AE390),"CHECK",0))</f>
        <v/>
      </c>
      <c r="AE737" s="1713">
        <f>IF(ISBLANK(INDEX(MO_IS_FirstRow,0,COLUMN())),0,IF(OR(AE390=Z390,AE390=AD390,AE390=AF390),"CHECK",0))</f>
        <v/>
      </c>
      <c r="AF737" s="1713">
        <f>IF(ISBLANK(INDEX(MO_IS_FirstRow,0,COLUMN())),0,IF(OR(AF390=AA390,AF390=AE390,AF390=AG390),"CHECK",0))</f>
        <v/>
      </c>
      <c r="AG737" s="1713">
        <f>IF(ISBLANK(INDEX(MO_IS_FirstRow,0,COLUMN())),0,IF(OR(AG390=AB390,AG390=AF390,AG390=AH390),"CHECK",0))</f>
        <v/>
      </c>
      <c r="AH737" s="1713">
        <f>IF(ISBLANK(INDEX(MO_IS_FirstRow,0,COLUMN())),0,IF(OR(AH390=AC390,AH390=AG390,AH390=AI390),"CHECK",0))</f>
        <v/>
      </c>
      <c r="AI737" s="1713">
        <f>IF(ISBLANK(INDEX(MO_IS_FirstRow,0,COLUMN())),0,IF(OR(AI390=AD390,AI390=AH390,AI390=AJ390),"CHECK",0))</f>
        <v/>
      </c>
      <c r="AJ737" s="1713">
        <f>IF(ISBLANK(INDEX(MO_IS_FirstRow,0,COLUMN())),0,IF(OR(AJ390=AE390,AJ390=AI390,AJ390=AK390),"CHECK",0))</f>
        <v/>
      </c>
      <c r="AK737" s="1714">
        <f>IF(ISBLANK(INDEX(MO_IS_FirstRow,0,COLUMN())),0,IF(OR(AK390=AF390,AK390=AJ390,AK390=AL390),"CHECK",0))</f>
        <v/>
      </c>
      <c r="AL737" s="1713" t="n"/>
      <c r="AM737" s="1713" t="n"/>
      <c r="AN737" s="1713" t="n"/>
      <c r="AO737" s="1713" t="n"/>
      <c r="AP737" s="1713" t="n"/>
      <c r="AQ737" s="1713" t="n"/>
      <c r="AR737" s="1713" t="n"/>
      <c r="AS737" s="1713" t="n"/>
      <c r="AT737" s="1713" t="n"/>
      <c r="AU737" s="1713" t="n"/>
      <c r="AV737" s="1422" t="n"/>
    </row>
    <row r="738" ht="14.4" customFormat="1" customHeight="1" s="1418">
      <c r="A738" s="1422" t="inlineStr">
        <is>
          <t>Balance Sheet is not Repeated</t>
        </is>
      </c>
      <c r="B738" s="1470" t="n"/>
      <c r="C738" s="1713" t="n"/>
      <c r="D738" s="1713" t="n"/>
      <c r="E738" s="1713" t="n"/>
      <c r="F738" s="1713" t="n"/>
      <c r="G738" s="1713" t="n"/>
      <c r="H738" s="1713" t="n"/>
      <c r="I738" s="1713" t="n"/>
      <c r="J738" s="1713" t="n"/>
      <c r="K738" s="1713" t="n"/>
      <c r="L738" s="1713" t="n"/>
      <c r="M738" s="1713" t="n"/>
      <c r="N738" s="1713" t="n"/>
      <c r="O738" s="1713" t="n"/>
      <c r="P738" s="1713" t="n"/>
      <c r="Q738" s="1713" t="n"/>
      <c r="R738" s="1713" t="n"/>
      <c r="S738" s="1713" t="n"/>
      <c r="T738" s="1713" t="n"/>
      <c r="U738" s="1713" t="n"/>
      <c r="V738" s="1713" t="n"/>
      <c r="W738" s="1713" t="n"/>
      <c r="X738" s="1713">
        <f>IF(X692=S692,"CHECK",0)</f>
        <v/>
      </c>
      <c r="Y738" s="1713">
        <f>IF(OR(Y692=T692,Y692=Z692,Y692=W692),"CHECK",0)</f>
        <v/>
      </c>
      <c r="Z738" s="1713">
        <f>IF(OR(Z692=U692,Z692=AA692,Z692=Y692),"CHECK",0)</f>
        <v/>
      </c>
      <c r="AA738" s="1713">
        <f>IF(OR(AA692=V692,AA692=AB692,AA692=Z692),"CHECK",0)</f>
        <v/>
      </c>
      <c r="AB738" s="1713">
        <f>IF(OR(AB692=W692,AB692=AA692),"CHECK",0)</f>
        <v/>
      </c>
      <c r="AC738" s="1713">
        <f>IF(AC692=X692,"CHECK",0)</f>
        <v/>
      </c>
      <c r="AD738" s="1713">
        <f>IF(OR(AD692=Y692,AD692=AE692,AD692=AB692),"CHECK",0)</f>
        <v/>
      </c>
      <c r="AE738" s="1713">
        <f>IF(OR(AE692=Z692,AE692=AF692,AE692=AD692),"CHECK",0)</f>
        <v/>
      </c>
      <c r="AF738" s="1713">
        <f>IF(OR(AF692=AA692,AF692=AG692,AF692=AE692),"CHECK",0)</f>
        <v/>
      </c>
      <c r="AG738" s="1713">
        <f>IF(OR(AG692=AB692,AG692=AF692),"CHECK",0)</f>
        <v/>
      </c>
      <c r="AH738" s="1713">
        <f>IF(AH692=AC692,"CHECK",0)</f>
        <v/>
      </c>
      <c r="AI738" s="1713">
        <f>IF(OR(AI692=AD692,AI692=AJ692,AI692=AG692),"CHECK",0)</f>
        <v/>
      </c>
      <c r="AJ738" s="1713">
        <f>IF(OR(AJ692=AE692,AJ692=AK692,AJ692=AI692),"CHECK",0)</f>
        <v/>
      </c>
      <c r="AK738" s="1714">
        <f>IF(OR(AK692=AF692,AK692=AL692,AK692=AJ692),"CHECK",0)</f>
        <v/>
      </c>
      <c r="AL738" s="1713" t="n"/>
      <c r="AM738" s="1713" t="n"/>
      <c r="AN738" s="1713" t="n"/>
      <c r="AO738" s="1713" t="n"/>
      <c r="AP738" s="1713" t="n"/>
      <c r="AQ738" s="1713" t="n"/>
      <c r="AR738" s="1713" t="n"/>
      <c r="AS738" s="1713" t="n"/>
      <c r="AT738" s="1713" t="n"/>
      <c r="AU738" s="1713" t="n"/>
      <c r="AV738" s="1422" t="n"/>
    </row>
    <row r="739" ht="14.4" customFormat="1" customHeight="1" s="1418">
      <c r="A739" s="1422" t="inlineStr">
        <is>
          <t>Ending CF = Ending Cumulative CF</t>
        </is>
      </c>
      <c r="B739" s="1470" t="n"/>
      <c r="C739" s="1713" t="n"/>
      <c r="D739" s="1713" t="n"/>
      <c r="E739" s="1713" t="n"/>
      <c r="F739" s="1713" t="n"/>
      <c r="G739" s="1713" t="n"/>
      <c r="H739" s="1713" t="n"/>
      <c r="I739" s="1713" t="n"/>
      <c r="J739" s="1713" t="n"/>
      <c r="K739" s="1713" t="n"/>
      <c r="L739" s="1713" t="n"/>
      <c r="M739" s="1713" t="n"/>
      <c r="N739" s="1713" t="n"/>
      <c r="O739" s="1713" t="n"/>
      <c r="P739" s="1713" t="n"/>
      <c r="Q739" s="1713" t="n"/>
      <c r="R739" s="1713" t="n"/>
      <c r="S739" s="1713" t="n"/>
      <c r="T739" s="1713" t="n"/>
      <c r="U739" s="1713" t="n"/>
      <c r="V739" s="1713" t="n"/>
      <c r="W739" s="1713" t="n"/>
      <c r="X739" s="1713">
        <f>IF(ISBLANK(INDEX(MO_IS_FirstRow,0,COLUMN())),0,ROUND(X625-X561,6))</f>
        <v/>
      </c>
      <c r="Y739" s="1713">
        <f>IF(ISBLANK(INDEX(MO_IS_FirstRow,0,COLUMN())),0,ROUND(Y625-Y561,6))</f>
        <v/>
      </c>
      <c r="Z739" s="1713">
        <f>IF(ISBLANK(INDEX(MO_IS_FirstRow,0,COLUMN())),0,ROUND(Z625-Z561,6))</f>
        <v/>
      </c>
      <c r="AA739" s="1713">
        <f>IF(ISBLANK(INDEX(MO_IS_FirstRow,0,COLUMN())),0,ROUND(AA625-AA561,6))</f>
        <v/>
      </c>
      <c r="AB739" s="1713">
        <f>IF(ISBLANK(INDEX(MO_IS_FirstRow,0,COLUMN())),0,ROUND(AB625-AB561,6))</f>
        <v/>
      </c>
      <c r="AC739" s="1713">
        <f>IF(ISBLANK(INDEX(MO_IS_FirstRow,0,COLUMN())),0,ROUND(AC625-AC561,6))</f>
        <v/>
      </c>
      <c r="AD739" s="1713">
        <f>IF(ISBLANK(INDEX(MO_IS_FirstRow,0,COLUMN())),0,ROUND(AD625-AD561,6))</f>
        <v/>
      </c>
      <c r="AE739" s="1713">
        <f>IF(ISBLANK(INDEX(MO_IS_FirstRow,0,COLUMN())),0,ROUND(AE625-AE561,6))</f>
        <v/>
      </c>
      <c r="AF739" s="1713">
        <f>IF(ISBLANK(INDEX(MO_IS_FirstRow,0,COLUMN())),0,ROUND(AF625-AF561,6))</f>
        <v/>
      </c>
      <c r="AG739" s="1713">
        <f>IF(ISBLANK(INDEX(MO_IS_FirstRow,0,COLUMN())),0,ROUND(AG625-AG561,6))</f>
        <v/>
      </c>
      <c r="AH739" s="1713">
        <f>IF(ISBLANK(INDEX(MO_IS_FirstRow,0,COLUMN())),0,ROUND(AH625-AH561,6))</f>
        <v/>
      </c>
      <c r="AI739" s="1713">
        <f>IF(ISBLANK(INDEX(MO_IS_FirstRow,0,COLUMN())),0,ROUND(AI625-AI561,6))</f>
        <v/>
      </c>
      <c r="AJ739" s="1713">
        <f>IF(ISBLANK(INDEX(MO_IS_FirstRow,0,COLUMN())),0,ROUND(AJ625-AJ561,6))</f>
        <v/>
      </c>
      <c r="AK739" s="1714">
        <f>IF(ISBLANK(INDEX(MO_IS_FirstRow,0,COLUMN())),0,ROUND(AK625-AK561,6))</f>
        <v/>
      </c>
      <c r="AL739" s="1713">
        <f>IF(ISBLANK(INDEX(MO_IS_FirstRow,0,COLUMN())),0,ROUND(AL625-AL561,6))</f>
        <v/>
      </c>
      <c r="AM739" s="1713">
        <f>IF(ISBLANK(INDEX(MO_IS_FirstRow,0,COLUMN())),0,ROUND(AM625-AM561,6))</f>
        <v/>
      </c>
      <c r="AN739" s="1713">
        <f>IF(ISBLANK(INDEX(MO_IS_FirstRow,0,COLUMN())),0,ROUND(AN625-AN561,6))</f>
        <v/>
      </c>
      <c r="AO739" s="1713">
        <f>IF(ISBLANK(INDEX(MO_IS_FirstRow,0,COLUMN())),0,ROUND(AO625-AO561,6))</f>
        <v/>
      </c>
      <c r="AP739" s="1713">
        <f>IF(ISBLANK(INDEX(MO_IS_FirstRow,0,COLUMN())),0,ROUND(AP625-AP561,6))</f>
        <v/>
      </c>
      <c r="AQ739" s="1713">
        <f>IF(ISBLANK(INDEX(MO_IS_FirstRow,0,COLUMN())),0,ROUND(AQ625-AQ561,6))</f>
        <v/>
      </c>
      <c r="AR739" s="1713">
        <f>IF(ISBLANK(INDEX(MO_IS_FirstRow,0,COLUMN())),0,ROUND(AR625-AR561,6))</f>
        <v/>
      </c>
      <c r="AS739" s="1713">
        <f>IF(ISBLANK(INDEX(MO_IS_FirstRow,0,COLUMN())),0,ROUND(AS625-AS561,6))</f>
        <v/>
      </c>
      <c r="AT739" s="1713">
        <f>IF(ISBLANK(INDEX(MO_IS_FirstRow,0,COLUMN())),0,ROUND(AT625-AT561,6))</f>
        <v/>
      </c>
      <c r="AU739" s="1713">
        <f>IF(ISBLANK(INDEX(MO_IS_FirstRow,0,COLUMN())),0,ROUND(AU625-AU561,6))</f>
        <v/>
      </c>
      <c r="AV739" s="1422" t="n"/>
    </row>
    <row r="740" ht="14.4" customFormat="1" customHeight="1" s="1418">
      <c r="A740" s="1422" t="inlineStr">
        <is>
          <t>Capex is Updated</t>
        </is>
      </c>
      <c r="B740" s="1470" t="n"/>
      <c r="C740" s="1713" t="n"/>
      <c r="D740" s="1713" t="n"/>
      <c r="E740" s="1713" t="n"/>
      <c r="F740" s="1713" t="n"/>
      <c r="G740" s="1713" t="n"/>
      <c r="H740" s="1713" t="n"/>
      <c r="I740" s="1713" t="n"/>
      <c r="J740" s="1713" t="n"/>
      <c r="K740" s="1713" t="n"/>
      <c r="L740" s="1713" t="n"/>
      <c r="M740" s="1713" t="n"/>
      <c r="N740" s="1713" t="n"/>
      <c r="O740" s="1713" t="n"/>
      <c r="P740" s="1713" t="n"/>
      <c r="Q740" s="1713" t="n"/>
      <c r="R740" s="1713" t="n"/>
      <c r="S740" s="1713" t="n"/>
      <c r="T740" s="1713" t="n"/>
      <c r="U740" s="1713" t="n"/>
      <c r="V740" s="1713" t="n"/>
      <c r="W740" s="1713" t="n"/>
      <c r="X740" s="1713">
        <f>ROUND(INDEX(MO_CFSum_Capex,0,COLUMN())-X591,6)</f>
        <v/>
      </c>
      <c r="Y740" s="1713">
        <f>ROUND(INDEX(MO_CFSum_Capex,0,COLUMN())-Y591,6)</f>
        <v/>
      </c>
      <c r="Z740" s="1713">
        <f>ROUND(INDEX(MO_CFSum_Capex,0,COLUMN())-Z591,6)</f>
        <v/>
      </c>
      <c r="AA740" s="1713">
        <f>ROUND(INDEX(MO_CFSum_Capex,0,COLUMN())-AA591,6)</f>
        <v/>
      </c>
      <c r="AB740" s="1713">
        <f>ROUND(INDEX(MO_CFSum_Capex,0,COLUMN())-AB591,6)</f>
        <v/>
      </c>
      <c r="AC740" s="1713">
        <f>ROUND(INDEX(MO_CFSum_Capex,0,COLUMN())-AC591,6)</f>
        <v/>
      </c>
      <c r="AD740" s="1713">
        <f>ROUND(INDEX(MO_CFSum_Capex,0,COLUMN())-AD591,6)</f>
        <v/>
      </c>
      <c r="AE740" s="1713">
        <f>ROUND(INDEX(MO_CFSum_Capex,0,COLUMN())-AE591,6)</f>
        <v/>
      </c>
      <c r="AF740" s="1713">
        <f>ROUND(INDEX(MO_CFSum_Capex,0,COLUMN())-AF591,6)</f>
        <v/>
      </c>
      <c r="AG740" s="1713">
        <f>ROUND(INDEX(MO_CFSum_Capex,0,COLUMN())-AG591,6)</f>
        <v/>
      </c>
      <c r="AH740" s="1713">
        <f>ROUND(INDEX(MO_CFSum_Capex,0,COLUMN())-AH591,6)</f>
        <v/>
      </c>
      <c r="AI740" s="1713">
        <f>ROUND(INDEX(MO_CFSum_Capex,0,COLUMN())-AI591,6)</f>
        <v/>
      </c>
      <c r="AJ740" s="1713">
        <f>ROUND(INDEX(MO_CFSum_Capex,0,COLUMN())-AJ591,6)</f>
        <v/>
      </c>
      <c r="AK740" s="1714">
        <f>ROUND(INDEX(MO_CFSum_Capex,0,COLUMN())-AK591,6)</f>
        <v/>
      </c>
      <c r="AL740" s="1713">
        <f>ROUND(INDEX(MO_CFSum_Capex,0,COLUMN())-AL591,6)</f>
        <v/>
      </c>
      <c r="AM740" s="1713">
        <f>ROUND(INDEX(MO_CFSum_Capex,0,COLUMN())-AM591,6)</f>
        <v/>
      </c>
      <c r="AN740" s="1713">
        <f>ROUND(INDEX(MO_CFSum_Capex,0,COLUMN())-AN591,6)</f>
        <v/>
      </c>
      <c r="AO740" s="1713">
        <f>ROUND(INDEX(MO_CFSum_Capex,0,COLUMN())-AO591,6)</f>
        <v/>
      </c>
      <c r="AP740" s="1713">
        <f>ROUND(INDEX(MO_CFSum_Capex,0,COLUMN())-AP591,6)</f>
        <v/>
      </c>
      <c r="AQ740" s="1713">
        <f>ROUND(INDEX(MO_CFSum_Capex,0,COLUMN())-AQ591,6)</f>
        <v/>
      </c>
      <c r="AR740" s="1713">
        <f>ROUND(INDEX(MO_CFSum_Capex,0,COLUMN())-AR591,6)</f>
        <v/>
      </c>
      <c r="AS740" s="1713">
        <f>ROUND(INDEX(MO_CFSum_Capex,0,COLUMN())-AS591,6)</f>
        <v/>
      </c>
      <c r="AT740" s="1713">
        <f>ROUND(INDEX(MO_CFSum_Capex,0,COLUMN())-AT591,6)</f>
        <v/>
      </c>
      <c r="AU740" s="1713">
        <f>ROUND(INDEX(MO_CFSum_Capex,0,COLUMN())-AU591,6)</f>
        <v/>
      </c>
      <c r="AV740" s="1422" t="n"/>
    </row>
    <row r="741" ht="14.4" customFormat="1" customHeight="1" s="1418">
      <c r="A741" s="1422" t="inlineStr">
        <is>
          <t>Margin is Updated</t>
        </is>
      </c>
      <c r="B741" s="1470" t="n"/>
      <c r="C741" s="1713" t="n"/>
      <c r="D741" s="1713" t="n"/>
      <c r="E741" s="1713" t="n"/>
      <c r="F741" s="1713" t="n"/>
      <c r="G741" s="1713" t="n"/>
      <c r="H741" s="1713" t="n"/>
      <c r="I741" s="1713" t="n"/>
      <c r="J741" s="1713" t="n"/>
      <c r="K741" s="1713" t="n"/>
      <c r="L741" s="1713" t="n"/>
      <c r="M741" s="1713" t="n"/>
      <c r="N741" s="1713" t="n"/>
      <c r="O741" s="1713" t="n"/>
      <c r="P741" s="1713" t="n"/>
      <c r="Q741" s="1713" t="n"/>
      <c r="R741" s="1713" t="n"/>
      <c r="S741" s="1713" t="n"/>
      <c r="T741" s="1713" t="n"/>
      <c r="U741" s="1713" t="n"/>
      <c r="V741" s="1713" t="n"/>
      <c r="W741" s="1713" t="n"/>
      <c r="X741" s="1713">
        <f>IF(ISBLANK(INDEX(MO_IS_FirstRow,0,COLUMN())),0,IF(MOD(X274*1000000,1)=0,"Check",0))</f>
        <v/>
      </c>
      <c r="Y741" s="1713">
        <f>IF(ISBLANK(INDEX(MO_IS_FirstRow,0,COLUMN())),0,IF(MOD(Y274*1000000,1)=0,"Check",0))</f>
        <v/>
      </c>
      <c r="Z741" s="1713">
        <f>IF(ISBLANK(INDEX(MO_IS_FirstRow,0,COLUMN())),0,IF(MOD(Z274*1000000,1)=0,"Check",0))</f>
        <v/>
      </c>
      <c r="AA741" s="1713">
        <f>IF(ISBLANK(INDEX(MO_IS_FirstRow,0,COLUMN())),0,IF(MOD(AA274*1000000,1)=0,"Check",0))</f>
        <v/>
      </c>
      <c r="AB741" s="1713">
        <f>IF(ISBLANK(INDEX(MO_IS_FirstRow,0,COLUMN())),0,IF(MOD(AB274*1000000,1)=0,"Check",0))</f>
        <v/>
      </c>
      <c r="AC741" s="1713">
        <f>IF(ISBLANK(INDEX(MO_IS_FirstRow,0,COLUMN())),0,IF(MOD(AC274*1000000,1)=0,"Check",0))</f>
        <v/>
      </c>
      <c r="AD741" s="1713">
        <f>IF(ISBLANK(INDEX(MO_IS_FirstRow,0,COLUMN())),0,IF(MOD(AD274*1000000,1)=0,"Check",0))</f>
        <v/>
      </c>
      <c r="AE741" s="1713">
        <f>IF(ISBLANK(INDEX(MO_IS_FirstRow,0,COLUMN())),0,IF(MOD(AE274*1000000,1)=0,"Check",0))</f>
        <v/>
      </c>
      <c r="AF741" s="1713">
        <f>IF(ISBLANK(INDEX(MO_IS_FirstRow,0,COLUMN())),0,IF(MOD(AF274*1000000,1)=0,"Check",0))</f>
        <v/>
      </c>
      <c r="AG741" s="1713">
        <f>IF(ISBLANK(INDEX(MO_IS_FirstRow,0,COLUMN())),0,IF(MOD(AG274*1000000,1)=0,"Check",0))</f>
        <v/>
      </c>
      <c r="AH741" s="1713">
        <f>IF(ISBLANK(INDEX(MO_IS_FirstRow,0,COLUMN())),0,IF(MOD(AH274*1000000,1)=0,"Check",0))</f>
        <v/>
      </c>
      <c r="AI741" s="1713">
        <f>IF(ISBLANK(INDEX(MO_IS_FirstRow,0,COLUMN())),0,IF(MOD(AI274*1000000,1)=0,"Check",0))</f>
        <v/>
      </c>
      <c r="AJ741" s="1713">
        <f>IF(ISBLANK(INDEX(MO_IS_FirstRow,0,COLUMN())),0,IF(MOD(AJ274*1000000,1)=0,"Check",0))</f>
        <v/>
      </c>
      <c r="AK741" s="1714">
        <f>IF(ISBLANK(INDEX(MO_IS_FirstRow,0,COLUMN())),0,IF(MOD(AK274*1000000,1)=0,"Check",0))</f>
        <v/>
      </c>
      <c r="AL741" s="1713">
        <f>IF(ISBLANK(INDEX(MO_IS_FirstRow,0,COLUMN())),0,IF(MOD(AL274*1000000,1)=0,"Check",0))</f>
        <v/>
      </c>
      <c r="AM741" s="1713">
        <f>IF(ISBLANK(INDEX(MO_IS_FirstRow,0,COLUMN())),0,IF(MOD(AM274*1000000,1)=0,"Check",0))</f>
        <v/>
      </c>
      <c r="AN741" s="1713">
        <f>IF(ISBLANK(INDEX(MO_IS_FirstRow,0,COLUMN())),0,IF(MOD(AN274*1000000,1)=0,"Check",0))</f>
        <v/>
      </c>
      <c r="AO741" s="1713">
        <f>IF(ISBLANK(INDEX(MO_IS_FirstRow,0,COLUMN())),0,IF(MOD(AO274*1000000,1)=0,"Check",0))</f>
        <v/>
      </c>
      <c r="AP741" s="1713">
        <f>IF(ISBLANK(INDEX(MO_IS_FirstRow,0,COLUMN())),0,IF(MOD(AP274*1000000,1)=0,"Check",0))</f>
        <v/>
      </c>
      <c r="AQ741" s="1713">
        <f>IF(ISBLANK(INDEX(MO_IS_FirstRow,0,COLUMN())),0,IF(MOD(AQ274*1000000,1)=0,"Check",0))</f>
        <v/>
      </c>
      <c r="AR741" s="1713">
        <f>IF(ISBLANK(INDEX(MO_IS_FirstRow,0,COLUMN())),0,IF(MOD(AR274*1000000,1)=0,"Check",0))</f>
        <v/>
      </c>
      <c r="AS741" s="1713">
        <f>IF(ISBLANK(INDEX(MO_IS_FirstRow,0,COLUMN())),0,IF(MOD(AS274*1000000,1)=0,"Check",0))</f>
        <v/>
      </c>
      <c r="AT741" s="1713">
        <f>IF(ISBLANK(INDEX(MO_IS_FirstRow,0,COLUMN())),0,IF(MOD(AT274*1000000,1)=0,"Check",0))</f>
        <v/>
      </c>
      <c r="AU741" s="1713">
        <f>IF(ISBLANK(INDEX(MO_IS_FirstRow,0,COLUMN())),0,IF(MOD(AU274*1000000,1)=0,"Check",0))</f>
        <v/>
      </c>
      <c r="AV741" s="1422" t="n"/>
    </row>
    <row r="742" ht="14.4" customFormat="1" customHeight="1" s="1418">
      <c r="A742" s="1422" t="inlineStr">
        <is>
          <t>Adjusted EBITDA OEF = RIS</t>
        </is>
      </c>
      <c r="B742" s="1470" t="n"/>
      <c r="C742" s="1713" t="n"/>
      <c r="D742" s="1713" t="n"/>
      <c r="E742" s="1713" t="n"/>
      <c r="F742" s="1713" t="n"/>
      <c r="G742" s="1713" t="n"/>
      <c r="H742" s="1713" t="n"/>
      <c r="I742" s="1713" t="n"/>
      <c r="J742" s="1713" t="n"/>
      <c r="K742" s="1713" t="n"/>
      <c r="L742" s="1713" t="n"/>
      <c r="M742" s="1713" t="n"/>
      <c r="N742" s="1713" t="n"/>
      <c r="O742" s="1713" t="n"/>
      <c r="P742" s="1713" t="n"/>
      <c r="Q742" s="1713" t="n"/>
      <c r="R742" s="1713" t="n"/>
      <c r="S742" s="1713" t="n"/>
      <c r="T742" s="1713" t="n"/>
      <c r="U742" s="1713" t="n"/>
      <c r="V742" s="1713" t="n"/>
      <c r="W742" s="1713" t="n"/>
      <c r="X742" s="1713">
        <f>ROUND(X364-X113,6)</f>
        <v/>
      </c>
      <c r="Y742" s="1713" t="n"/>
      <c r="Z742" s="1713" t="n"/>
      <c r="AA742" s="1713" t="n"/>
      <c r="AB742" s="1713" t="n"/>
      <c r="AC742" s="1713">
        <f>ROUND(AC364-AC113,6)</f>
        <v/>
      </c>
      <c r="AD742" s="1713">
        <f>ROUND(AD364-AD113,6)</f>
        <v/>
      </c>
      <c r="AE742" s="1713">
        <f>ROUND(AE364-AE113,6)</f>
        <v/>
      </c>
      <c r="AF742" s="1713">
        <f>ROUND(AF364-AF113,6)</f>
        <v/>
      </c>
      <c r="AG742" s="1713">
        <f>ROUND(AG364-AG113,6)</f>
        <v/>
      </c>
      <c r="AH742" s="1713">
        <f>ROUND(AH364-AH113,6)</f>
        <v/>
      </c>
      <c r="AI742" s="1713">
        <f>ROUND(AI364-AI113,6)</f>
        <v/>
      </c>
      <c r="AJ742" s="1713">
        <f>ROUND(AJ364-AJ113,6)</f>
        <v/>
      </c>
      <c r="AK742" s="1714">
        <f>ROUND(AK364-AK113,6)</f>
        <v/>
      </c>
      <c r="AL742" s="1713">
        <f>ROUND(AL364-AL113,6)</f>
        <v/>
      </c>
      <c r="AM742" s="1713">
        <f>ROUND(AM364-AM113,6)</f>
        <v/>
      </c>
      <c r="AN742" s="1713">
        <f>ROUND(AN364-AN113,6)</f>
        <v/>
      </c>
      <c r="AO742" s="1713">
        <f>ROUND(AO364-AO113,6)</f>
        <v/>
      </c>
      <c r="AP742" s="1713">
        <f>ROUND(AP364-AP113,6)</f>
        <v/>
      </c>
      <c r="AQ742" s="1713">
        <f>ROUND(AQ364-AQ113,6)</f>
        <v/>
      </c>
      <c r="AR742" s="1713">
        <f>ROUND(AR364-AR113,6)</f>
        <v/>
      </c>
      <c r="AS742" s="1713">
        <f>ROUND(AS364-AS113,6)</f>
        <v/>
      </c>
      <c r="AT742" s="1713">
        <f>ROUND(AT364-AT113,6)</f>
        <v/>
      </c>
      <c r="AU742" s="1713">
        <f>ROUND(AU364-AU113,6)</f>
        <v/>
      </c>
      <c r="AV742" s="1422" t="n"/>
    </row>
    <row r="743" ht="14.4" customFormat="1" customHeight="1" s="1418">
      <c r="A743" s="1422" t="inlineStr">
        <is>
          <t>Adjusted Numbers FY = Sum of Qs</t>
        </is>
      </c>
      <c r="B743" s="1470" t="n"/>
      <c r="C743" s="1713" t="n"/>
      <c r="D743" s="1713" t="n"/>
      <c r="E743" s="1713" t="n"/>
      <c r="F743" s="1713" t="n"/>
      <c r="G743" s="1713" t="n"/>
      <c r="H743" s="1713" t="n"/>
      <c r="I743" s="1713" t="n"/>
      <c r="J743" s="1713" t="n"/>
      <c r="K743" s="1713" t="n"/>
      <c r="L743" s="1713" t="n"/>
      <c r="M743" s="1713" t="n"/>
      <c r="N743" s="1713" t="n"/>
      <c r="O743" s="1713" t="n"/>
      <c r="P743" s="1713" t="n"/>
      <c r="Q743" s="1713" t="n"/>
      <c r="R743" s="1713" t="n"/>
      <c r="S743" s="1713" t="n"/>
      <c r="T743" s="1713" t="n"/>
      <c r="U743" s="1713" t="n"/>
      <c r="V743" s="1713" t="n"/>
      <c r="W743" s="1713" t="n"/>
      <c r="X743" s="1713">
        <f>IF(ISBLANK(INDEX(MO_IS_FirstRow,0,COLUMN())),0,ROUND(X326-SUM(T326,U326,V326,W326),6)+ROUND(X316-SUM(T316,U316,V316,W316),6))</f>
        <v/>
      </c>
      <c r="Y743" s="1713" t="n"/>
      <c r="Z743" s="1713" t="n"/>
      <c r="AA743" s="1713" t="n"/>
      <c r="AB743" s="1713" t="n"/>
      <c r="AC743" s="1713">
        <f>IF(ISBLANK(INDEX(MO_IS_FirstRow,0,COLUMN())),0,ROUND(AC326-SUM(Y326,Z326,AA326,AB326),6)+ROUND(AC316-SUM(Y316,Z316,AA316,AB316),6))</f>
        <v/>
      </c>
      <c r="AD743" s="1713" t="n"/>
      <c r="AE743" s="1713" t="n"/>
      <c r="AF743" s="1713" t="n"/>
      <c r="AG743" s="1713" t="n"/>
      <c r="AH743" s="1713">
        <f>IF(ISBLANK(INDEX(MO_IS_FirstRow,0,COLUMN())),0,ROUND(AH326-SUM(AD326,AE326,AF326,AG326),6)+ROUND(AH316-SUM(AD316,AE316,AF316,AG316),6))</f>
        <v/>
      </c>
      <c r="AI743" s="1713" t="n"/>
      <c r="AJ743" s="1713" t="n"/>
      <c r="AK743" s="1714" t="n"/>
      <c r="AL743" s="1713" t="n"/>
      <c r="AM743" s="1713" t="n"/>
      <c r="AN743" s="1713" t="n"/>
      <c r="AO743" s="1713" t="n"/>
      <c r="AP743" s="1713" t="n"/>
      <c r="AQ743" s="1713" t="n"/>
      <c r="AR743" s="1713" t="n"/>
      <c r="AS743" s="1713" t="n"/>
      <c r="AT743" s="1713" t="n"/>
      <c r="AU743" s="1713" t="n"/>
      <c r="AV743" s="1422" t="n"/>
    </row>
    <row r="744" ht="14.4" customFormat="1" customHeight="1" s="1418">
      <c r="A744" s="1422" t="inlineStr">
        <is>
          <t>*Margin adds up to 100%</t>
        </is>
      </c>
      <c r="B744" s="1470" t="n"/>
      <c r="C744" s="1713" t="n"/>
      <c r="D744" s="1713" t="n"/>
      <c r="E744" s="1713" t="n"/>
      <c r="F744" s="1713" t="n"/>
      <c r="G744" s="1713" t="n"/>
      <c r="H744" s="1713" t="n"/>
      <c r="I744" s="1713" t="n"/>
      <c r="J744" s="1713" t="n"/>
      <c r="K744" s="1713" t="n"/>
      <c r="L744" s="1713" t="n"/>
      <c r="M744" s="1713" t="n"/>
      <c r="N744" s="1713" t="n"/>
      <c r="O744" s="1713" t="n"/>
      <c r="P744" s="1713" t="n"/>
      <c r="Q744" s="1713" t="n"/>
      <c r="R744" s="1713" t="n"/>
      <c r="S744" s="1713" t="n"/>
      <c r="T744" s="1713" t="n"/>
      <c r="U744" s="1713" t="n"/>
      <c r="V744" s="1713" t="n"/>
      <c r="W744" s="1713" t="n"/>
      <c r="X744" s="1713">
        <f>ROUND(1-INDEX(MO_MA_COGS_NONGAAP,0,COLUMN())-INDEX(MO_MA_SM_NONGAAP,0,COLUMN())-INDEX(MO_MA_GA_NONGAAP,0,COLUMN())-INDEX(MO_MA_RD_NONGAAP,0,COLUMN())-INDEX(MO_MA_OperatingIncome_NONGAAP,0,COLUMN()),6)</f>
        <v/>
      </c>
      <c r="Y744" s="1713" t="n"/>
      <c r="Z744" s="1713" t="n"/>
      <c r="AA744" s="1713" t="n"/>
      <c r="AB744" s="1713" t="n"/>
      <c r="AC744" s="1713">
        <f>ROUND(1-INDEX(MO_MA_COGS_NONGAAP,0,COLUMN())-INDEX(MO_MA_SM_NONGAAP,0,COLUMN())-INDEX(MO_MA_GA_NONGAAP,0,COLUMN())-INDEX(MO_MA_RD_NONGAAP,0,COLUMN())-INDEX(MO_MA_OperatingIncome_NONGAAP,0,COLUMN()),6)</f>
        <v/>
      </c>
      <c r="AD744" s="1713">
        <f>ROUND(1-INDEX(MO_MA_COGS_NONGAAP,0,COLUMN())-INDEX(MO_MA_SM_NONGAAP,0,COLUMN())-INDEX(MO_MA_GA_NONGAAP,0,COLUMN())-INDEX(MO_MA_RD_NONGAAP,0,COLUMN())-INDEX(MO_MA_OperatingIncome_NONGAAP,0,COLUMN()),6)</f>
        <v/>
      </c>
      <c r="AE744" s="1713">
        <f>ROUND(1-INDEX(MO_MA_COGS_NONGAAP,0,COLUMN())-INDEX(MO_MA_SM_NONGAAP,0,COLUMN())-INDEX(MO_MA_GA_NONGAAP,0,COLUMN())-INDEX(MO_MA_RD_NONGAAP,0,COLUMN())-INDEX(MO_MA_OperatingIncome_NONGAAP,0,COLUMN()),6)</f>
        <v/>
      </c>
      <c r="AF744" s="1713">
        <f>ROUND(1-INDEX(MO_MA_COGS_NONGAAP,0,COLUMN())-INDEX(MO_MA_SM_NONGAAP,0,COLUMN())-INDEX(MO_MA_GA_NONGAAP,0,COLUMN())-INDEX(MO_MA_RD_NONGAAP,0,COLUMN())-INDEX(MO_MA_OperatingIncome_NONGAAP,0,COLUMN()),6)</f>
        <v/>
      </c>
      <c r="AG744" s="1713">
        <f>ROUND(1-INDEX(MO_MA_COGS_NONGAAP,0,COLUMN())-INDEX(MO_MA_SM_NONGAAP,0,COLUMN())-INDEX(MO_MA_GA_NONGAAP,0,COLUMN())-INDEX(MO_MA_RD_NONGAAP,0,COLUMN())-INDEX(MO_MA_OperatingIncome_NONGAAP,0,COLUMN()),6)</f>
        <v/>
      </c>
      <c r="AH744" s="1713">
        <f>ROUND(1-INDEX(MO_MA_COGS_NONGAAP,0,COLUMN())-INDEX(MO_MA_SM_NONGAAP,0,COLUMN())-INDEX(MO_MA_GA_NONGAAP,0,COLUMN())-INDEX(MO_MA_RD_NONGAAP,0,COLUMN())-INDEX(MO_MA_OperatingIncome_NONGAAP,0,COLUMN()),6)</f>
        <v/>
      </c>
      <c r="AI744" s="1713">
        <f>ROUND(1-INDEX(MO_MA_COGS_NONGAAP,0,COLUMN())-INDEX(MO_MA_SM_NONGAAP,0,COLUMN())-INDEX(MO_MA_GA_NONGAAP,0,COLUMN())-INDEX(MO_MA_RD_NONGAAP,0,COLUMN())-INDEX(MO_MA_OperatingIncome_NONGAAP,0,COLUMN()),6)</f>
        <v/>
      </c>
      <c r="AJ744" s="1713">
        <f>ROUND(1-INDEX(MO_MA_COGS_NONGAAP,0,COLUMN())-INDEX(MO_MA_SM_NONGAAP,0,COLUMN())-INDEX(MO_MA_GA_NONGAAP,0,COLUMN())-INDEX(MO_MA_RD_NONGAAP,0,COLUMN())-INDEX(MO_MA_OperatingIncome_NONGAAP,0,COLUMN()),6)</f>
        <v/>
      </c>
      <c r="AK744" s="1714">
        <f>ROUND(1-INDEX(MO_MA_COGS_NONGAAP,0,COLUMN())-INDEX(MO_MA_SM_NONGAAP,0,COLUMN())-INDEX(MO_MA_GA_NONGAAP,0,COLUMN())-INDEX(MO_MA_RD_NONGAAP,0,COLUMN())-INDEX(MO_MA_OperatingIncome_NONGAAP,0,COLUMN()),6)</f>
        <v/>
      </c>
      <c r="AL744" s="1713">
        <f>ROUND(1-INDEX(MO_MA_COGS_NONGAAP,0,COLUMN())-INDEX(MO_MA_SM_NONGAAP,0,COLUMN())-INDEX(MO_MA_GA_NONGAAP,0,COLUMN())-INDEX(MO_MA_RD_NONGAAP,0,COLUMN())-INDEX(MO_MA_OperatingIncome_NONGAAP,0,COLUMN()),6)</f>
        <v/>
      </c>
      <c r="AM744" s="1713">
        <f>ROUND(1-INDEX(MO_MA_COGS_NONGAAP,0,COLUMN())-INDEX(MO_MA_SM_NONGAAP,0,COLUMN())-INDEX(MO_MA_GA_NONGAAP,0,COLUMN())-INDEX(MO_MA_RD_NONGAAP,0,COLUMN())-INDEX(MO_MA_OperatingIncome_NONGAAP,0,COLUMN()),6)</f>
        <v/>
      </c>
      <c r="AN744" s="1713">
        <f>ROUND(1-INDEX(MO_MA_COGS_NONGAAP,0,COLUMN())-INDEX(MO_MA_SM_NONGAAP,0,COLUMN())-INDEX(MO_MA_GA_NONGAAP,0,COLUMN())-INDEX(MO_MA_RD_NONGAAP,0,COLUMN())-INDEX(MO_MA_OperatingIncome_NONGAAP,0,COLUMN()),6)</f>
        <v/>
      </c>
      <c r="AO744" s="1713">
        <f>ROUND(1-INDEX(MO_MA_COGS_NONGAAP,0,COLUMN())-INDEX(MO_MA_SM_NONGAAP,0,COLUMN())-INDEX(MO_MA_GA_NONGAAP,0,COLUMN())-INDEX(MO_MA_RD_NONGAAP,0,COLUMN())-INDEX(MO_MA_OperatingIncome_NONGAAP,0,COLUMN()),6)</f>
        <v/>
      </c>
      <c r="AP744" s="1713">
        <f>ROUND(1-INDEX(MO_MA_COGS_NONGAAP,0,COLUMN())-INDEX(MO_MA_SM_NONGAAP,0,COLUMN())-INDEX(MO_MA_GA_NONGAAP,0,COLUMN())-INDEX(MO_MA_RD_NONGAAP,0,COLUMN())-INDEX(MO_MA_OperatingIncome_NONGAAP,0,COLUMN()),6)</f>
        <v/>
      </c>
      <c r="AQ744" s="1713">
        <f>ROUND(1-INDEX(MO_MA_COGS_NONGAAP,0,COLUMN())-INDEX(MO_MA_SM_NONGAAP,0,COLUMN())-INDEX(MO_MA_GA_NONGAAP,0,COLUMN())-INDEX(MO_MA_RD_NONGAAP,0,COLUMN())-INDEX(MO_MA_OperatingIncome_NONGAAP,0,COLUMN()),6)</f>
        <v/>
      </c>
      <c r="AR744" s="1713">
        <f>ROUND(1-INDEX(MO_MA_COGS_NONGAAP,0,COLUMN())-INDEX(MO_MA_SM_NONGAAP,0,COLUMN())-INDEX(MO_MA_GA_NONGAAP,0,COLUMN())-INDEX(MO_MA_RD_NONGAAP,0,COLUMN())-INDEX(MO_MA_OperatingIncome_NONGAAP,0,COLUMN()),6)</f>
        <v/>
      </c>
      <c r="AS744" s="1713">
        <f>ROUND(1-INDEX(MO_MA_COGS_NONGAAP,0,COLUMN())-INDEX(MO_MA_SM_NONGAAP,0,COLUMN())-INDEX(MO_MA_GA_NONGAAP,0,COLUMN())-INDEX(MO_MA_RD_NONGAAP,0,COLUMN())-INDEX(MO_MA_OperatingIncome_NONGAAP,0,COLUMN()),6)</f>
        <v/>
      </c>
      <c r="AT744" s="1713">
        <f>ROUND(1-INDEX(MO_MA_COGS_NONGAAP,0,COLUMN())-INDEX(MO_MA_SM_NONGAAP,0,COLUMN())-INDEX(MO_MA_GA_NONGAAP,0,COLUMN())-INDEX(MO_MA_RD_NONGAAP,0,COLUMN())-INDEX(MO_MA_OperatingIncome_NONGAAP,0,COLUMN()),6)</f>
        <v/>
      </c>
      <c r="AU744" s="1713">
        <f>ROUND(1-INDEX(MO_MA_COGS_NONGAAP,0,COLUMN())-INDEX(MO_MA_SM_NONGAAP,0,COLUMN())-INDEX(MO_MA_GA_NONGAAP,0,COLUMN())-INDEX(MO_MA_RD_NONGAAP,0,COLUMN())-INDEX(MO_MA_OperatingIncome_NONGAAP,0,COLUMN()),6)</f>
        <v/>
      </c>
      <c r="AV744" s="1422" t="n"/>
    </row>
    <row r="745" ht="14.4" customFormat="1" customHeight="1" s="1418">
      <c r="A745" s="1422" t="inlineStr">
        <is>
          <t>*Cash Flow Summary Signs are Correct</t>
        </is>
      </c>
      <c r="B745" s="1470" t="n"/>
      <c r="C745" s="1713" t="n"/>
      <c r="D745" s="1713" t="n"/>
      <c r="E745" s="1713" t="n"/>
      <c r="F745" s="1713" t="n"/>
      <c r="G745" s="1713" t="n"/>
      <c r="H745" s="1713" t="n"/>
      <c r="I745" s="1713" t="n"/>
      <c r="J745" s="1713" t="n"/>
      <c r="K745" s="1713" t="n"/>
      <c r="L745" s="1713" t="n"/>
      <c r="M745" s="1713" t="n"/>
      <c r="N745" s="1713" t="n"/>
      <c r="O745" s="1713" t="n"/>
      <c r="P745" s="1713" t="n"/>
      <c r="Q745" s="1713" t="n"/>
      <c r="R745" s="1713" t="n"/>
      <c r="S745" s="1713" t="n"/>
      <c r="T745" s="1713" t="n"/>
      <c r="U745" s="1713" t="n"/>
      <c r="V745" s="1713" t="n"/>
      <c r="W745" s="1713" t="n"/>
      <c r="X745" s="1713">
        <f>IF(OR(INDEX(MO_CFSum_Acquisition,1,COLUMN())&gt;0,INDEX(MO_CFSum_Divestiture,1,COLUMN())&lt;0,INDEX(MO_CFSum_Capex,1,COLUMN())&gt;0,INDEX(MO_CFSum_Dividend,1,COLUMN())&gt;0),"CHECK",0)</f>
        <v/>
      </c>
      <c r="Y745" s="1713">
        <f>IF(OR(INDEX(MO_CFSum_Acquisition,1,COLUMN())&gt;0,INDEX(MO_CFSum_Divestiture,1,COLUMN())&lt;0,INDEX(MO_CFSum_Capex,1,COLUMN())&gt;0,INDEX(MO_CFSum_Dividend,1,COLUMN())&gt;0),"CHECK",0)</f>
        <v/>
      </c>
      <c r="Z745" s="1713">
        <f>IF(OR(INDEX(MO_CFSum_Acquisition,1,COLUMN())&gt;0,INDEX(MO_CFSum_Divestiture,1,COLUMN())&lt;0,INDEX(MO_CFSum_Capex,1,COLUMN())&gt;0,INDEX(MO_CFSum_Dividend,1,COLUMN())&gt;0),"CHECK",0)</f>
        <v/>
      </c>
      <c r="AA745" s="1713">
        <f>IF(OR(INDEX(MO_CFSum_Acquisition,1,COLUMN())&gt;0,INDEX(MO_CFSum_Divestiture,1,COLUMN())&lt;0,INDEX(MO_CFSum_Capex,1,COLUMN())&gt;0,INDEX(MO_CFSum_Dividend,1,COLUMN())&gt;0),"CHECK",0)</f>
        <v/>
      </c>
      <c r="AB745" s="1713">
        <f>IF(OR(INDEX(MO_CFSum_Acquisition,1,COLUMN())&gt;0,INDEX(MO_CFSum_Divestiture,1,COLUMN())&lt;0,INDEX(MO_CFSum_Capex,1,COLUMN())&gt;0,INDEX(MO_CFSum_Dividend,1,COLUMN())&gt;0),"CHECK",0)</f>
        <v/>
      </c>
      <c r="AC745" s="1713">
        <f>IF(OR(INDEX(MO_CFSum_Acquisition,1,COLUMN())&gt;0,INDEX(MO_CFSum_Divestiture,1,COLUMN())&lt;0,INDEX(MO_CFSum_Capex,1,COLUMN())&gt;0,INDEX(MO_CFSum_Dividend,1,COLUMN())&gt;0),"CHECK",0)</f>
        <v/>
      </c>
      <c r="AD745" s="1713">
        <f>IF(OR(INDEX(MO_CFSum_Acquisition,1,COLUMN())&gt;0,INDEX(MO_CFSum_Divestiture,1,COLUMN())&lt;0,INDEX(MO_CFSum_Capex,1,COLUMN())&gt;0,INDEX(MO_CFSum_Dividend,1,COLUMN())&gt;0),"CHECK",0)</f>
        <v/>
      </c>
      <c r="AE745" s="1713">
        <f>IF(OR(INDEX(MO_CFSum_Acquisition,1,COLUMN())&gt;0,INDEX(MO_CFSum_Divestiture,1,COLUMN())&lt;0,INDEX(MO_CFSum_Capex,1,COLUMN())&gt;0,INDEX(MO_CFSum_Dividend,1,COLUMN())&gt;0),"CHECK",0)</f>
        <v/>
      </c>
      <c r="AF745" s="1713">
        <f>IF(OR(INDEX(MO_CFSum_Acquisition,1,COLUMN())&gt;0,INDEX(MO_CFSum_Divestiture,1,COLUMN())&lt;0,INDEX(MO_CFSum_Capex,1,COLUMN())&gt;0,INDEX(MO_CFSum_Dividend,1,COLUMN())&gt;0),"CHECK",0)</f>
        <v/>
      </c>
      <c r="AG745" s="1713">
        <f>IF(OR(INDEX(MO_CFSum_Acquisition,1,COLUMN())&gt;0,INDEX(MO_CFSum_Divestiture,1,COLUMN())&lt;0,INDEX(MO_CFSum_Capex,1,COLUMN())&gt;0,INDEX(MO_CFSum_Dividend,1,COLUMN())&gt;0),"CHECK",0)</f>
        <v/>
      </c>
      <c r="AH745" s="1713">
        <f>IF(OR(INDEX(MO_CFSum_Acquisition,1,COLUMN())&gt;0,INDEX(MO_CFSum_Divestiture,1,COLUMN())&lt;0,INDEX(MO_CFSum_Capex,1,COLUMN())&gt;0,INDEX(MO_CFSum_Dividend,1,COLUMN())&gt;0),"CHECK",0)</f>
        <v/>
      </c>
      <c r="AI745" s="1713">
        <f>IF(OR(INDEX(MO_CFSum_Acquisition,1,COLUMN())&gt;0,INDEX(MO_CFSum_Divestiture,1,COLUMN())&lt;0,INDEX(MO_CFSum_Capex,1,COLUMN())&gt;0,INDEX(MO_CFSum_Dividend,1,COLUMN())&gt;0),"CHECK",0)</f>
        <v/>
      </c>
      <c r="AJ745" s="1713">
        <f>IF(OR(INDEX(MO_CFSum_Acquisition,1,COLUMN())&gt;0,INDEX(MO_CFSum_Divestiture,1,COLUMN())&lt;0,INDEX(MO_CFSum_Capex,1,COLUMN())&gt;0,INDEX(MO_CFSum_Dividend,1,COLUMN())&gt;0),"CHECK",0)</f>
        <v/>
      </c>
      <c r="AK745" s="1714">
        <f>IF(OR(INDEX(MO_CFSum_Acquisition,1,COLUMN())&gt;0,INDEX(MO_CFSum_Divestiture,1,COLUMN())&lt;0,INDEX(MO_CFSum_Capex,1,COLUMN())&gt;0,INDEX(MO_CFSum_Dividend,1,COLUMN())&gt;0),"CHECK",0)</f>
        <v/>
      </c>
      <c r="AL745" s="1713">
        <f>IF(OR(INDEX(MO_CFSum_Acquisition,1,COLUMN())&gt;0,INDEX(MO_CFSum_Divestiture,1,COLUMN())&lt;0,INDEX(MO_CFSum_Capex,1,COLUMN())&gt;0,INDEX(MO_CFSum_Dividend,1,COLUMN())&gt;0),"CHECK",0)</f>
        <v/>
      </c>
      <c r="AM745" s="1713">
        <f>IF(OR(INDEX(MO_CFSum_Acquisition,1,COLUMN())&gt;0,INDEX(MO_CFSum_Divestiture,1,COLUMN())&lt;0,INDEX(MO_CFSum_Capex,1,COLUMN())&gt;0,INDEX(MO_CFSum_Dividend,1,COLUMN())&gt;0),"CHECK",0)</f>
        <v/>
      </c>
      <c r="AN745" s="1713">
        <f>IF(OR(INDEX(MO_CFSum_Acquisition,1,COLUMN())&gt;0,INDEX(MO_CFSum_Divestiture,1,COLUMN())&lt;0,INDEX(MO_CFSum_Capex,1,COLUMN())&gt;0,INDEX(MO_CFSum_Dividend,1,COLUMN())&gt;0),"CHECK",0)</f>
        <v/>
      </c>
      <c r="AO745" s="1713">
        <f>IF(OR(INDEX(MO_CFSum_Acquisition,1,COLUMN())&gt;0,INDEX(MO_CFSum_Divestiture,1,COLUMN())&lt;0,INDEX(MO_CFSum_Capex,1,COLUMN())&gt;0,INDEX(MO_CFSum_Dividend,1,COLUMN())&gt;0),"CHECK",0)</f>
        <v/>
      </c>
      <c r="AP745" s="1713">
        <f>IF(OR(INDEX(MO_CFSum_Acquisition,1,COLUMN())&gt;0,INDEX(MO_CFSum_Divestiture,1,COLUMN())&lt;0,INDEX(MO_CFSum_Capex,1,COLUMN())&gt;0,INDEX(MO_CFSum_Dividend,1,COLUMN())&gt;0),"CHECK",0)</f>
        <v/>
      </c>
      <c r="AQ745" s="1713">
        <f>IF(OR(INDEX(MO_CFSum_Acquisition,1,COLUMN())&gt;0,INDEX(MO_CFSum_Divestiture,1,COLUMN())&lt;0,INDEX(MO_CFSum_Capex,1,COLUMN())&gt;0,INDEX(MO_CFSum_Dividend,1,COLUMN())&gt;0),"CHECK",0)</f>
        <v/>
      </c>
      <c r="AR745" s="1713">
        <f>IF(OR(INDEX(MO_CFSum_Acquisition,1,COLUMN())&gt;0,INDEX(MO_CFSum_Divestiture,1,COLUMN())&lt;0,INDEX(MO_CFSum_Capex,1,COLUMN())&gt;0,INDEX(MO_CFSum_Dividend,1,COLUMN())&gt;0),"CHECK",0)</f>
        <v/>
      </c>
      <c r="AS745" s="1713">
        <f>IF(OR(INDEX(MO_CFSum_Acquisition,1,COLUMN())&gt;0,INDEX(MO_CFSum_Divestiture,1,COLUMN())&lt;0,INDEX(MO_CFSum_Capex,1,COLUMN())&gt;0,INDEX(MO_CFSum_Dividend,1,COLUMN())&gt;0),"CHECK",0)</f>
        <v/>
      </c>
      <c r="AT745" s="1713">
        <f>IF(OR(INDEX(MO_CFSum_Acquisition,1,COLUMN())&gt;0,INDEX(MO_CFSum_Divestiture,1,COLUMN())&lt;0,INDEX(MO_CFSum_Capex,1,COLUMN())&gt;0,INDEX(MO_CFSum_Dividend,1,COLUMN())&gt;0),"CHECK",0)</f>
        <v/>
      </c>
      <c r="AU745" s="1713">
        <f>IF(OR(INDEX(MO_CFSum_Acquisition,1,COLUMN())&gt;0,INDEX(MO_CFSum_Divestiture,1,COLUMN())&lt;0,INDEX(MO_CFSum_Capex,1,COLUMN())&gt;0,INDEX(MO_CFSum_Dividend,1,COLUMN())&gt;0),"CHECK",0)</f>
        <v/>
      </c>
      <c r="AV745" s="1422" t="n"/>
    </row>
    <row r="746" ht="14.4" customFormat="1" customHeight="1" s="1418">
      <c r="A746" s="1422" t="inlineStr">
        <is>
          <t>*RIS NI FY = Sum of Qs</t>
        </is>
      </c>
      <c r="B746" s="1470" t="n"/>
      <c r="C746" s="1713" t="n"/>
      <c r="D746" s="1713" t="n"/>
      <c r="E746" s="1713" t="n"/>
      <c r="F746" s="1713" t="n"/>
      <c r="G746" s="1713" t="n"/>
      <c r="H746" s="1713" t="n"/>
      <c r="I746" s="1713" t="n"/>
      <c r="J746" s="1713" t="n"/>
      <c r="K746" s="1713" t="n"/>
      <c r="L746" s="1713" t="n"/>
      <c r="M746" s="1713" t="n"/>
      <c r="N746" s="1713" t="n"/>
      <c r="O746" s="1713" t="n"/>
      <c r="P746" s="1713" t="n"/>
      <c r="Q746" s="1713" t="n"/>
      <c r="R746" s="1713" t="n"/>
      <c r="S746" s="1713" t="n"/>
      <c r="T746" s="1713" t="n"/>
      <c r="U746" s="1713" t="n"/>
      <c r="V746" s="1713" t="n"/>
      <c r="W746" s="1713" t="n"/>
      <c r="X746" s="1713">
        <f>ROUND(X390-SUM(T390,U390,V390,W390),6)</f>
        <v/>
      </c>
      <c r="Y746" s="1713" t="n"/>
      <c r="Z746" s="1713" t="n"/>
      <c r="AA746" s="1713" t="n"/>
      <c r="AB746" s="1713" t="n"/>
      <c r="AC746" s="1713">
        <f>ROUND(AC390-SUM(Y390,Z390,AA390,AB390),6)</f>
        <v/>
      </c>
      <c r="AD746" s="1713" t="n"/>
      <c r="AE746" s="1713" t="n"/>
      <c r="AF746" s="1713" t="n"/>
      <c r="AG746" s="1713" t="n"/>
      <c r="AH746" s="1713">
        <f>ROUND(AH390-SUM(AD390,AE390,AF390,AG390),6)</f>
        <v/>
      </c>
      <c r="AI746" s="1713" t="n"/>
      <c r="AJ746" s="1713" t="n"/>
      <c r="AK746" s="1714" t="n"/>
      <c r="AL746" s="1713" t="n"/>
      <c r="AM746" s="1713">
        <f>ROUND(AM390-SUM(AI390,AJ390,AK390,AL390),6)</f>
        <v/>
      </c>
      <c r="AN746" s="1713" t="n"/>
      <c r="AO746" s="1713" t="n"/>
      <c r="AP746" s="1713" t="n"/>
      <c r="AQ746" s="1713" t="n"/>
      <c r="AR746" s="1713">
        <f>ROUND(AR390-SUM(AN390,AO390,AP390,AQ390),6)</f>
        <v/>
      </c>
      <c r="AS746" s="1713" t="n"/>
      <c r="AT746" s="1713" t="n"/>
      <c r="AU746" s="1713" t="n"/>
      <c r="AV746" s="1422" t="n"/>
    </row>
    <row r="747" ht="14.4" customFormat="1" customHeight="1" s="1418">
      <c r="A747" s="1422" t="inlineStr">
        <is>
          <t>*RIS Adjusted NI FY = Sum of Qs</t>
        </is>
      </c>
      <c r="B747" s="1470" t="n"/>
      <c r="C747" s="1713" t="n"/>
      <c r="D747" s="1713" t="n"/>
      <c r="E747" s="1713" t="n"/>
      <c r="F747" s="1713" t="n"/>
      <c r="G747" s="1713" t="n"/>
      <c r="H747" s="1713" t="n"/>
      <c r="I747" s="1713" t="n"/>
      <c r="J747" s="1713" t="n"/>
      <c r="K747" s="1713" t="n"/>
      <c r="L747" s="1713" t="n"/>
      <c r="M747" s="1713" t="n"/>
      <c r="N747" s="1713" t="n"/>
      <c r="O747" s="1713" t="n"/>
      <c r="P747" s="1713" t="n"/>
      <c r="Q747" s="1713" t="n"/>
      <c r="R747" s="1713" t="n"/>
      <c r="S747" s="1713" t="n"/>
      <c r="T747" s="1713" t="n"/>
      <c r="U747" s="1713" t="n"/>
      <c r="V747" s="1713" t="n"/>
      <c r="W747" s="1713" t="n"/>
      <c r="X747" s="1713">
        <f>ROUND(SUM(T383,U383,V383,W383)-INDEX(MO_RIS_NI_NONGAAP_Diluted,1,COLUMN()),6)</f>
        <v/>
      </c>
      <c r="Y747" s="1713" t="n"/>
      <c r="Z747" s="1713" t="n"/>
      <c r="AA747" s="1713" t="n"/>
      <c r="AB747" s="1713" t="n"/>
      <c r="AC747" s="1713">
        <f>ROUND(SUM(Y383,Z383,AA383,AB383)-INDEX(MO_RIS_NI_NONGAAP_Diluted,1,COLUMN()),6)</f>
        <v/>
      </c>
      <c r="AD747" s="1713" t="n"/>
      <c r="AE747" s="1713" t="n"/>
      <c r="AF747" s="1713" t="n"/>
      <c r="AG747" s="1713" t="n"/>
      <c r="AH747" s="1713">
        <f>ROUND(SUM(AD383,AE383,AF383,AG383)-INDEX(MO_RIS_NI_NONGAAP_Diluted,1,COLUMN()),6)</f>
        <v/>
      </c>
      <c r="AI747" s="1713" t="n"/>
      <c r="AJ747" s="1713" t="n"/>
      <c r="AK747" s="1714" t="n"/>
      <c r="AL747" s="1713" t="n"/>
      <c r="AM747" s="1713">
        <f>ROUND(SUM(AI383,AJ383,AK383,AL383)-INDEX(MO_RIS_NI_NONGAAP_Diluted,1,COLUMN()),6)</f>
        <v/>
      </c>
      <c r="AN747" s="1713" t="n"/>
      <c r="AO747" s="1713" t="n"/>
      <c r="AP747" s="1713" t="n"/>
      <c r="AQ747" s="1713" t="n"/>
      <c r="AR747" s="1713">
        <f>ROUND(SUM(AN383,AO383,AP383,AQ383)-INDEX(MO_RIS_NI_NONGAAP_Diluted,1,COLUMN()),6)</f>
        <v/>
      </c>
      <c r="AS747" s="1713" t="n"/>
      <c r="AT747" s="1713" t="n"/>
      <c r="AU747" s="1713" t="n"/>
      <c r="AV747" s="1422" t="n"/>
    </row>
    <row r="748" ht="14.4" customFormat="1" customHeight="1" s="1418">
      <c r="A748" s="1422" t="inlineStr">
        <is>
          <t>*CFO Before WC subtotal FY = Sum of Qs</t>
        </is>
      </c>
      <c r="B748" s="1470" t="n"/>
      <c r="C748" s="1713" t="n"/>
      <c r="D748" s="1713" t="n"/>
      <c r="E748" s="1713" t="n"/>
      <c r="F748" s="1713" t="n"/>
      <c r="G748" s="1713" t="n"/>
      <c r="H748" s="1713" t="n"/>
      <c r="I748" s="1713" t="n"/>
      <c r="J748" s="1713" t="n"/>
      <c r="K748" s="1713" t="n"/>
      <c r="L748" s="1713" t="n"/>
      <c r="M748" s="1713" t="n"/>
      <c r="N748" s="1713" t="n"/>
      <c r="O748" s="1713" t="n"/>
      <c r="P748" s="1713" t="n"/>
      <c r="Q748" s="1713" t="n"/>
      <c r="R748" s="1713" t="n"/>
      <c r="S748" s="1713" t="n"/>
      <c r="T748" s="1713" t="n"/>
      <c r="U748" s="1713" t="n"/>
      <c r="V748" s="1713" t="n"/>
      <c r="W748" s="1713" t="n"/>
      <c r="X748" s="1713">
        <f>ROUND(SUM(T580,U580,V580,W580)-SUM(OFFSET(INDEX(MO_CFS_CFO_BeforeWC,1,COLUMN()),ROW(INDEX(MO_SubSection_CFS_CFO,1,COLUMN()))-ROW(INDEX(MO_CFS_CFO_BeforeWC,1,COLUMN())),0,ROW(INDEX(MO_CFS_CFO_BeforeWC,1,COLUMN()))-ROW(INDEX(MO_SubSection_CFS_CFO,1,COLUMN())),1)),6)</f>
        <v/>
      </c>
      <c r="Y748" s="1713" t="n"/>
      <c r="Z748" s="1713" t="n"/>
      <c r="AA748" s="1713" t="n"/>
      <c r="AB748" s="1713" t="n"/>
      <c r="AC748" s="1713">
        <f>ROUND(SUM(Y580,Z580,AA580,AB580)-SUM(OFFSET(INDEX(MO_CFS_CFO_BeforeWC,1,COLUMN()),ROW(INDEX(MO_SubSection_CFS_CFO,1,COLUMN()))-ROW(INDEX(MO_CFS_CFO_BeforeWC,1,COLUMN())),0,ROW(INDEX(MO_CFS_CFO_BeforeWC,1,COLUMN()))-ROW(INDEX(MO_SubSection_CFS_CFO,1,COLUMN())),1))+AC570,6)</f>
        <v/>
      </c>
      <c r="AD748" s="1713" t="n"/>
      <c r="AE748" s="1713" t="n"/>
      <c r="AF748" s="1713" t="n"/>
      <c r="AG748" s="1713" t="n"/>
      <c r="AH748" s="1713">
        <f>ROUND(SUM(AD580,AE580,AF580,AG580)-SUM(OFFSET(INDEX(MO_CFS_CFO_BeforeWC,1,COLUMN()),ROW(INDEX(MO_SubSection_CFS_CFO,1,COLUMN()))-ROW(INDEX(MO_CFS_CFO_BeforeWC,1,COLUMN())),0,ROW(INDEX(MO_CFS_CFO_BeforeWC,1,COLUMN()))-ROW(INDEX(MO_SubSection_CFS_CFO,1,COLUMN())),1))+AH570,6)</f>
        <v/>
      </c>
      <c r="AI748" s="1713" t="n"/>
      <c r="AJ748" s="1713" t="n"/>
      <c r="AK748" s="1714" t="n"/>
      <c r="AL748" s="1713" t="n"/>
      <c r="AM748" s="1713">
        <f>ROUND(SUM(AI580,AJ580,AK580,AL580)-SUM(OFFSET(INDEX(MO_CFS_CFO_BeforeWC,1,COLUMN()),ROW(INDEX(MO_SubSection_CFS_CFO,1,COLUMN()))-ROW(INDEX(MO_CFS_CFO_BeforeWC,1,COLUMN())),0,ROW(INDEX(MO_CFS_CFO_BeforeWC,1,COLUMN()))-ROW(INDEX(MO_SubSection_CFS_CFO,1,COLUMN())),1)),6)</f>
        <v/>
      </c>
      <c r="AN748" s="1713" t="n"/>
      <c r="AO748" s="1713" t="n"/>
      <c r="AP748" s="1713" t="n"/>
      <c r="AQ748" s="1713" t="n"/>
      <c r="AR748" s="1713">
        <f>ROUND(SUM(AN580,AO580,AP580,AQ580)-SUM(OFFSET(INDEX(MO_CFS_CFO_BeforeWC,1,COLUMN()),ROW(INDEX(MO_SubSection_CFS_CFO,1,COLUMN()))-ROW(INDEX(MO_CFS_CFO_BeforeWC,1,COLUMN())),0,ROW(INDEX(MO_CFS_CFO_BeforeWC,1,COLUMN()))-ROW(INDEX(MO_SubSection_CFS_CFO,1,COLUMN())),1)),6)</f>
        <v/>
      </c>
      <c r="AS748" s="1713" t="n"/>
      <c r="AT748" s="1713" t="n"/>
      <c r="AU748" s="1713" t="n"/>
      <c r="AV748" s="1422" t="n"/>
    </row>
    <row r="749" ht="14.4" customFormat="1" customHeight="1" s="1418">
      <c r="A749" s="1422" t="inlineStr">
        <is>
          <t>*CFO subtotal FY = Sum of Qs</t>
        </is>
      </c>
      <c r="B749" s="1470" t="n"/>
      <c r="C749" s="1713" t="n"/>
      <c r="D749" s="1713" t="n"/>
      <c r="E749" s="1713" t="n"/>
      <c r="F749" s="1713" t="n"/>
      <c r="G749" s="1713" t="n"/>
      <c r="H749" s="1713" t="n"/>
      <c r="I749" s="1713" t="n"/>
      <c r="J749" s="1713" t="n"/>
      <c r="K749" s="1713" t="n"/>
      <c r="L749" s="1713" t="n"/>
      <c r="M749" s="1713" t="n"/>
      <c r="N749" s="1713" t="n"/>
      <c r="O749" s="1713" t="n"/>
      <c r="P749" s="1713" t="n"/>
      <c r="Q749" s="1713" t="n"/>
      <c r="R749" s="1713" t="n"/>
      <c r="S749" s="1713" t="n"/>
      <c r="T749" s="1713" t="n"/>
      <c r="U749" s="1713" t="n"/>
      <c r="V749" s="1713" t="n"/>
      <c r="W749" s="1713" t="n"/>
      <c r="X749" s="1713">
        <f>ROUND(SUM(T588,U588,V588,W588)-SUM(OFFSET(INDEX(MO_CFS_CFO,1,COLUMN()),ROW(INDEX(MO_CFS_CFO_BeforeWC,1,COLUMN()))-ROW(INDEX(MO_CFS_CFO,1,COLUMN())),0,ROW(INDEX(MO_CFS_CFO,1,COLUMN()))-ROW(INDEX(MO_CFS_CFO_BeforeWC,1,COLUMN())),1)),6)</f>
        <v/>
      </c>
      <c r="Y749" s="1713" t="n"/>
      <c r="Z749" s="1713" t="n"/>
      <c r="AA749" s="1713" t="n"/>
      <c r="AB749" s="1713" t="n"/>
      <c r="AC749" s="1713">
        <f>ROUND(SUM(Y588,Z588,AA588,AB588)-SUM(OFFSET(INDEX(MO_CFS_CFO,1,COLUMN()),ROW(INDEX(MO_CFS_CFO_BeforeWC,1,COLUMN()))-ROW(INDEX(MO_CFS_CFO,1,COLUMN())),0,ROW(INDEX(MO_CFS_CFO,1,COLUMN()))-ROW(INDEX(MO_CFS_CFO_BeforeWC,1,COLUMN())),1)),6)</f>
        <v/>
      </c>
      <c r="AD749" s="1713" t="n"/>
      <c r="AE749" s="1713" t="n"/>
      <c r="AF749" s="1713" t="n"/>
      <c r="AG749" s="1713" t="n"/>
      <c r="AH749" s="1713">
        <f>ROUND(SUM(AD588,AE588,AF588,AG588)-SUM(OFFSET(INDEX(MO_CFS_CFO,1,COLUMN()),ROW(INDEX(MO_CFS_CFO_BeforeWC,1,COLUMN()))-ROW(INDEX(MO_CFS_CFO,1,COLUMN())),0,ROW(INDEX(MO_CFS_CFO,1,COLUMN()))-ROW(INDEX(MO_CFS_CFO_BeforeWC,1,COLUMN())),1)),6)</f>
        <v/>
      </c>
      <c r="AI749" s="1713" t="n"/>
      <c r="AJ749" s="1713" t="n"/>
      <c r="AK749" s="1714" t="n"/>
      <c r="AL749" s="1713" t="n"/>
      <c r="AM749" s="1713">
        <f>ROUND(SUM(AI588,AJ588,AK588,AL588)-SUM(OFFSET(INDEX(MO_CFS_CFO,1,COLUMN()),ROW(INDEX(MO_CFS_CFO_BeforeWC,1,COLUMN()))-ROW(INDEX(MO_CFS_CFO,1,COLUMN())),0,ROW(INDEX(MO_CFS_CFO,1,COLUMN()))-ROW(INDEX(MO_CFS_CFO_BeforeWC,1,COLUMN())),1)),6)</f>
        <v/>
      </c>
      <c r="AN749" s="1713" t="n"/>
      <c r="AO749" s="1713" t="n"/>
      <c r="AP749" s="1713" t="n"/>
      <c r="AQ749" s="1713" t="n"/>
      <c r="AR749" s="1713">
        <f>ROUND(SUM(AN588,AO588,AP588,AQ588)-SUM(OFFSET(INDEX(MO_CFS_CFO,1,COLUMN()),ROW(INDEX(MO_CFS_CFO_BeforeWC,1,COLUMN()))-ROW(INDEX(MO_CFS_CFO,1,COLUMN())),0,ROW(INDEX(MO_CFS_CFO,1,COLUMN()))-ROW(INDEX(MO_CFS_CFO_BeforeWC,1,COLUMN())),1)),6)</f>
        <v/>
      </c>
      <c r="AS749" s="1713" t="n"/>
      <c r="AT749" s="1713" t="n"/>
      <c r="AU749" s="1713" t="n"/>
      <c r="AV749" s="1422" t="n"/>
    </row>
    <row r="750" ht="14.4" customFormat="1" customHeight="1" s="1418">
      <c r="A750" s="1422" t="inlineStr">
        <is>
          <t>*CFI subtotal FY = Sum of Qs</t>
        </is>
      </c>
      <c r="B750" s="1470" t="n"/>
      <c r="C750" s="1713" t="n"/>
      <c r="D750" s="1713" t="n"/>
      <c r="E750" s="1713" t="n"/>
      <c r="F750" s="1713" t="n"/>
      <c r="G750" s="1713" t="n"/>
      <c r="H750" s="1713" t="n"/>
      <c r="I750" s="1713" t="n"/>
      <c r="J750" s="1713" t="n"/>
      <c r="K750" s="1713" t="n"/>
      <c r="L750" s="1713" t="n"/>
      <c r="M750" s="1713" t="n"/>
      <c r="N750" s="1713" t="n"/>
      <c r="O750" s="1713" t="n"/>
      <c r="P750" s="1713" t="n"/>
      <c r="Q750" s="1713" t="n"/>
      <c r="R750" s="1713" t="n"/>
      <c r="S750" s="1713" t="n"/>
      <c r="T750" s="1713" t="n"/>
      <c r="U750" s="1713" t="n"/>
      <c r="V750" s="1713" t="n"/>
      <c r="W750" s="1713" t="n"/>
      <c r="X750" s="1713">
        <f>ROUND(SUM(T602,U602,V602,W602)-SUM(OFFSET(INDEX(MO_CFS_CFI,1,COLUMN()),ROW(INDEX(MO_SubSection_CFS_CFI,1,COLUMN()))-ROW(INDEX(MO_CFS_CFI,1,COLUMN())),0,ROW(INDEX(MO_CFS_CFI,1,COLUMN()))-ROW(INDEX(MO_SubSection_CFS_CFI,1,COLUMN())),1)),6)</f>
        <v/>
      </c>
      <c r="Y750" s="1713" t="n"/>
      <c r="Z750" s="1713" t="n"/>
      <c r="AA750" s="1713" t="n"/>
      <c r="AB750" s="1713" t="n"/>
      <c r="AC750" s="1713">
        <f>ROUND(SUM(Y602,Z602,AA602,AB602)-SUM(OFFSET(INDEX(MO_CFS_CFI,1,COLUMN()),ROW(INDEX(MO_SubSection_CFS_CFI,1,COLUMN()))-ROW(INDEX(MO_CFS_CFI,1,COLUMN())),0,ROW(INDEX(MO_CFS_CFI,1,COLUMN()))-ROW(INDEX(MO_SubSection_CFS_CFI,1,COLUMN())),1)),6)</f>
        <v/>
      </c>
      <c r="AD750" s="1713" t="n"/>
      <c r="AE750" s="1713" t="n"/>
      <c r="AF750" s="1713" t="n"/>
      <c r="AG750" s="1713" t="n"/>
      <c r="AH750" s="1713">
        <f>ROUND(SUM(AD602,AE602,AF602,AG602)-SUM(OFFSET(INDEX(MO_CFS_CFI,1,COLUMN()),ROW(INDEX(MO_SubSection_CFS_CFI,1,COLUMN()))-ROW(INDEX(MO_CFS_CFI,1,COLUMN())),0,ROW(INDEX(MO_CFS_CFI,1,COLUMN()))-ROW(INDEX(MO_SubSection_CFS_CFI,1,COLUMN())),1)),6)</f>
        <v/>
      </c>
      <c r="AI750" s="1713" t="n"/>
      <c r="AJ750" s="1713" t="n"/>
      <c r="AK750" s="1714" t="n"/>
      <c r="AL750" s="1713" t="n"/>
      <c r="AM750" s="1713">
        <f>ROUND(SUM(AI602,AJ602,AK602,AL602)-SUM(OFFSET(INDEX(MO_CFS_CFI,1,COLUMN()),ROW(INDEX(MO_SubSection_CFS_CFI,1,COLUMN()))-ROW(INDEX(MO_CFS_CFI,1,COLUMN())),0,ROW(INDEX(MO_CFS_CFI,1,COLUMN()))-ROW(INDEX(MO_SubSection_CFS_CFI,1,COLUMN())),1)),6)</f>
        <v/>
      </c>
      <c r="AN750" s="1713" t="n"/>
      <c r="AO750" s="1713" t="n"/>
      <c r="AP750" s="1713" t="n"/>
      <c r="AQ750" s="1713" t="n"/>
      <c r="AR750" s="1713">
        <f>ROUND(SUM(AN602,AO602,AP602,AQ602)-SUM(OFFSET(INDEX(MO_CFS_CFI,1,COLUMN()),ROW(INDEX(MO_SubSection_CFS_CFI,1,COLUMN()))-ROW(INDEX(MO_CFS_CFI,1,COLUMN())),0,ROW(INDEX(MO_CFS_CFI,1,COLUMN()))-ROW(INDEX(MO_SubSection_CFS_CFI,1,COLUMN())),1)),6)</f>
        <v/>
      </c>
      <c r="AS750" s="1713" t="n"/>
      <c r="AT750" s="1713" t="n"/>
      <c r="AU750" s="1713" t="n"/>
      <c r="AV750" s="1422" t="n"/>
    </row>
    <row r="751" ht="14.4" customFormat="1" customHeight="1" s="1418">
      <c r="A751" s="1422" t="inlineStr">
        <is>
          <t>*CFF subtotal FY = Sum of Qs</t>
        </is>
      </c>
      <c r="B751" s="1470" t="n"/>
      <c r="C751" s="1713" t="n"/>
      <c r="D751" s="1713" t="n"/>
      <c r="E751" s="1713" t="n"/>
      <c r="F751" s="1713" t="n"/>
      <c r="G751" s="1713" t="n"/>
      <c r="H751" s="1713" t="n"/>
      <c r="I751" s="1713" t="n"/>
      <c r="J751" s="1713" t="n"/>
      <c r="K751" s="1713" t="n"/>
      <c r="L751" s="1713" t="n"/>
      <c r="M751" s="1713" t="n"/>
      <c r="N751" s="1713" t="n"/>
      <c r="O751" s="1713" t="n"/>
      <c r="P751" s="1713" t="n"/>
      <c r="Q751" s="1713" t="n"/>
      <c r="R751" s="1713" t="n"/>
      <c r="S751" s="1713" t="n"/>
      <c r="T751" s="1713" t="n"/>
      <c r="U751" s="1713" t="n"/>
      <c r="V751" s="1713" t="n"/>
      <c r="W751" s="1713" t="n"/>
      <c r="X751" s="1713">
        <f>ROUND(SUM(T619,U619,V619,W619)-SUM(OFFSET(INDEX(MO_CFS_CFF,1,COLUMN()),ROW(INDEX(MO_SubSection_CFS_CFF,1,COLUMN()))-ROW(INDEX(MO_CFS_CFF,1,COLUMN())),0,ROW(INDEX(MO_CFS_CFF,1,COLUMN()))-ROW(INDEX(MO_SubSection_CFS_CFF,1,COLUMN())),1)),6)</f>
        <v/>
      </c>
      <c r="Y751" s="1713" t="n"/>
      <c r="Z751" s="1713" t="n"/>
      <c r="AA751" s="1713" t="n"/>
      <c r="AB751" s="1713" t="n"/>
      <c r="AC751" s="1713">
        <f>ROUND(SUM(Y619,Z619,AA619,AB619)-SUM(OFFSET(INDEX(MO_CFS_CFF,1,COLUMN()),ROW(INDEX(MO_SubSection_CFS_CFF,1,COLUMN()))-ROW(INDEX(MO_CFS_CFF,1,COLUMN())),0,ROW(INDEX(MO_CFS_CFF,1,COLUMN()))-ROW(INDEX(MO_SubSection_CFS_CFF,1,COLUMN())),1)),6)</f>
        <v/>
      </c>
      <c r="AD751" s="1713" t="n"/>
      <c r="AE751" s="1713" t="n"/>
      <c r="AF751" s="1713" t="n"/>
      <c r="AG751" s="1713" t="n"/>
      <c r="AH751" s="1713">
        <f>ROUND(SUM(AD619,AE619,AF619,AG619)-SUM(OFFSET(INDEX(MO_CFS_CFF,1,COLUMN()),ROW(INDEX(MO_SubSection_CFS_CFF,1,COLUMN()))-ROW(INDEX(MO_CFS_CFF,1,COLUMN())),0,ROW(INDEX(MO_CFS_CFF,1,COLUMN()))-ROW(INDEX(MO_SubSection_CFS_CFF,1,COLUMN())),1)),6)</f>
        <v/>
      </c>
      <c r="AI751" s="1713" t="n"/>
      <c r="AJ751" s="1713" t="n"/>
      <c r="AK751" s="1714" t="n"/>
      <c r="AL751" s="1713" t="n"/>
      <c r="AM751" s="1713">
        <f>ROUND(SUM(AI619,AJ619,AK619,AL619)-SUM(OFFSET(INDEX(MO_CFS_CFF,1,COLUMN()),ROW(INDEX(MO_SubSection_CFS_CFF,1,COLUMN()))-ROW(INDEX(MO_CFS_CFF,1,COLUMN())),0,ROW(INDEX(MO_CFS_CFF,1,COLUMN()))-ROW(INDEX(MO_SubSection_CFS_CFF,1,COLUMN())),1)),6)</f>
        <v/>
      </c>
      <c r="AN751" s="1713" t="n"/>
      <c r="AO751" s="1713" t="n"/>
      <c r="AP751" s="1713" t="n"/>
      <c r="AQ751" s="1713" t="n"/>
      <c r="AR751" s="1713">
        <f>ROUND(SUM(AN619,AO619,AP619,AQ619)-SUM(OFFSET(INDEX(MO_CFS_CFF,1,COLUMN()),ROW(INDEX(MO_SubSection_CFS_CFF,1,COLUMN()))-ROW(INDEX(MO_CFS_CFF,1,COLUMN())),0,ROW(INDEX(MO_CFS_CFF,1,COLUMN()))-ROW(INDEX(MO_SubSection_CFS_CFF,1,COLUMN())),1)),6)</f>
        <v/>
      </c>
      <c r="AS751" s="1713" t="n"/>
      <c r="AT751" s="1713" t="n"/>
      <c r="AU751" s="1713" t="n"/>
      <c r="AV751" s="1422" t="n"/>
    </row>
    <row r="752" ht="14.4" customFormat="1" customHeight="1" s="1418">
      <c r="A752" s="1422" t="inlineStr">
        <is>
          <t>*CF Summary FY = Sum of Qs</t>
        </is>
      </c>
      <c r="B752" s="1470" t="n"/>
      <c r="C752" s="1713" t="n"/>
      <c r="D752" s="1713" t="n"/>
      <c r="E752" s="1713" t="n"/>
      <c r="F752" s="1713" t="n"/>
      <c r="G752" s="1713" t="n"/>
      <c r="H752" s="1713" t="n"/>
      <c r="I752" s="1713" t="n"/>
      <c r="J752" s="1713" t="n"/>
      <c r="K752" s="1713" t="n"/>
      <c r="L752" s="1713" t="n"/>
      <c r="M752" s="1713" t="n"/>
      <c r="N752" s="1713" t="n"/>
      <c r="O752" s="1713" t="n"/>
      <c r="P752" s="1713" t="n"/>
      <c r="Q752" s="1713" t="n"/>
      <c r="R752" s="1713" t="n"/>
      <c r="S752" s="1713" t="n"/>
      <c r="T752" s="1713" t="n"/>
      <c r="U752" s="1713" t="n"/>
      <c r="V752" s="1713" t="n"/>
      <c r="W752" s="1713" t="n"/>
      <c r="X752" s="1713">
        <f>ROUND(SUM(INDEX(MO_CFSum_Acquisition,0,COLUMN()),INDEX(MO_CFSum_Capex,0,COLUMN()),INDEX(MO_CFSum_Divestiture,0,COLUMN()),INDEX(MO_CFSum_Dividend,0,COLUMN()))-SUM(T438,U438,V438,W438,T439,U439,V439,W439,T440,U440,V440,W440)-SUM(T436,U436,V436,W436),6)</f>
        <v/>
      </c>
      <c r="Y752" s="1713" t="n"/>
      <c r="Z752" s="1713" t="n"/>
      <c r="AA752" s="1713" t="n"/>
      <c r="AB752" s="1713" t="n"/>
      <c r="AC752" s="1713">
        <f>ROUND(SUM(INDEX(MO_CFSum_Acquisition,0,COLUMN()),INDEX(MO_CFSum_Capex,0,COLUMN()),INDEX(MO_CFSum_Divestiture,0,COLUMN()),INDEX(MO_CFSum_Dividend,0,COLUMN()))-SUM(Y438,Z438,AA438,AB438,Y439,Z439,AA439,AB439,Y440,Z440,AA440,AB440)-SUM(Y436,Z436,AA436,AB436),6)</f>
        <v/>
      </c>
      <c r="AD752" s="1713" t="n"/>
      <c r="AE752" s="1713" t="n"/>
      <c r="AF752" s="1713" t="n"/>
      <c r="AG752" s="1713" t="n"/>
      <c r="AH752" s="1713">
        <f>ROUND(SUM(INDEX(MO_CFSum_Acquisition,0,COLUMN()),INDEX(MO_CFSum_Capex,0,COLUMN()),INDEX(MO_CFSum_Divestiture,0,COLUMN()),INDEX(MO_CFSum_Dividend,0,COLUMN()))-SUM(AD438,AE438,AF438,AG438,AD439,AE439,AF439,AG439,AD440,AE440,AF440,AG440)-SUM(AD436,AE436,AF436,AG436),6)</f>
        <v/>
      </c>
      <c r="AI752" s="1713" t="n"/>
      <c r="AJ752" s="1713" t="n"/>
      <c r="AK752" s="1714" t="n"/>
      <c r="AL752" s="1713" t="n"/>
      <c r="AM752" s="1713">
        <f>ROUND(SUM(INDEX(MO_CFSum_Acquisition,0,COLUMN()),INDEX(MO_CFSum_Capex,0,COLUMN()),INDEX(MO_CFSum_Divestiture,0,COLUMN()),INDEX(MO_CFSum_Dividend,0,COLUMN()))-SUM(AI438,AJ438,AK438,AL438,AI439,AJ439,AK439,AL439,AI440,AJ440,AK440,AL440)-SUM(AI436,AJ436,AK436,AL436),6)</f>
        <v/>
      </c>
      <c r="AN752" s="1713" t="n"/>
      <c r="AO752" s="1713" t="n"/>
      <c r="AP752" s="1713" t="n"/>
      <c r="AQ752" s="1713" t="n"/>
      <c r="AR752" s="1713">
        <f>ROUND(SUM(INDEX(MO_CFSum_Acquisition,0,COLUMN()),INDEX(MO_CFSum_Capex,0,COLUMN()),INDEX(MO_CFSum_Divestiture,0,COLUMN()),INDEX(MO_CFSum_Dividend,0,COLUMN()))-SUM(AN438,AO438,AP438,AQ438,AN439,AO439,AP439,AQ439,AN440,AO440,AP440,AQ440)-SUM(AN436,AO436,AP436,AQ436),6)</f>
        <v/>
      </c>
      <c r="AS752" s="1713" t="n"/>
      <c r="AT752" s="1713" t="n"/>
      <c r="AU752" s="1713" t="n"/>
      <c r="AV752" s="1422" t="n"/>
    </row>
    <row r="753" ht="14.4" customFormat="1" customHeight="1" s="1418">
      <c r="A753" s="1420" t="n"/>
      <c r="B753" s="1470" t="n"/>
      <c r="C753" s="1470" t="n"/>
      <c r="D753" s="1470" t="n"/>
      <c r="E753" s="1470" t="n"/>
      <c r="F753" s="1470" t="n"/>
      <c r="G753" s="1470" t="n"/>
      <c r="H753" s="1470" t="n"/>
      <c r="I753" s="1470" t="n"/>
      <c r="J753" s="1470" t="n"/>
      <c r="K753" s="1470" t="n"/>
      <c r="L753" s="1470" t="n"/>
      <c r="M753" s="1470" t="n"/>
      <c r="N753" s="1470" t="n"/>
      <c r="O753" s="1470" t="n"/>
      <c r="P753" s="1420" t="n"/>
      <c r="Q753" s="1470" t="n"/>
      <c r="R753" s="1470" t="n"/>
      <c r="S753" s="1470" t="n"/>
      <c r="T753" s="1470" t="n"/>
      <c r="U753" s="1420" t="n"/>
      <c r="V753" s="1470" t="n"/>
      <c r="W753" s="1470" t="n"/>
      <c r="X753" s="1470" t="n"/>
      <c r="Y753" s="1470" t="n"/>
      <c r="Z753" s="1420" t="n"/>
      <c r="AA753" s="1470" t="n"/>
      <c r="AB753" s="1470" t="n"/>
      <c r="AC753" s="1470" t="n"/>
      <c r="AD753" s="1470" t="n"/>
      <c r="AE753" s="1420" t="n"/>
      <c r="AF753" s="1470" t="n"/>
      <c r="AG753" s="1470" t="n"/>
      <c r="AH753" s="1470" t="n"/>
      <c r="AI753" s="1470" t="n"/>
      <c r="AJ753" s="1420" t="n"/>
      <c r="AK753" s="1471" t="n"/>
      <c r="AL753" s="1420" t="n"/>
      <c r="AM753" s="1420" t="n"/>
      <c r="AN753" s="1420" t="n"/>
      <c r="AO753" s="1420" t="n"/>
      <c r="AP753" s="1420" t="n"/>
      <c r="AQ753" s="1420" t="n"/>
      <c r="AR753" s="1420" t="n"/>
      <c r="AS753" s="1420" t="n"/>
      <c r="AT753" s="1420" t="n"/>
      <c r="AU753" s="1420" t="n"/>
      <c r="AV753" s="1422" t="n"/>
    </row>
    <row r="754" ht="14.4" customFormat="1" customHeight="1" s="1418">
      <c r="A754" s="1916" t="inlineStr">
        <is>
          <t>Other Tables</t>
        </is>
      </c>
      <c r="B754" s="1916" t="n"/>
      <c r="C754" s="1916" t="n"/>
      <c r="D754" s="1916" t="n"/>
      <c r="E754" s="1916" t="n"/>
      <c r="F754" s="1916" t="n"/>
      <c r="G754" s="1916" t="n"/>
      <c r="H754" s="1916" t="n"/>
      <c r="I754" s="1916" t="n"/>
      <c r="J754" s="1916" t="n"/>
      <c r="K754" s="1916" t="n"/>
      <c r="L754" s="1916" t="n"/>
      <c r="M754" s="1916" t="n"/>
      <c r="N754" s="1916" t="n"/>
      <c r="O754" s="1916" t="n"/>
      <c r="P754" s="1916" t="n"/>
      <c r="Q754" s="1916" t="n"/>
      <c r="R754" s="1916" t="n"/>
      <c r="S754" s="1916" t="n"/>
      <c r="T754" s="1916" t="n"/>
      <c r="U754" s="1916" t="n"/>
      <c r="V754" s="1916" t="n"/>
      <c r="W754" s="1916" t="n"/>
      <c r="X754" s="1916" t="n"/>
      <c r="Y754" s="1916" t="n"/>
      <c r="Z754" s="1916" t="n"/>
      <c r="AA754" s="1916" t="n"/>
      <c r="AB754" s="1916" t="n"/>
      <c r="AC754" s="1916" t="n"/>
      <c r="AD754" s="1916" t="n"/>
      <c r="AE754" s="1916" t="n"/>
      <c r="AF754" s="1916" t="n"/>
      <c r="AG754" s="1916" t="n"/>
      <c r="AH754" s="1916" t="n"/>
      <c r="AI754" s="1916" t="n"/>
      <c r="AJ754" s="1916" t="n"/>
      <c r="AK754" s="1917" t="n"/>
      <c r="AL754" s="1916" t="n"/>
      <c r="AM754" s="1916" t="n"/>
      <c r="AN754" s="1916" t="n"/>
      <c r="AO754" s="1916" t="n"/>
      <c r="AP754" s="1916" t="n"/>
      <c r="AQ754" s="1916" t="n"/>
      <c r="AR754" s="1916" t="n"/>
      <c r="AS754" s="1916" t="n"/>
      <c r="AT754" s="1916" t="n"/>
      <c r="AU754" s="1916" t="n"/>
      <c r="AV754" s="1422" t="n"/>
    </row>
    <row r="755" ht="14.4" customFormat="1" customHeight="1" s="1418">
      <c r="A755" s="1918" t="n"/>
      <c r="B755" s="1420" t="n"/>
      <c r="C755" s="1919" t="n"/>
      <c r="D755" s="1919" t="n"/>
      <c r="E755" s="1420" t="n"/>
      <c r="F755" s="1420" t="n"/>
      <c r="G755" s="1420" t="n"/>
      <c r="H755" s="1420" t="n"/>
      <c r="I755" s="1420" t="n"/>
      <c r="J755" s="1420" t="n"/>
      <c r="K755" s="1420" t="n"/>
      <c r="L755" s="1420" t="n"/>
      <c r="M755" s="1420" t="n"/>
      <c r="N755" s="1420" t="n"/>
      <c r="O755" s="1420" t="n"/>
      <c r="P755" s="1420" t="n"/>
      <c r="Q755" s="1420" t="n"/>
      <c r="R755" s="1420" t="n"/>
      <c r="S755" s="1420" t="n"/>
      <c r="T755" s="1420" t="n"/>
      <c r="U755" s="1420" t="n"/>
      <c r="V755" s="1420" t="n"/>
      <c r="W755" s="1420" t="n"/>
      <c r="X755" s="1420" t="n"/>
      <c r="Y755" s="1420" t="n"/>
      <c r="Z755" s="1420" t="n"/>
      <c r="AA755" s="1420" t="n"/>
      <c r="AB755" s="1420" t="n"/>
      <c r="AC755" s="1420" t="n"/>
      <c r="AD755" s="1420" t="n"/>
      <c r="AE755" s="1420" t="n"/>
      <c r="AF755" s="1420" t="n"/>
      <c r="AG755" s="1420" t="n"/>
      <c r="AH755" s="1420" t="n"/>
      <c r="AI755" s="1420" t="n"/>
      <c r="AJ755" s="1420" t="n"/>
      <c r="AK755" s="1421" t="n"/>
      <c r="AL755" s="1420" t="n"/>
      <c r="AM755" s="1420" t="n"/>
      <c r="AN755" s="1420" t="n"/>
      <c r="AO755" s="1420" t="n"/>
      <c r="AP755" s="1420" t="n"/>
      <c r="AQ755" s="1420" t="n"/>
      <c r="AR755" s="1420" t="n"/>
      <c r="AS755" s="1420" t="n"/>
      <c r="AT755" s="1420" t="n"/>
      <c r="AU755" s="1420" t="n"/>
      <c r="AV755" s="1422" t="n"/>
    </row>
    <row r="756" ht="14.4" customFormat="1" customHeight="1" s="1480">
      <c r="A756" s="1920" t="inlineStr">
        <is>
          <t>Ticker Symbol</t>
        </is>
      </c>
      <c r="B756" s="1562" t="n"/>
      <c r="C756" s="1921" t="n"/>
      <c r="D756" s="1921" t="n"/>
      <c r="E756" s="1562" t="n"/>
      <c r="F756" s="1562" t="n"/>
      <c r="G756" s="1562" t="n"/>
      <c r="H756" s="1562" t="n"/>
      <c r="I756" s="1562" t="n"/>
      <c r="J756" s="1562" t="n"/>
      <c r="K756" s="1562" t="n"/>
      <c r="L756" s="1562" t="n"/>
      <c r="M756" s="1562" t="n"/>
      <c r="N756" s="1562" t="n"/>
      <c r="O756" s="1562" t="n"/>
      <c r="P756" s="1562" t="n"/>
      <c r="Q756" s="1562" t="n"/>
      <c r="R756" s="1562" t="n"/>
      <c r="S756" s="1562" t="n"/>
      <c r="T756" s="1562" t="n"/>
      <c r="U756" s="1562" t="n"/>
      <c r="V756" s="1562" t="n"/>
      <c r="W756" s="1562" t="n"/>
      <c r="X756" s="1562" t="n"/>
      <c r="Y756" s="1562" t="n"/>
      <c r="Z756" s="1562" t="n"/>
      <c r="AA756" s="1562" t="n"/>
      <c r="AB756" s="1562" t="n"/>
      <c r="AC756" s="1562" t="n"/>
      <c r="AD756" s="1562" t="n"/>
      <c r="AE756" s="1562" t="n"/>
      <c r="AF756" s="1562" t="n"/>
      <c r="AG756" s="1562" t="n"/>
      <c r="AH756" s="1562" t="n"/>
      <c r="AI756" s="1562" t="n"/>
      <c r="AJ756" s="1562" t="n"/>
      <c r="AK756" s="1563" t="n"/>
      <c r="AL756" s="1562" t="n"/>
      <c r="AM756" s="1562" t="n"/>
      <c r="AN756" s="1562" t="n"/>
      <c r="AO756" s="1562" t="n"/>
      <c r="AP756" s="1562" t="n"/>
      <c r="AQ756" s="1562" t="n"/>
      <c r="AR756" s="1562" t="n"/>
      <c r="AS756" s="1562" t="n"/>
      <c r="AT756" s="1562" t="n"/>
      <c r="AU756" s="1562" t="n"/>
      <c r="AV756" s="1488" t="n"/>
    </row>
    <row r="757" ht="14.4" customFormat="1" customHeight="1" s="1480">
      <c r="A757" s="1922" t="inlineStr">
        <is>
          <t>CRWV_US</t>
        </is>
      </c>
      <c r="B757" s="1562" t="n"/>
      <c r="C757" s="1921" t="n"/>
      <c r="D757" s="1921" t="n"/>
      <c r="E757" s="1562" t="n"/>
      <c r="F757" s="1562" t="n"/>
      <c r="G757" s="1562" t="n"/>
      <c r="H757" s="1562" t="n"/>
      <c r="I757" s="1562" t="n"/>
      <c r="J757" s="1562" t="n"/>
      <c r="K757" s="1562" t="n"/>
      <c r="L757" s="1562" t="n"/>
      <c r="M757" s="1562" t="n"/>
      <c r="N757" s="1562" t="n"/>
      <c r="O757" s="1562" t="n"/>
      <c r="P757" s="1562" t="n"/>
      <c r="Q757" s="1562" t="n"/>
      <c r="R757" s="1562" t="n"/>
      <c r="S757" s="1562" t="n"/>
      <c r="T757" s="1562" t="n"/>
      <c r="U757" s="1562" t="n"/>
      <c r="V757" s="1562" t="n"/>
      <c r="W757" s="1562" t="n"/>
      <c r="X757" s="1562" t="n"/>
      <c r="Y757" s="1562" t="n"/>
      <c r="Z757" s="1562" t="n"/>
      <c r="AA757" s="1562" t="n"/>
      <c r="AB757" s="1562" t="n"/>
      <c r="AC757" s="1562" t="n"/>
      <c r="AD757" s="1562" t="n"/>
      <c r="AE757" s="1562" t="n"/>
      <c r="AF757" s="1562" t="n"/>
      <c r="AG757" s="1562" t="n"/>
      <c r="AH757" s="1562" t="n"/>
      <c r="AI757" s="1562" t="n"/>
      <c r="AJ757" s="1562" t="n"/>
      <c r="AK757" s="1563" t="n"/>
      <c r="AL757" s="1562" t="n"/>
      <c r="AM757" s="1562" t="n"/>
      <c r="AN757" s="1562" t="n"/>
      <c r="AO757" s="1562" t="n"/>
      <c r="AP757" s="1562" t="n"/>
      <c r="AQ757" s="1562" t="n"/>
      <c r="AR757" s="1562" t="n"/>
      <c r="AS757" s="1562" t="n"/>
      <c r="AT757" s="1562" t="n"/>
      <c r="AU757" s="1562" t="n"/>
      <c r="AV757" s="1488" t="n"/>
    </row>
    <row r="758" ht="14.4" customFormat="1" customHeight="1" s="1480">
      <c r="A758" s="1923" t="inlineStr">
        <is>
          <t>CRWV US</t>
        </is>
      </c>
      <c r="B758" s="1562" t="n"/>
      <c r="C758" s="1921" t="n"/>
      <c r="D758" s="1921" t="n"/>
      <c r="E758" s="1562" t="n"/>
      <c r="F758" s="1562" t="n"/>
      <c r="G758" s="1562" t="n"/>
      <c r="H758" s="1562" t="n"/>
      <c r="I758" s="1562" t="n"/>
      <c r="J758" s="1562" t="n"/>
      <c r="K758" s="1562" t="n"/>
      <c r="L758" s="1562" t="n"/>
      <c r="M758" s="1562" t="n"/>
      <c r="N758" s="1562" t="n"/>
      <c r="O758" s="1562" t="n"/>
      <c r="P758" s="1562" t="n"/>
      <c r="Q758" s="1562" t="n"/>
      <c r="R758" s="1562" t="n"/>
      <c r="S758" s="1562" t="n"/>
      <c r="T758" s="1562" t="n"/>
      <c r="U758" s="1562" t="n"/>
      <c r="V758" s="1562" t="n"/>
      <c r="W758" s="1562" t="n"/>
      <c r="X758" s="1562" t="n"/>
      <c r="Y758" s="1562" t="n"/>
      <c r="Z758" s="1562" t="n"/>
      <c r="AA758" s="1562" t="n"/>
      <c r="AB758" s="1562" t="n"/>
      <c r="AC758" s="1562" t="n"/>
      <c r="AD758" s="1562" t="n"/>
      <c r="AE758" s="1562" t="n"/>
      <c r="AF758" s="1562" t="n"/>
      <c r="AG758" s="1562" t="n"/>
      <c r="AH758" s="1562" t="n"/>
      <c r="AI758" s="1562" t="n"/>
      <c r="AJ758" s="1562" t="n"/>
      <c r="AK758" s="1563" t="n"/>
      <c r="AL758" s="1562" t="n"/>
      <c r="AM758" s="1562" t="n"/>
      <c r="AN758" s="1562" t="n"/>
      <c r="AO758" s="1562" t="n"/>
      <c r="AP758" s="1562" t="n"/>
      <c r="AQ758" s="1562" t="n"/>
      <c r="AR758" s="1562" t="n"/>
      <c r="AS758" s="1562" t="n"/>
      <c r="AT758" s="1562" t="n"/>
      <c r="AU758" s="1562" t="n"/>
      <c r="AV758" s="1488" t="n"/>
    </row>
    <row r="759" ht="14.4" customFormat="1" customHeight="1" s="1480">
      <c r="A759" s="1924" t="inlineStr">
        <is>
          <t>NASDAQ:CRWV</t>
        </is>
      </c>
      <c r="B759" s="1562" t="n"/>
      <c r="C759" s="1921" t="n"/>
      <c r="D759" s="1921" t="n"/>
      <c r="E759" s="1562" t="n"/>
      <c r="F759" s="1562" t="n"/>
      <c r="G759" s="1562" t="n"/>
      <c r="H759" s="1562" t="n"/>
      <c r="I759" s="1562" t="n"/>
      <c r="J759" s="1562" t="n"/>
      <c r="K759" s="1562" t="n"/>
      <c r="L759" s="1562" t="n"/>
      <c r="M759" s="1562" t="n"/>
      <c r="N759" s="1562" t="n"/>
      <c r="O759" s="1562" t="n"/>
      <c r="P759" s="1562" t="n"/>
      <c r="Q759" s="1562" t="n"/>
      <c r="R759" s="1562" t="n"/>
      <c r="S759" s="1562" t="n"/>
      <c r="T759" s="1562" t="n"/>
      <c r="U759" s="1562" t="n"/>
      <c r="V759" s="1562" t="n"/>
      <c r="W759" s="1562" t="n"/>
      <c r="X759" s="1562" t="n"/>
      <c r="Y759" s="1562" t="n"/>
      <c r="Z759" s="1562" t="n"/>
      <c r="AA759" s="1562" t="n"/>
      <c r="AB759" s="1562" t="n"/>
      <c r="AC759" s="1562" t="n"/>
      <c r="AD759" s="1562" t="n"/>
      <c r="AE759" s="1562" t="n"/>
      <c r="AF759" s="1562" t="n"/>
      <c r="AG759" s="1562" t="n"/>
      <c r="AH759" s="1562" t="n"/>
      <c r="AI759" s="1562" t="n"/>
      <c r="AJ759" s="1562" t="n"/>
      <c r="AK759" s="1563" t="n"/>
      <c r="AL759" s="1562" t="n"/>
      <c r="AM759" s="1562" t="n"/>
      <c r="AN759" s="1562" t="n"/>
      <c r="AO759" s="1562" t="n"/>
      <c r="AP759" s="1562" t="n"/>
      <c r="AQ759" s="1562" t="n"/>
      <c r="AR759" s="1562" t="n"/>
      <c r="AS759" s="1562" t="n"/>
      <c r="AT759" s="1562" t="n"/>
      <c r="AU759" s="1562" t="n"/>
      <c r="AV759" s="1488" t="n"/>
    </row>
    <row r="760" ht="14.4" customFormat="1" customHeight="1" s="1480">
      <c r="A760" s="1925" t="inlineStr">
        <is>
          <t>CRWV-US</t>
        </is>
      </c>
      <c r="B760" s="1562" t="n"/>
      <c r="C760" s="1921" t="n"/>
      <c r="D760" s="1921" t="n"/>
      <c r="E760" s="1562" t="n"/>
      <c r="F760" s="1562" t="n"/>
      <c r="G760" s="1562" t="n"/>
      <c r="H760" s="1562" t="n"/>
      <c r="I760" s="1562" t="n"/>
      <c r="J760" s="1562" t="n"/>
      <c r="K760" s="1562" t="n"/>
      <c r="L760" s="1562" t="n"/>
      <c r="M760" s="1562" t="n"/>
      <c r="N760" s="1562" t="n"/>
      <c r="O760" s="1562" t="n"/>
      <c r="P760" s="1562" t="n"/>
      <c r="Q760" s="1562" t="n"/>
      <c r="R760" s="1562" t="n"/>
      <c r="S760" s="1562" t="n"/>
      <c r="T760" s="1562" t="n"/>
      <c r="U760" s="1562" t="n"/>
      <c r="V760" s="1562" t="n"/>
      <c r="W760" s="1562" t="n"/>
      <c r="X760" s="1562" t="n"/>
      <c r="Y760" s="1562" t="n"/>
      <c r="Z760" s="1562" t="n"/>
      <c r="AA760" s="1562" t="n"/>
      <c r="AB760" s="1562" t="n"/>
      <c r="AC760" s="1562" t="n"/>
      <c r="AD760" s="1562" t="n"/>
      <c r="AE760" s="1562" t="n"/>
      <c r="AF760" s="1562" t="n"/>
      <c r="AG760" s="1562" t="n"/>
      <c r="AH760" s="1562" t="n"/>
      <c r="AI760" s="1562" t="n"/>
      <c r="AJ760" s="1562" t="n"/>
      <c r="AK760" s="1563" t="n"/>
      <c r="AL760" s="1562" t="n"/>
      <c r="AM760" s="1562" t="n"/>
      <c r="AN760" s="1562" t="n"/>
      <c r="AO760" s="1562" t="n"/>
      <c r="AP760" s="1562" t="n"/>
      <c r="AQ760" s="1562" t="n"/>
      <c r="AR760" s="1562" t="n"/>
      <c r="AS760" s="1562" t="n"/>
      <c r="AT760" s="1562" t="n"/>
      <c r="AU760" s="1562" t="n"/>
      <c r="AV760" s="1488" t="n"/>
    </row>
    <row r="761" ht="14.4" customFormat="1" customHeight="1" s="1480">
      <c r="A761" s="1926" t="inlineStr">
        <is>
          <t>CRWV.OQ</t>
        </is>
      </c>
      <c r="B761" s="1562" t="n"/>
      <c r="C761" s="1921" t="n"/>
      <c r="D761" s="1921" t="n"/>
      <c r="E761" s="1562" t="n"/>
      <c r="F761" s="1562" t="n"/>
      <c r="G761" s="1562" t="n"/>
      <c r="H761" s="1562" t="n"/>
      <c r="I761" s="1562" t="n"/>
      <c r="J761" s="1562" t="n"/>
      <c r="K761" s="1562" t="n"/>
      <c r="L761" s="1562" t="n"/>
      <c r="M761" s="1562" t="n"/>
      <c r="N761" s="1562" t="n"/>
      <c r="O761" s="1562" t="n"/>
      <c r="P761" s="1562" t="n"/>
      <c r="Q761" s="1562" t="n"/>
      <c r="R761" s="1562" t="n"/>
      <c r="S761" s="1562" t="n"/>
      <c r="T761" s="1562" t="n"/>
      <c r="U761" s="1562" t="n"/>
      <c r="V761" s="1562" t="n"/>
      <c r="W761" s="1562" t="n"/>
      <c r="X761" s="1562" t="n"/>
      <c r="Y761" s="1562" t="n"/>
      <c r="Z761" s="1562" t="n"/>
      <c r="AA761" s="1562" t="n"/>
      <c r="AB761" s="1562" t="n"/>
      <c r="AC761" s="1562" t="n"/>
      <c r="AD761" s="1562" t="n"/>
      <c r="AE761" s="1562" t="n"/>
      <c r="AF761" s="1562" t="n"/>
      <c r="AG761" s="1562" t="n"/>
      <c r="AH761" s="1562" t="n"/>
      <c r="AI761" s="1562" t="n"/>
      <c r="AJ761" s="1562" t="n"/>
      <c r="AK761" s="1563" t="n"/>
      <c r="AL761" s="1562" t="n"/>
      <c r="AM761" s="1562" t="n"/>
      <c r="AN761" s="1562" t="n"/>
      <c r="AO761" s="1562" t="n"/>
      <c r="AP761" s="1562" t="n"/>
      <c r="AQ761" s="1562" t="n"/>
      <c r="AR761" s="1562" t="n"/>
      <c r="AS761" s="1562" t="n"/>
      <c r="AT761" s="1562" t="n"/>
      <c r="AU761" s="1562" t="n"/>
      <c r="AV761" s="1488" t="n"/>
    </row>
    <row r="762" ht="14.4" customFormat="1" customHeight="1" s="1480">
      <c r="A762" s="1918" t="n"/>
      <c r="B762" s="1562" t="n"/>
      <c r="C762" s="1921" t="n"/>
      <c r="D762" s="1921" t="n"/>
      <c r="E762" s="1562" t="n"/>
      <c r="F762" s="1562" t="n"/>
      <c r="G762" s="1562" t="n"/>
      <c r="H762" s="1562" t="n"/>
      <c r="I762" s="1562" t="n"/>
      <c r="J762" s="1562" t="n"/>
      <c r="K762" s="1562" t="n"/>
      <c r="L762" s="1562" t="n"/>
      <c r="M762" s="1562" t="n"/>
      <c r="N762" s="1562" t="n"/>
      <c r="O762" s="1562" t="n"/>
      <c r="P762" s="1562" t="n"/>
      <c r="Q762" s="1562" t="n"/>
      <c r="R762" s="1562" t="n"/>
      <c r="S762" s="1562" t="n"/>
      <c r="T762" s="1562" t="n"/>
      <c r="U762" s="1562" t="n"/>
      <c r="V762" s="1562" t="n"/>
      <c r="W762" s="1562" t="n"/>
      <c r="X762" s="1562" t="n"/>
      <c r="Y762" s="1562" t="n"/>
      <c r="Z762" s="1562" t="n"/>
      <c r="AA762" s="1562" t="n"/>
      <c r="AB762" s="1562" t="n"/>
      <c r="AC762" s="1562" t="n"/>
      <c r="AD762" s="1562" t="n"/>
      <c r="AE762" s="1562" t="n"/>
      <c r="AF762" s="1562" t="n"/>
      <c r="AG762" s="1562" t="n"/>
      <c r="AH762" s="1562" t="n"/>
      <c r="AI762" s="1562" t="n"/>
      <c r="AJ762" s="1562" t="n"/>
      <c r="AK762" s="1563" t="n"/>
      <c r="AL762" s="1562" t="n"/>
      <c r="AM762" s="1562" t="n"/>
      <c r="AN762" s="1562" t="n"/>
      <c r="AO762" s="1562" t="n"/>
      <c r="AP762" s="1562" t="n"/>
      <c r="AQ762" s="1562" t="n"/>
      <c r="AR762" s="1562" t="n"/>
      <c r="AS762" s="1562" t="n"/>
      <c r="AT762" s="1562" t="n"/>
      <c r="AU762" s="1562" t="n"/>
      <c r="AV762" s="1488" t="n"/>
    </row>
    <row r="763" ht="14.4" customHeight="1" s="877">
      <c r="A763" s="1927" t="inlineStr">
        <is>
          <t>Valuation Toggle Table</t>
        </is>
      </c>
      <c r="B763" s="340" t="n"/>
      <c r="C763" s="668" t="n"/>
      <c r="D763" s="668" t="n"/>
      <c r="E763" s="668" t="n"/>
      <c r="F763" s="668" t="n"/>
      <c r="G763" s="668" t="n"/>
      <c r="H763" s="668" t="n"/>
      <c r="I763" s="668" t="n"/>
      <c r="J763" s="668" t="n"/>
      <c r="K763" s="668" t="n"/>
      <c r="L763" s="668" t="n"/>
      <c r="M763" s="668" t="n"/>
      <c r="N763" s="668" t="n"/>
      <c r="O763" s="668" t="n"/>
      <c r="P763" s="668" t="n"/>
      <c r="Q763" s="668" t="n"/>
      <c r="R763" s="668" t="n"/>
      <c r="S763" s="668" t="n"/>
      <c r="T763" s="668" t="n"/>
      <c r="U763" s="668" t="n"/>
      <c r="V763" s="668" t="n"/>
      <c r="W763" s="668" t="n"/>
      <c r="X763" s="668" t="n"/>
      <c r="Y763" s="668" t="n"/>
      <c r="Z763" s="668" t="n"/>
      <c r="AA763" s="668" t="n"/>
      <c r="AB763" s="668" t="n"/>
      <c r="AC763" s="668" t="n"/>
      <c r="AD763" s="668" t="n"/>
      <c r="AE763" s="668" t="n"/>
      <c r="AF763" s="668" t="n"/>
      <c r="AG763" s="668" t="n"/>
      <c r="AH763" s="668" t="n"/>
      <c r="AI763" s="668" t="n"/>
      <c r="AJ763" s="668" t="n"/>
      <c r="AK763" s="293" t="n"/>
      <c r="AL763" s="668" t="n"/>
      <c r="AM763" s="668" t="n"/>
      <c r="AN763" s="668" t="n"/>
      <c r="AO763" s="668" t="n"/>
      <c r="AP763" s="668" t="n"/>
      <c r="AQ763" s="668" t="n"/>
      <c r="AR763" s="668" t="n"/>
      <c r="AS763" s="668" t="n"/>
      <c r="AT763" s="668" t="n"/>
      <c r="AU763" s="668" t="n"/>
      <c r="AV763" s="787" t="n"/>
    </row>
    <row r="764" ht="14.4" customFormat="1" customHeight="1" s="1480">
      <c r="A764" s="1928" t="inlineStr">
        <is>
          <t>High</t>
        </is>
      </c>
      <c r="B764" s="1929" t="n">
        <v>1</v>
      </c>
      <c r="C764" s="1562" t="n"/>
      <c r="D764" s="1921" t="n"/>
      <c r="E764" s="1562" t="n"/>
      <c r="F764" s="1562" t="n"/>
      <c r="G764" s="1562" t="n"/>
      <c r="H764" s="1562" t="n"/>
      <c r="I764" s="1562" t="n"/>
      <c r="J764" s="1562" t="n"/>
      <c r="K764" s="1562" t="n"/>
      <c r="L764" s="1562" t="n"/>
      <c r="M764" s="1562" t="n"/>
      <c r="N764" s="1562" t="n"/>
      <c r="O764" s="1562" t="n"/>
      <c r="P764" s="1562" t="n"/>
      <c r="Q764" s="1562" t="n"/>
      <c r="R764" s="1562" t="n"/>
      <c r="S764" s="1562" t="n"/>
      <c r="T764" s="1562" t="n"/>
      <c r="U764" s="1562" t="n"/>
      <c r="V764" s="1562" t="n"/>
      <c r="W764" s="1562" t="n"/>
      <c r="X764" s="1562" t="n"/>
      <c r="Y764" s="1562" t="n"/>
      <c r="Z764" s="1562" t="n"/>
      <c r="AA764" s="1562" t="n"/>
      <c r="AB764" s="1562" t="n"/>
      <c r="AC764" s="1562" t="n"/>
      <c r="AD764" s="1562" t="n"/>
      <c r="AE764" s="1562" t="n"/>
      <c r="AF764" s="1562" t="n"/>
      <c r="AG764" s="1562" t="n"/>
      <c r="AH764" s="1562" t="n"/>
      <c r="AI764" s="1562" t="n"/>
      <c r="AJ764" s="1562" t="n"/>
      <c r="AK764" s="1563" t="n"/>
      <c r="AL764" s="1562" t="n"/>
      <c r="AM764" s="1562" t="n"/>
      <c r="AN764" s="1562" t="n"/>
      <c r="AO764" s="1562" t="n"/>
      <c r="AP764" s="1562" t="n"/>
      <c r="AQ764" s="1562" t="n"/>
      <c r="AR764" s="1562" t="n"/>
      <c r="AS764" s="1562" t="n"/>
      <c r="AT764" s="1562" t="n"/>
      <c r="AU764" s="1562" t="n"/>
      <c r="AV764" s="1488" t="n"/>
    </row>
    <row r="765" ht="14.4" customFormat="1" customHeight="1" s="1480">
      <c r="A765" s="1928" t="inlineStr">
        <is>
          <t>Low</t>
        </is>
      </c>
      <c r="B765" s="1929" t="n">
        <v>2</v>
      </c>
      <c r="C765" s="1562" t="n"/>
      <c r="D765" s="1921" t="n"/>
      <c r="E765" s="1562" t="n"/>
      <c r="F765" s="1562" t="n"/>
      <c r="G765" s="1562" t="n"/>
      <c r="H765" s="1562" t="n"/>
      <c r="I765" s="1562" t="n"/>
      <c r="J765" s="1562" t="n"/>
      <c r="K765" s="1562" t="n"/>
      <c r="L765" s="1562" t="n"/>
      <c r="M765" s="1562" t="n"/>
      <c r="N765" s="1562" t="n"/>
      <c r="O765" s="1562" t="n"/>
      <c r="P765" s="1562" t="n"/>
      <c r="Q765" s="1562" t="n"/>
      <c r="R765" s="1562" t="n"/>
      <c r="S765" s="1562" t="n"/>
      <c r="T765" s="1562" t="n"/>
      <c r="U765" s="1562" t="n"/>
      <c r="V765" s="1562" t="n"/>
      <c r="W765" s="1562" t="n"/>
      <c r="X765" s="1562" t="n"/>
      <c r="Y765" s="1562" t="n"/>
      <c r="Z765" s="1562" t="n"/>
      <c r="AA765" s="1562" t="n"/>
      <c r="AB765" s="1562" t="n"/>
      <c r="AC765" s="1562" t="n"/>
      <c r="AD765" s="1562" t="n"/>
      <c r="AE765" s="1562" t="n"/>
      <c r="AF765" s="1562" t="n"/>
      <c r="AG765" s="1562" t="n"/>
      <c r="AH765" s="1562" t="n"/>
      <c r="AI765" s="1562" t="n"/>
      <c r="AJ765" s="1562" t="n"/>
      <c r="AK765" s="1563" t="n"/>
      <c r="AL765" s="1562" t="n"/>
      <c r="AM765" s="1562" t="n"/>
      <c r="AN765" s="1562" t="n"/>
      <c r="AO765" s="1562" t="n"/>
      <c r="AP765" s="1562" t="n"/>
      <c r="AQ765" s="1562" t="n"/>
      <c r="AR765" s="1562" t="n"/>
      <c r="AS765" s="1562" t="n"/>
      <c r="AT765" s="1562" t="n"/>
      <c r="AU765" s="1562" t="n"/>
      <c r="AV765" s="1488" t="n"/>
    </row>
    <row r="766" ht="14.4" customFormat="1" customHeight="1" s="1480">
      <c r="A766" s="1928" t="inlineStr">
        <is>
          <t>Avg</t>
        </is>
      </c>
      <c r="B766" s="1929" t="n">
        <v>3</v>
      </c>
      <c r="C766" s="1562" t="n"/>
      <c r="D766" s="1921" t="n"/>
      <c r="E766" s="1562" t="n"/>
      <c r="F766" s="1562" t="n"/>
      <c r="G766" s="1562" t="n"/>
      <c r="H766" s="1562" t="n"/>
      <c r="I766" s="1562" t="n"/>
      <c r="J766" s="1562" t="n"/>
      <c r="K766" s="1562" t="n"/>
      <c r="L766" s="1562" t="n"/>
      <c r="M766" s="1562" t="n"/>
      <c r="N766" s="1562" t="n"/>
      <c r="O766" s="1562" t="n"/>
      <c r="P766" s="1562" t="n"/>
      <c r="Q766" s="1562" t="n"/>
      <c r="R766" s="1562" t="n"/>
      <c r="S766" s="1562" t="n"/>
      <c r="T766" s="1562" t="n"/>
      <c r="U766" s="1562" t="n"/>
      <c r="V766" s="1562" t="n"/>
      <c r="W766" s="1562" t="n"/>
      <c r="X766" s="1562" t="n"/>
      <c r="Y766" s="1562" t="n"/>
      <c r="Z766" s="1562" t="n"/>
      <c r="AA766" s="1562" t="n"/>
      <c r="AB766" s="1562" t="n"/>
      <c r="AC766" s="1562" t="n"/>
      <c r="AD766" s="1562" t="n"/>
      <c r="AE766" s="1562" t="n"/>
      <c r="AF766" s="1562" t="n"/>
      <c r="AG766" s="1562" t="n"/>
      <c r="AH766" s="1562" t="n"/>
      <c r="AI766" s="1562" t="n"/>
      <c r="AJ766" s="1562" t="n"/>
      <c r="AK766" s="1563" t="n"/>
      <c r="AL766" s="1562" t="n"/>
      <c r="AM766" s="1562" t="n"/>
      <c r="AN766" s="1562" t="n"/>
      <c r="AO766" s="1562" t="n"/>
      <c r="AP766" s="1562" t="n"/>
      <c r="AQ766" s="1562" t="n"/>
      <c r="AR766" s="1562" t="n"/>
      <c r="AS766" s="1562" t="n"/>
      <c r="AT766" s="1562" t="n"/>
      <c r="AU766" s="1562" t="n"/>
      <c r="AV766" s="1488" t="n"/>
    </row>
    <row r="767" ht="14.4" customFormat="1" customHeight="1" s="1480">
      <c r="A767" s="1930" t="inlineStr">
        <is>
          <t>EoP</t>
        </is>
      </c>
      <c r="B767" s="1931" t="n">
        <v>4</v>
      </c>
      <c r="C767" s="1562" t="n"/>
      <c r="D767" s="1921" t="n"/>
      <c r="E767" s="1562" t="n"/>
      <c r="F767" s="1562" t="n"/>
      <c r="G767" s="1562" t="n"/>
      <c r="H767" s="1562" t="n"/>
      <c r="I767" s="1562" t="n"/>
      <c r="J767" s="1562" t="n"/>
      <c r="K767" s="1562" t="n"/>
      <c r="L767" s="1562" t="n"/>
      <c r="M767" s="1562" t="n"/>
      <c r="N767" s="1562" t="n"/>
      <c r="O767" s="1562" t="n"/>
      <c r="P767" s="1562" t="n"/>
      <c r="Q767" s="1562" t="n"/>
      <c r="R767" s="1562" t="n"/>
      <c r="S767" s="1562" t="n"/>
      <c r="T767" s="1562" t="n"/>
      <c r="U767" s="1562" t="n"/>
      <c r="V767" s="1562" t="n"/>
      <c r="W767" s="1562" t="n"/>
      <c r="X767" s="1562" t="n"/>
      <c r="Y767" s="1562" t="n"/>
      <c r="Z767" s="1562" t="n"/>
      <c r="AA767" s="1562" t="n"/>
      <c r="AB767" s="1562" t="n"/>
      <c r="AC767" s="1562" t="n"/>
      <c r="AD767" s="1562" t="n"/>
      <c r="AE767" s="1562" t="n"/>
      <c r="AF767" s="1562" t="n"/>
      <c r="AG767" s="1562" t="n"/>
      <c r="AH767" s="1562" t="n"/>
      <c r="AI767" s="1562" t="n"/>
      <c r="AJ767" s="1562" t="n"/>
      <c r="AK767" s="1563" t="n"/>
      <c r="AL767" s="1562" t="n"/>
      <c r="AM767" s="1562" t="n"/>
      <c r="AN767" s="1562" t="n"/>
      <c r="AO767" s="1562" t="n"/>
      <c r="AP767" s="1562" t="n"/>
      <c r="AQ767" s="1562" t="n"/>
      <c r="AR767" s="1562" t="n"/>
      <c r="AS767" s="1562" t="n"/>
      <c r="AT767" s="1562" t="n"/>
      <c r="AU767" s="1562" t="n"/>
      <c r="AV767" s="1488" t="n"/>
    </row>
    <row r="768" ht="14.4" customFormat="1" customHeight="1" s="1480">
      <c r="A768" s="1918" t="n"/>
      <c r="B768" s="1562" t="n"/>
      <c r="C768" s="1921" t="n"/>
      <c r="D768" s="1921" t="n"/>
      <c r="E768" s="1562" t="n"/>
      <c r="F768" s="1562" t="n"/>
      <c r="G768" s="1562" t="n"/>
      <c r="H768" s="1562" t="n"/>
      <c r="I768" s="1562" t="n"/>
      <c r="J768" s="1562" t="n"/>
      <c r="K768" s="1562" t="n"/>
      <c r="L768" s="1562" t="n"/>
      <c r="M768" s="1562" t="n"/>
      <c r="N768" s="1562" t="n"/>
      <c r="O768" s="1562" t="n"/>
      <c r="P768" s="1562" t="n"/>
      <c r="Q768" s="1562" t="n"/>
      <c r="R768" s="1562" t="n"/>
      <c r="S768" s="1562" t="n"/>
      <c r="T768" s="1562" t="n"/>
      <c r="U768" s="1562" t="n"/>
      <c r="V768" s="1562" t="n"/>
      <c r="W768" s="1562" t="n"/>
      <c r="X768" s="1562" t="n"/>
      <c r="Y768" s="1562" t="n"/>
      <c r="Z768" s="1562" t="n"/>
      <c r="AA768" s="1562" t="n"/>
      <c r="AB768" s="1562" t="n"/>
      <c r="AC768" s="1562" t="n"/>
      <c r="AD768" s="1562" t="n"/>
      <c r="AE768" s="1562" t="n"/>
      <c r="AF768" s="1562" t="n"/>
      <c r="AG768" s="1562" t="n"/>
      <c r="AH768" s="1562" t="n"/>
      <c r="AI768" s="1562" t="n"/>
      <c r="AJ768" s="1562" t="n"/>
      <c r="AK768" s="1563" t="n"/>
      <c r="AL768" s="1562" t="n"/>
      <c r="AM768" s="1562" t="n"/>
      <c r="AN768" s="1562" t="n"/>
      <c r="AO768" s="1562" t="n"/>
      <c r="AP768" s="1562" t="n"/>
      <c r="AQ768" s="1562" t="n"/>
      <c r="AR768" s="1562" t="n"/>
      <c r="AS768" s="1562" t="n"/>
      <c r="AT768" s="1562" t="n"/>
      <c r="AU768" s="1562" t="n"/>
      <c r="AV768" s="1488" t="n"/>
    </row>
    <row r="769" ht="14.4" customFormat="1" customHeight="1" s="1480">
      <c r="A769" s="1932" t="inlineStr">
        <is>
          <t>Key Outputs</t>
        </is>
      </c>
      <c r="B769" s="1562" t="n"/>
      <c r="C769" s="1921" t="n"/>
      <c r="D769" s="1921" t="n"/>
      <c r="E769" s="1562" t="n"/>
      <c r="F769" s="1562" t="n"/>
      <c r="G769" s="1562" t="n"/>
      <c r="H769" s="1562" t="n"/>
      <c r="I769" s="1562" t="n"/>
      <c r="J769" s="1562" t="n"/>
      <c r="K769" s="1562" t="n"/>
      <c r="L769" s="1562" t="n"/>
      <c r="M769" s="1562" t="n"/>
      <c r="N769" s="1562" t="n"/>
      <c r="O769" s="1562" t="n"/>
      <c r="P769" s="1562" t="n"/>
      <c r="Q769" s="1562" t="n"/>
      <c r="R769" s="1562" t="n"/>
      <c r="S769" s="1562" t="n"/>
      <c r="T769" s="1562" t="n"/>
      <c r="U769" s="1562" t="n"/>
      <c r="V769" s="1562" t="n"/>
      <c r="W769" s="1562" t="n"/>
      <c r="X769" s="1562" t="n"/>
      <c r="Y769" s="1562" t="n"/>
      <c r="Z769" s="1562" t="n"/>
      <c r="AA769" s="1562" t="n"/>
      <c r="AB769" s="1562" t="n"/>
      <c r="AC769" s="1562" t="n"/>
      <c r="AD769" s="1562" t="n"/>
      <c r="AE769" s="1562" t="n"/>
      <c r="AF769" s="1562" t="n"/>
      <c r="AG769" s="1562" t="n"/>
      <c r="AH769" s="1562" t="n"/>
      <c r="AI769" s="1562" t="n"/>
      <c r="AJ769" s="1562" t="n"/>
      <c r="AK769" s="1563" t="n"/>
      <c r="AL769" s="1562" t="n"/>
      <c r="AM769" s="1562" t="n"/>
      <c r="AN769" s="1562" t="n"/>
      <c r="AO769" s="1562" t="n"/>
      <c r="AP769" s="1562" t="n"/>
      <c r="AQ769" s="1562" t="n"/>
      <c r="AR769" s="1562" t="n"/>
      <c r="AS769" s="1562" t="n"/>
      <c r="AT769" s="1562" t="n"/>
      <c r="AU769" s="1562" t="n"/>
      <c r="AV769" s="1488" t="n"/>
    </row>
    <row r="770" ht="14.4" customFormat="1" customHeight="1" s="1480">
      <c r="A770" s="1933">
        <f>MO_RIS_REV</f>
        <v/>
      </c>
      <c r="B770" s="1562" t="n"/>
      <c r="C770" s="1921" t="n"/>
      <c r="D770" s="1921" t="n"/>
      <c r="E770" s="1562" t="n"/>
      <c r="F770" s="1562" t="n"/>
      <c r="G770" s="1562" t="n"/>
      <c r="H770" s="1562" t="n"/>
      <c r="I770" s="1562" t="n"/>
      <c r="J770" s="1562" t="n"/>
      <c r="K770" s="1562" t="n"/>
      <c r="L770" s="1562" t="n"/>
      <c r="M770" s="1562" t="n"/>
      <c r="N770" s="1562" t="n"/>
      <c r="O770" s="1562" t="n"/>
      <c r="P770" s="1562" t="n"/>
      <c r="Q770" s="1562" t="n"/>
      <c r="R770" s="1562" t="n"/>
      <c r="S770" s="1562" t="n"/>
      <c r="T770" s="1562" t="n"/>
      <c r="U770" s="1562" t="n"/>
      <c r="V770" s="1562" t="n"/>
      <c r="W770" s="1562" t="n"/>
      <c r="X770" s="1562" t="n"/>
      <c r="Y770" s="1562" t="n"/>
      <c r="Z770" s="1562" t="n"/>
      <c r="AA770" s="1562" t="n"/>
      <c r="AB770" s="1562" t="n"/>
      <c r="AC770" s="1562" t="n"/>
      <c r="AD770" s="1562" t="n"/>
      <c r="AE770" s="1562" t="n"/>
      <c r="AF770" s="1562" t="n"/>
      <c r="AG770" s="1562" t="n"/>
      <c r="AH770" s="1562" t="n"/>
      <c r="AI770" s="1562" t="n"/>
      <c r="AJ770" s="1562" t="n"/>
      <c r="AK770" s="1563" t="n"/>
      <c r="AL770" s="1562" t="n"/>
      <c r="AM770" s="1562" t="n"/>
      <c r="AN770" s="1562" t="n"/>
      <c r="AO770" s="1562" t="n"/>
      <c r="AP770" s="1562" t="n"/>
      <c r="AQ770" s="1562" t="n"/>
      <c r="AR770" s="1562" t="n"/>
      <c r="AS770" s="1562" t="n"/>
      <c r="AT770" s="1562" t="n"/>
      <c r="AU770" s="1562" t="n"/>
      <c r="AV770" s="1488" t="n"/>
    </row>
    <row r="771" ht="14.4" customFormat="1" customHeight="1" s="1480">
      <c r="A771" s="1933">
        <f>MO_RIS_Reported_OperatingIncome_NONGAAP</f>
        <v/>
      </c>
      <c r="B771" s="1562" t="n"/>
      <c r="C771" s="1921" t="n"/>
      <c r="D771" s="1921" t="n"/>
      <c r="E771" s="1562" t="n"/>
      <c r="F771" s="1562" t="n"/>
      <c r="G771" s="1562" t="n"/>
      <c r="H771" s="1562" t="n"/>
      <c r="I771" s="1562" t="n"/>
      <c r="J771" s="1562" t="n"/>
      <c r="K771" s="1562" t="n"/>
      <c r="L771" s="1562" t="n"/>
      <c r="M771" s="1562" t="n"/>
      <c r="N771" s="1562" t="n"/>
      <c r="O771" s="1562" t="n"/>
      <c r="P771" s="1562" t="n"/>
      <c r="Q771" s="1562" t="n"/>
      <c r="R771" s="1562" t="n"/>
      <c r="S771" s="1562" t="n"/>
      <c r="T771" s="1562" t="n"/>
      <c r="U771" s="1562" t="n"/>
      <c r="V771" s="1562" t="n"/>
      <c r="W771" s="1562" t="n"/>
      <c r="X771" s="1562" t="n"/>
      <c r="Y771" s="1562" t="n"/>
      <c r="Z771" s="1562" t="n"/>
      <c r="AA771" s="1562" t="n"/>
      <c r="AB771" s="1562" t="n"/>
      <c r="AC771" s="1562" t="n"/>
      <c r="AD771" s="1562" t="n"/>
      <c r="AE771" s="1562" t="n"/>
      <c r="AF771" s="1562" t="n"/>
      <c r="AG771" s="1562" t="n"/>
      <c r="AH771" s="1562" t="n"/>
      <c r="AI771" s="1562" t="n"/>
      <c r="AJ771" s="1562" t="n"/>
      <c r="AK771" s="1563" t="n"/>
      <c r="AL771" s="1562" t="n"/>
      <c r="AM771" s="1562" t="n"/>
      <c r="AN771" s="1562" t="n"/>
      <c r="AO771" s="1562" t="n"/>
      <c r="AP771" s="1562" t="n"/>
      <c r="AQ771" s="1562" t="n"/>
      <c r="AR771" s="1562" t="n"/>
      <c r="AS771" s="1562" t="n"/>
      <c r="AT771" s="1562" t="n"/>
      <c r="AU771" s="1562" t="n"/>
      <c r="AV771" s="1488" t="n"/>
    </row>
    <row r="772" ht="14.4" customFormat="1" customHeight="1" s="1480">
      <c r="A772" s="1933">
        <f>MO_RIS_EBITDA_Adj</f>
        <v/>
      </c>
      <c r="B772" s="1562" t="n"/>
      <c r="C772" s="1921" t="n"/>
      <c r="D772" s="1921" t="n"/>
      <c r="E772" s="1562" t="n"/>
      <c r="F772" s="1562" t="n"/>
      <c r="G772" s="1562" t="n"/>
      <c r="H772" s="1562" t="n"/>
      <c r="I772" s="1562" t="n"/>
      <c r="J772" s="1562" t="n"/>
      <c r="K772" s="1562" t="n"/>
      <c r="L772" s="1562" t="n"/>
      <c r="M772" s="1562" t="n"/>
      <c r="N772" s="1562" t="n"/>
      <c r="O772" s="1562" t="n"/>
      <c r="P772" s="1562" t="n"/>
      <c r="Q772" s="1562" t="n"/>
      <c r="R772" s="1562" t="n"/>
      <c r="S772" s="1562" t="n"/>
      <c r="T772" s="1562" t="n"/>
      <c r="U772" s="1562" t="n"/>
      <c r="V772" s="1562" t="n"/>
      <c r="W772" s="1562" t="n"/>
      <c r="X772" s="1562" t="n"/>
      <c r="Y772" s="1562" t="n"/>
      <c r="Z772" s="1562" t="n"/>
      <c r="AA772" s="1562" t="n"/>
      <c r="AB772" s="1562" t="n"/>
      <c r="AC772" s="1562" t="n"/>
      <c r="AD772" s="1562" t="n"/>
      <c r="AE772" s="1562" t="n"/>
      <c r="AF772" s="1562" t="n"/>
      <c r="AG772" s="1562" t="n"/>
      <c r="AH772" s="1562" t="n"/>
      <c r="AI772" s="1562" t="n"/>
      <c r="AJ772" s="1562" t="n"/>
      <c r="AK772" s="1563" t="n"/>
      <c r="AL772" s="1562" t="n"/>
      <c r="AM772" s="1562" t="n"/>
      <c r="AN772" s="1562" t="n"/>
      <c r="AO772" s="1562" t="n"/>
      <c r="AP772" s="1562" t="n"/>
      <c r="AQ772" s="1562" t="n"/>
      <c r="AR772" s="1562" t="n"/>
      <c r="AS772" s="1562" t="n"/>
      <c r="AT772" s="1562" t="n"/>
      <c r="AU772" s="1562" t="n"/>
      <c r="AV772" s="1488" t="n"/>
    </row>
    <row r="773" ht="14.4" customFormat="1" customHeight="1" s="1480">
      <c r="A773" s="1933">
        <f>MO_RIS_EPS_WAD_Adj</f>
        <v/>
      </c>
      <c r="B773" s="1562" t="n"/>
      <c r="C773" s="1921" t="n"/>
      <c r="D773" s="1921" t="n"/>
      <c r="E773" s="1562" t="n"/>
      <c r="F773" s="1562" t="n"/>
      <c r="G773" s="1562" t="n"/>
      <c r="H773" s="1562" t="n"/>
      <c r="I773" s="1562" t="n"/>
      <c r="J773" s="1562" t="n"/>
      <c r="K773" s="1562" t="n"/>
      <c r="L773" s="1562" t="n"/>
      <c r="M773" s="1562" t="n"/>
      <c r="N773" s="1562" t="n"/>
      <c r="O773" s="1562" t="n"/>
      <c r="P773" s="1562" t="n"/>
      <c r="Q773" s="1562" t="n"/>
      <c r="R773" s="1562" t="n"/>
      <c r="S773" s="1562" t="n"/>
      <c r="T773" s="1562" t="n"/>
      <c r="U773" s="1562" t="n"/>
      <c r="V773" s="1562" t="n"/>
      <c r="W773" s="1562" t="n"/>
      <c r="X773" s="1562" t="n"/>
      <c r="Y773" s="1562" t="n"/>
      <c r="Z773" s="1562" t="n"/>
      <c r="AA773" s="1562" t="n"/>
      <c r="AB773" s="1562" t="n"/>
      <c r="AC773" s="1562" t="n"/>
      <c r="AD773" s="1562" t="n"/>
      <c r="AE773" s="1562" t="n"/>
      <c r="AF773" s="1562" t="n"/>
      <c r="AG773" s="1562" t="n"/>
      <c r="AH773" s="1562" t="n"/>
      <c r="AI773" s="1562" t="n"/>
      <c r="AJ773" s="1562" t="n"/>
      <c r="AK773" s="1563" t="n"/>
      <c r="AL773" s="1562" t="n"/>
      <c r="AM773" s="1562" t="n"/>
      <c r="AN773" s="1562" t="n"/>
      <c r="AO773" s="1562" t="n"/>
      <c r="AP773" s="1562" t="n"/>
      <c r="AQ773" s="1562" t="n"/>
      <c r="AR773" s="1562" t="n"/>
      <c r="AS773" s="1562" t="n"/>
      <c r="AT773" s="1562" t="n"/>
      <c r="AU773" s="1562" t="n"/>
      <c r="AV773" s="1488" t="n"/>
    </row>
    <row r="774" ht="14.4" customFormat="1" customHeight="1" s="1480">
      <c r="A774" s="1933">
        <f>MO_VA_EV_ToEBITDA</f>
        <v/>
      </c>
      <c r="B774" s="1562" t="n"/>
      <c r="C774" s="1921" t="n"/>
      <c r="D774" s="1921" t="n"/>
      <c r="E774" s="1562" t="n"/>
      <c r="F774" s="1562" t="n"/>
      <c r="G774" s="1562" t="n"/>
      <c r="H774" s="1562" t="n"/>
      <c r="I774" s="1562" t="n"/>
      <c r="J774" s="1562" t="n"/>
      <c r="K774" s="1562" t="n"/>
      <c r="L774" s="1562" t="n"/>
      <c r="M774" s="1562" t="n"/>
      <c r="N774" s="1562" t="n"/>
      <c r="O774" s="1562" t="n"/>
      <c r="P774" s="1562" t="n"/>
      <c r="Q774" s="1562" t="n"/>
      <c r="R774" s="1562" t="n"/>
      <c r="S774" s="1562" t="n"/>
      <c r="T774" s="1562" t="n"/>
      <c r="U774" s="1562" t="n"/>
      <c r="V774" s="1562" t="n"/>
      <c r="W774" s="1562" t="n"/>
      <c r="X774" s="1562" t="n"/>
      <c r="Y774" s="1562" t="n"/>
      <c r="Z774" s="1562" t="n"/>
      <c r="AA774" s="1562" t="n"/>
      <c r="AB774" s="1562" t="n"/>
      <c r="AC774" s="1562" t="n"/>
      <c r="AD774" s="1562" t="n"/>
      <c r="AE774" s="1562" t="n"/>
      <c r="AF774" s="1562" t="n"/>
      <c r="AG774" s="1562" t="n"/>
      <c r="AH774" s="1562" t="n"/>
      <c r="AI774" s="1562" t="n"/>
      <c r="AJ774" s="1562" t="n"/>
      <c r="AK774" s="1563" t="n"/>
      <c r="AL774" s="1562" t="n"/>
      <c r="AM774" s="1562" t="n"/>
      <c r="AN774" s="1562" t="n"/>
      <c r="AO774" s="1562" t="n"/>
      <c r="AP774" s="1562" t="n"/>
      <c r="AQ774" s="1562" t="n"/>
      <c r="AR774" s="1562" t="n"/>
      <c r="AS774" s="1562" t="n"/>
      <c r="AT774" s="1562" t="n"/>
      <c r="AU774" s="1562" t="n"/>
      <c r="AV774" s="1488" t="n"/>
    </row>
    <row r="775" ht="14.4" customFormat="1" customHeight="1" s="1480">
      <c r="A775" s="1933">
        <f>MO_VA_P_ToE</f>
        <v/>
      </c>
      <c r="B775" s="1562" t="n"/>
      <c r="C775" s="1921" t="n"/>
      <c r="D775" s="1921" t="n"/>
      <c r="E775" s="1562" t="n"/>
      <c r="F775" s="1562" t="n"/>
      <c r="G775" s="1562" t="n"/>
      <c r="H775" s="1562" t="n"/>
      <c r="I775" s="1562" t="n"/>
      <c r="J775" s="1562" t="n"/>
      <c r="K775" s="1562" t="n"/>
      <c r="L775" s="1562" t="n"/>
      <c r="M775" s="1562" t="n"/>
      <c r="N775" s="1562" t="n"/>
      <c r="O775" s="1562" t="n"/>
      <c r="P775" s="1562" t="n"/>
      <c r="Q775" s="1562" t="n"/>
      <c r="R775" s="1562" t="n"/>
      <c r="S775" s="1562" t="n"/>
      <c r="T775" s="1562" t="n"/>
      <c r="U775" s="1562" t="n"/>
      <c r="V775" s="1562" t="n"/>
      <c r="W775" s="1562" t="n"/>
      <c r="X775" s="1562" t="n"/>
      <c r="Y775" s="1562" t="n"/>
      <c r="Z775" s="1562" t="n"/>
      <c r="AA775" s="1562" t="n"/>
      <c r="AB775" s="1562" t="n"/>
      <c r="AC775" s="1562" t="n"/>
      <c r="AD775" s="1562" t="n"/>
      <c r="AE775" s="1562" t="n"/>
      <c r="AF775" s="1562" t="n"/>
      <c r="AG775" s="1562" t="n"/>
      <c r="AH775" s="1562" t="n"/>
      <c r="AI775" s="1562" t="n"/>
      <c r="AJ775" s="1562" t="n"/>
      <c r="AK775" s="1563" t="n"/>
      <c r="AL775" s="1562" t="n"/>
      <c r="AM775" s="1562" t="n"/>
      <c r="AN775" s="1562" t="n"/>
      <c r="AO775" s="1562" t="n"/>
      <c r="AP775" s="1562" t="n"/>
      <c r="AQ775" s="1562" t="n"/>
      <c r="AR775" s="1562" t="n"/>
      <c r="AS775" s="1562" t="n"/>
      <c r="AT775" s="1562" t="n"/>
      <c r="AU775" s="1562" t="n"/>
      <c r="AV775" s="1488" t="n"/>
    </row>
    <row r="776" ht="14.4" customFormat="1" customHeight="1" s="1480">
      <c r="A776" s="1934" t="n"/>
      <c r="B776" s="1562" t="n"/>
      <c r="C776" s="1921" t="n"/>
      <c r="D776" s="1921" t="n"/>
      <c r="E776" s="1562" t="n"/>
      <c r="F776" s="1562" t="n"/>
      <c r="G776" s="1562" t="n"/>
      <c r="H776" s="1562" t="n"/>
      <c r="I776" s="1562" t="n"/>
      <c r="J776" s="1562" t="n"/>
      <c r="K776" s="1562" t="n"/>
      <c r="L776" s="1562" t="n"/>
      <c r="M776" s="1562" t="n"/>
      <c r="N776" s="1562" t="n"/>
      <c r="O776" s="1562" t="n"/>
      <c r="P776" s="1562" t="n"/>
      <c r="Q776" s="1562" t="n"/>
      <c r="R776" s="1562" t="n"/>
      <c r="S776" s="1562" t="n"/>
      <c r="T776" s="1562" t="n"/>
      <c r="U776" s="1562" t="n"/>
      <c r="V776" s="1562" t="n"/>
      <c r="W776" s="1562" t="n"/>
      <c r="X776" s="1562" t="n"/>
      <c r="Y776" s="1562" t="n"/>
      <c r="Z776" s="1562" t="n"/>
      <c r="AA776" s="1562" t="n"/>
      <c r="AB776" s="1562" t="n"/>
      <c r="AC776" s="1562" t="n"/>
      <c r="AD776" s="1562" t="n"/>
      <c r="AE776" s="1562" t="n"/>
      <c r="AF776" s="1562" t="n"/>
      <c r="AG776" s="1562" t="n"/>
      <c r="AH776" s="1562" t="n"/>
      <c r="AI776" s="1562" t="n"/>
      <c r="AJ776" s="1562" t="n"/>
      <c r="AK776" s="1563" t="n"/>
      <c r="AL776" s="1562" t="n"/>
      <c r="AM776" s="1562" t="n"/>
      <c r="AN776" s="1562" t="n"/>
      <c r="AO776" s="1562" t="n"/>
      <c r="AP776" s="1562" t="n"/>
      <c r="AQ776" s="1562" t="n"/>
      <c r="AR776" s="1562" t="n"/>
      <c r="AS776" s="1562" t="n"/>
      <c r="AT776" s="1562" t="n"/>
      <c r="AU776" s="1562" t="n"/>
      <c r="AV776" s="1488" t="n"/>
    </row>
    <row r="777" ht="14.4" customFormat="1" customHeight="1" s="1480">
      <c r="A777" s="1918" t="n"/>
      <c r="B777" s="1562" t="n"/>
      <c r="C777" s="1921" t="n"/>
      <c r="D777" s="1921" t="n"/>
      <c r="E777" s="1562" t="n"/>
      <c r="F777" s="1562" t="n"/>
      <c r="G777" s="1562" t="n"/>
      <c r="H777" s="1562" t="n"/>
      <c r="I777" s="1562" t="n"/>
      <c r="J777" s="1562" t="n"/>
      <c r="K777" s="1562" t="n"/>
      <c r="L777" s="1562" t="n"/>
      <c r="M777" s="1562" t="n"/>
      <c r="N777" s="1562" t="n"/>
      <c r="O777" s="1562" t="n"/>
      <c r="P777" s="1562" t="n"/>
      <c r="Q777" s="1562" t="n"/>
      <c r="R777" s="1562" t="n"/>
      <c r="S777" s="1562" t="n"/>
      <c r="T777" s="1562" t="n"/>
      <c r="U777" s="1562" t="n"/>
      <c r="V777" s="1562" t="n"/>
      <c r="W777" s="1562" t="n"/>
      <c r="X777" s="1562" t="n"/>
      <c r="Y777" s="1562" t="n"/>
      <c r="Z777" s="1562" t="n"/>
      <c r="AA777" s="1562" t="n"/>
      <c r="AB777" s="1562" t="n"/>
      <c r="AC777" s="1562" t="n"/>
      <c r="AD777" s="1562" t="n"/>
      <c r="AE777" s="1562" t="n"/>
      <c r="AF777" s="1562" t="n"/>
      <c r="AG777" s="1562" t="n"/>
      <c r="AH777" s="1562" t="n"/>
      <c r="AI777" s="1562" t="n"/>
      <c r="AJ777" s="1562" t="n"/>
      <c r="AK777" s="1563" t="n"/>
      <c r="AL777" s="1562" t="n"/>
      <c r="AM777" s="1562" t="n"/>
      <c r="AN777" s="1562" t="n"/>
      <c r="AO777" s="1562" t="n"/>
      <c r="AP777" s="1562" t="n"/>
      <c r="AQ777" s="1562" t="n"/>
      <c r="AR777" s="1562" t="n"/>
      <c r="AS777" s="1562" t="n"/>
      <c r="AT777" s="1562" t="n"/>
      <c r="AU777" s="1562" t="n"/>
      <c r="AV777" s="1488" t="n"/>
    </row>
    <row r="778" ht="14.4" customFormat="1" customHeight="1" s="1480">
      <c r="A778" s="1932" t="inlineStr">
        <is>
          <t>KPI Data</t>
        </is>
      </c>
      <c r="B778" s="1562" t="n"/>
      <c r="C778" s="1921" t="n"/>
      <c r="D778" s="1921" t="n"/>
      <c r="E778" s="1562" t="n"/>
      <c r="F778" s="1562" t="n"/>
      <c r="G778" s="1562" t="n"/>
      <c r="H778" s="1562" t="n"/>
      <c r="I778" s="1562" t="n"/>
      <c r="J778" s="1562" t="n"/>
      <c r="K778" s="1562" t="n"/>
      <c r="L778" s="1562" t="n"/>
      <c r="M778" s="1562" t="n"/>
      <c r="N778" s="1562" t="n"/>
      <c r="O778" s="1562" t="n"/>
      <c r="P778" s="1562" t="n"/>
      <c r="Q778" s="1562" t="n"/>
      <c r="R778" s="1562" t="n"/>
      <c r="S778" s="1562" t="n"/>
      <c r="T778" s="1562" t="n"/>
      <c r="U778" s="1562" t="n"/>
      <c r="V778" s="1562" t="n"/>
      <c r="W778" s="1562" t="n"/>
      <c r="X778" s="1562" t="n"/>
      <c r="Y778" s="1562" t="n"/>
      <c r="Z778" s="1562" t="n"/>
      <c r="AA778" s="1562" t="n"/>
      <c r="AB778" s="1562" t="n"/>
      <c r="AC778" s="1562" t="n"/>
      <c r="AD778" s="1562" t="n"/>
      <c r="AE778" s="1562" t="n"/>
      <c r="AF778" s="1562" t="n"/>
      <c r="AG778" s="1562" t="n"/>
      <c r="AH778" s="1562" t="n"/>
      <c r="AI778" s="1562" t="n"/>
      <c r="AJ778" s="1562" t="n"/>
      <c r="AK778" s="1563" t="n"/>
      <c r="AL778" s="1562" t="n"/>
      <c r="AM778" s="1562" t="n"/>
      <c r="AN778" s="1562" t="n"/>
      <c r="AO778" s="1562" t="n"/>
      <c r="AP778" s="1562" t="n"/>
      <c r="AQ778" s="1562" t="n"/>
      <c r="AR778" s="1562" t="n"/>
      <c r="AS778" s="1562" t="n"/>
      <c r="AT778" s="1562" t="n"/>
      <c r="AU778" s="1562" t="n"/>
      <c r="AV778" s="1488" t="n"/>
    </row>
    <row r="779" ht="14.4" customFormat="1" customHeight="1" s="1480">
      <c r="A779" s="1933" t="inlineStr">
        <is>
          <t>MO_RIS_REV</t>
        </is>
      </c>
      <c r="B779" s="1562" t="n"/>
      <c r="C779" s="1921" t="n"/>
      <c r="D779" s="1921" t="n"/>
      <c r="E779" s="1562" t="n"/>
      <c r="F779" s="1562" t="n"/>
      <c r="G779" s="1562" t="n"/>
      <c r="H779" s="1562" t="n"/>
      <c r="I779" s="1562" t="n"/>
      <c r="J779" s="1562" t="n"/>
      <c r="K779" s="1562" t="n"/>
      <c r="L779" s="1562" t="n"/>
      <c r="M779" s="1562" t="n"/>
      <c r="N779" s="1562" t="n"/>
      <c r="O779" s="1562" t="n"/>
      <c r="P779" s="1562" t="n"/>
      <c r="Q779" s="1562" t="n"/>
      <c r="R779" s="1562" t="n"/>
      <c r="S779" s="1562" t="n"/>
      <c r="T779" s="1562" t="n"/>
      <c r="U779" s="1562" t="n"/>
      <c r="V779" s="1562" t="n"/>
      <c r="W779" s="1562" t="n"/>
      <c r="X779" s="1562" t="n"/>
      <c r="Y779" s="1562" t="n"/>
      <c r="Z779" s="1562" t="n"/>
      <c r="AA779" s="1562" t="n"/>
      <c r="AB779" s="1562" t="n"/>
      <c r="AC779" s="1562" t="n"/>
      <c r="AD779" s="1562" t="n"/>
      <c r="AE779" s="1562" t="n"/>
      <c r="AF779" s="1562" t="n"/>
      <c r="AG779" s="1562" t="n"/>
      <c r="AH779" s="1562" t="n"/>
      <c r="AI779" s="1562" t="n"/>
      <c r="AJ779" s="1562" t="n"/>
      <c r="AK779" s="1563" t="n"/>
      <c r="AL779" s="1562" t="n"/>
      <c r="AM779" s="1562" t="n"/>
      <c r="AN779" s="1562" t="n"/>
      <c r="AO779" s="1562" t="n"/>
      <c r="AP779" s="1562" t="n"/>
      <c r="AQ779" s="1562" t="n"/>
      <c r="AR779" s="1562" t="n"/>
      <c r="AS779" s="1562" t="n"/>
      <c r="AT779" s="1562" t="n"/>
      <c r="AU779" s="1562" t="n"/>
      <c r="AV779" s="1488" t="n"/>
    </row>
    <row r="780" ht="14.4" customFormat="1" customHeight="1" s="1480">
      <c r="A780" s="1933" t="inlineStr">
        <is>
          <t>MO_RIS_NI_NONGAAP_Diluted</t>
        </is>
      </c>
      <c r="B780" s="1562" t="n"/>
      <c r="C780" s="1921" t="n"/>
      <c r="D780" s="1921" t="n"/>
      <c r="E780" s="1562" t="n"/>
      <c r="F780" s="1562" t="n"/>
      <c r="G780" s="1562" t="n"/>
      <c r="H780" s="1562" t="n"/>
      <c r="I780" s="1562" t="n"/>
      <c r="J780" s="1562" t="n"/>
      <c r="K780" s="1562" t="n"/>
      <c r="L780" s="1562" t="n"/>
      <c r="M780" s="1562" t="n"/>
      <c r="N780" s="1562" t="n"/>
      <c r="O780" s="1562" t="n"/>
      <c r="P780" s="1562" t="n"/>
      <c r="Q780" s="1562" t="n"/>
      <c r="R780" s="1562" t="n"/>
      <c r="S780" s="1562" t="n"/>
      <c r="T780" s="1562" t="n"/>
      <c r="U780" s="1562" t="n"/>
      <c r="V780" s="1562" t="n"/>
      <c r="W780" s="1562" t="n"/>
      <c r="X780" s="1562" t="n"/>
      <c r="Y780" s="1562" t="n"/>
      <c r="Z780" s="1562" t="n"/>
      <c r="AA780" s="1562" t="n"/>
      <c r="AB780" s="1562" t="n"/>
      <c r="AC780" s="1562" t="n"/>
      <c r="AD780" s="1562" t="n"/>
      <c r="AE780" s="1562" t="n"/>
      <c r="AF780" s="1562" t="n"/>
      <c r="AG780" s="1562" t="n"/>
      <c r="AH780" s="1562" t="n"/>
      <c r="AI780" s="1562" t="n"/>
      <c r="AJ780" s="1562" t="n"/>
      <c r="AK780" s="1563" t="n"/>
      <c r="AL780" s="1562" t="n"/>
      <c r="AM780" s="1562" t="n"/>
      <c r="AN780" s="1562" t="n"/>
      <c r="AO780" s="1562" t="n"/>
      <c r="AP780" s="1562" t="n"/>
      <c r="AQ780" s="1562" t="n"/>
      <c r="AR780" s="1562" t="n"/>
      <c r="AS780" s="1562" t="n"/>
      <c r="AT780" s="1562" t="n"/>
      <c r="AU780" s="1562" t="n"/>
      <c r="AV780" s="1488" t="n"/>
    </row>
    <row r="781" ht="14.4" customFormat="1" customHeight="1" s="1480">
      <c r="A781" s="1933" t="inlineStr">
        <is>
          <t>MO_RIS_EPS_WAD_Adj</t>
        </is>
      </c>
      <c r="B781" s="1562" t="n"/>
      <c r="C781" s="1921" t="n"/>
      <c r="D781" s="1921" t="n"/>
      <c r="E781" s="1562" t="n"/>
      <c r="F781" s="1562" t="n"/>
      <c r="G781" s="1562" t="n"/>
      <c r="H781" s="1562" t="n"/>
      <c r="I781" s="1562" t="n"/>
      <c r="J781" s="1562" t="n"/>
      <c r="K781" s="1562" t="n"/>
      <c r="L781" s="1562" t="n"/>
      <c r="M781" s="1562" t="n"/>
      <c r="N781" s="1562" t="n"/>
      <c r="O781" s="1562" t="n"/>
      <c r="P781" s="1562" t="n"/>
      <c r="Q781" s="1562" t="n"/>
      <c r="R781" s="1562" t="n"/>
      <c r="S781" s="1562" t="n"/>
      <c r="T781" s="1562" t="n"/>
      <c r="U781" s="1562" t="n"/>
      <c r="V781" s="1562" t="n"/>
      <c r="W781" s="1562" t="n"/>
      <c r="X781" s="1562" t="n"/>
      <c r="Y781" s="1562" t="n"/>
      <c r="Z781" s="1562" t="n"/>
      <c r="AA781" s="1562" t="n"/>
      <c r="AB781" s="1562" t="n"/>
      <c r="AC781" s="1562" t="n"/>
      <c r="AD781" s="1562" t="n"/>
      <c r="AE781" s="1562" t="n"/>
      <c r="AF781" s="1562" t="n"/>
      <c r="AG781" s="1562" t="n"/>
      <c r="AH781" s="1562" t="n"/>
      <c r="AI781" s="1562" t="n"/>
      <c r="AJ781" s="1562" t="n"/>
      <c r="AK781" s="1563" t="n"/>
      <c r="AL781" s="1562" t="n"/>
      <c r="AM781" s="1562" t="n"/>
      <c r="AN781" s="1562" t="n"/>
      <c r="AO781" s="1562" t="n"/>
      <c r="AP781" s="1562" t="n"/>
      <c r="AQ781" s="1562" t="n"/>
      <c r="AR781" s="1562" t="n"/>
      <c r="AS781" s="1562" t="n"/>
      <c r="AT781" s="1562" t="n"/>
      <c r="AU781" s="1562" t="n"/>
      <c r="AV781" s="1488" t="n"/>
    </row>
    <row r="782" ht="14.4" customFormat="1" customHeight="1" s="1480">
      <c r="A782" s="1933" t="inlineStr">
        <is>
          <t>MO_RIS_EBITDA_Adj</t>
        </is>
      </c>
      <c r="B782" s="1562" t="n"/>
      <c r="C782" s="1921" t="n"/>
      <c r="D782" s="1921" t="n"/>
      <c r="E782" s="1562" t="n"/>
      <c r="F782" s="1562" t="n"/>
      <c r="G782" s="1562" t="n"/>
      <c r="H782" s="1562" t="n"/>
      <c r="I782" s="1562" t="n"/>
      <c r="J782" s="1562" t="n"/>
      <c r="K782" s="1562" t="n"/>
      <c r="L782" s="1562" t="n"/>
      <c r="M782" s="1562" t="n"/>
      <c r="N782" s="1562" t="n"/>
      <c r="O782" s="1562" t="n"/>
      <c r="P782" s="1562" t="n"/>
      <c r="Q782" s="1562" t="n"/>
      <c r="R782" s="1562" t="n"/>
      <c r="S782" s="1562" t="n"/>
      <c r="T782" s="1562" t="n"/>
      <c r="U782" s="1562" t="n"/>
      <c r="V782" s="1562" t="n"/>
      <c r="W782" s="1562" t="n"/>
      <c r="X782" s="1562" t="n"/>
      <c r="Y782" s="1562" t="n"/>
      <c r="Z782" s="1562" t="n"/>
      <c r="AA782" s="1562" t="n"/>
      <c r="AB782" s="1562" t="n"/>
      <c r="AC782" s="1562" t="n"/>
      <c r="AD782" s="1562" t="n"/>
      <c r="AE782" s="1562" t="n"/>
      <c r="AF782" s="1562" t="n"/>
      <c r="AG782" s="1562" t="n"/>
      <c r="AH782" s="1562" t="n"/>
      <c r="AI782" s="1562" t="n"/>
      <c r="AJ782" s="1562" t="n"/>
      <c r="AK782" s="1563" t="n"/>
      <c r="AL782" s="1562" t="n"/>
      <c r="AM782" s="1562" t="n"/>
      <c r="AN782" s="1562" t="n"/>
      <c r="AO782" s="1562" t="n"/>
      <c r="AP782" s="1562" t="n"/>
      <c r="AQ782" s="1562" t="n"/>
      <c r="AR782" s="1562" t="n"/>
      <c r="AS782" s="1562" t="n"/>
      <c r="AT782" s="1562" t="n"/>
      <c r="AU782" s="1562" t="n"/>
      <c r="AV782" s="1488" t="n"/>
    </row>
    <row r="783" ht="14.4" customFormat="1" customHeight="1" s="1480">
      <c r="A783" s="1933" t="inlineStr">
        <is>
          <t>MO_KPI_REV_Subscription</t>
        </is>
      </c>
      <c r="B783" s="1562" t="n"/>
      <c r="C783" s="1921" t="n"/>
      <c r="D783" s="1921" t="n"/>
      <c r="E783" s="1562" t="n"/>
      <c r="F783" s="1562" t="n"/>
      <c r="G783" s="1562" t="n"/>
      <c r="H783" s="1562" t="n"/>
      <c r="I783" s="1562" t="n"/>
      <c r="J783" s="1562" t="n"/>
      <c r="K783" s="1562" t="n"/>
      <c r="L783" s="1562" t="n"/>
      <c r="M783" s="1562" t="n"/>
      <c r="N783" s="1562" t="n"/>
      <c r="O783" s="1562" t="n"/>
      <c r="P783" s="1562" t="n"/>
      <c r="Q783" s="1562" t="n"/>
      <c r="R783" s="1562" t="n"/>
      <c r="S783" s="1562" t="n"/>
      <c r="T783" s="1562" t="n"/>
      <c r="U783" s="1562" t="n"/>
      <c r="V783" s="1562" t="n"/>
      <c r="W783" s="1562" t="n"/>
      <c r="X783" s="1562" t="n"/>
      <c r="Y783" s="1562" t="n"/>
      <c r="Z783" s="1562" t="n"/>
      <c r="AA783" s="1562" t="n"/>
      <c r="AB783" s="1562" t="n"/>
      <c r="AC783" s="1562" t="n"/>
      <c r="AD783" s="1562" t="n"/>
      <c r="AE783" s="1562" t="n"/>
      <c r="AF783" s="1562" t="n"/>
      <c r="AG783" s="1562" t="n"/>
      <c r="AH783" s="1562" t="n"/>
      <c r="AI783" s="1562" t="n"/>
      <c r="AJ783" s="1562" t="n"/>
      <c r="AK783" s="1563" t="n"/>
      <c r="AL783" s="1562" t="n"/>
      <c r="AM783" s="1562" t="n"/>
      <c r="AN783" s="1562" t="n"/>
      <c r="AO783" s="1562" t="n"/>
      <c r="AP783" s="1562" t="n"/>
      <c r="AQ783" s="1562" t="n"/>
      <c r="AR783" s="1562" t="n"/>
      <c r="AS783" s="1562" t="n"/>
      <c r="AT783" s="1562" t="n"/>
      <c r="AU783" s="1562" t="n"/>
      <c r="AV783" s="1488" t="n"/>
    </row>
    <row r="784" ht="14.4" customFormat="1" customHeight="1" s="1480">
      <c r="A784" s="1933" t="inlineStr">
        <is>
          <t>MO_KPI_REV_Usage</t>
        </is>
      </c>
      <c r="B784" s="1562" t="n"/>
      <c r="C784" s="1921" t="n"/>
      <c r="D784" s="1921" t="n"/>
      <c r="E784" s="1562" t="n"/>
      <c r="F784" s="1562" t="n"/>
      <c r="G784" s="1562" t="n"/>
      <c r="H784" s="1562" t="n"/>
      <c r="I784" s="1562" t="n"/>
      <c r="J784" s="1562" t="n"/>
      <c r="K784" s="1562" t="n"/>
      <c r="L784" s="1562" t="n"/>
      <c r="M784" s="1562" t="n"/>
      <c r="N784" s="1562" t="n"/>
      <c r="O784" s="1562" t="n"/>
      <c r="P784" s="1562" t="n"/>
      <c r="Q784" s="1562" t="n"/>
      <c r="R784" s="1562" t="n"/>
      <c r="S784" s="1562" t="n"/>
      <c r="T784" s="1562" t="n"/>
      <c r="U784" s="1562" t="n"/>
      <c r="V784" s="1562" t="n"/>
      <c r="W784" s="1562" t="n"/>
      <c r="X784" s="1562" t="n"/>
      <c r="Y784" s="1562" t="n"/>
      <c r="Z784" s="1562" t="n"/>
      <c r="AA784" s="1562" t="n"/>
      <c r="AB784" s="1562" t="n"/>
      <c r="AC784" s="1562" t="n"/>
      <c r="AD784" s="1562" t="n"/>
      <c r="AE784" s="1562" t="n"/>
      <c r="AF784" s="1562" t="n"/>
      <c r="AG784" s="1562" t="n"/>
      <c r="AH784" s="1562" t="n"/>
      <c r="AI784" s="1562" t="n"/>
      <c r="AJ784" s="1562" t="n"/>
      <c r="AK784" s="1563" t="n"/>
      <c r="AL784" s="1562" t="n"/>
      <c r="AM784" s="1562" t="n"/>
      <c r="AN784" s="1562" t="n"/>
      <c r="AO784" s="1562" t="n"/>
      <c r="AP784" s="1562" t="n"/>
      <c r="AQ784" s="1562" t="n"/>
      <c r="AR784" s="1562" t="n"/>
      <c r="AS784" s="1562" t="n"/>
      <c r="AT784" s="1562" t="n"/>
      <c r="AU784" s="1562" t="n"/>
      <c r="AV784" s="1488" t="n"/>
    </row>
    <row r="785" ht="14.4" customFormat="1" customHeight="1" s="1480">
      <c r="A785" s="1933" t="inlineStr">
        <is>
          <t>MO_KPI_RPO_Growth</t>
        </is>
      </c>
      <c r="B785" s="1562" t="n"/>
      <c r="C785" s="1921" t="n"/>
      <c r="D785" s="1921" t="n"/>
      <c r="E785" s="1562" t="n"/>
      <c r="F785" s="1562" t="n"/>
      <c r="G785" s="1562" t="n"/>
      <c r="H785" s="1562" t="n"/>
      <c r="I785" s="1562" t="n"/>
      <c r="J785" s="1562" t="n"/>
      <c r="K785" s="1562" t="n"/>
      <c r="L785" s="1562" t="n"/>
      <c r="M785" s="1562" t="n"/>
      <c r="N785" s="1562" t="n"/>
      <c r="O785" s="1562" t="n"/>
      <c r="P785" s="1562" t="n"/>
      <c r="Q785" s="1562" t="n"/>
      <c r="R785" s="1562" t="n"/>
      <c r="S785" s="1562" t="n"/>
      <c r="T785" s="1562" t="n"/>
      <c r="U785" s="1562" t="n"/>
      <c r="V785" s="1562" t="n"/>
      <c r="W785" s="1562" t="n"/>
      <c r="X785" s="1562" t="n"/>
      <c r="Y785" s="1562" t="n"/>
      <c r="Z785" s="1562" t="n"/>
      <c r="AA785" s="1562" t="n"/>
      <c r="AB785" s="1562" t="n"/>
      <c r="AC785" s="1562" t="n"/>
      <c r="AD785" s="1562" t="n"/>
      <c r="AE785" s="1562" t="n"/>
      <c r="AF785" s="1562" t="n"/>
      <c r="AG785" s="1562" t="n"/>
      <c r="AH785" s="1562" t="n"/>
      <c r="AI785" s="1562" t="n"/>
      <c r="AJ785" s="1562" t="n"/>
      <c r="AK785" s="1563" t="n"/>
      <c r="AL785" s="1562" t="n"/>
      <c r="AM785" s="1562" t="n"/>
      <c r="AN785" s="1562" t="n"/>
      <c r="AO785" s="1562" t="n"/>
      <c r="AP785" s="1562" t="n"/>
      <c r="AQ785" s="1562" t="n"/>
      <c r="AR785" s="1562" t="n"/>
      <c r="AS785" s="1562" t="n"/>
      <c r="AT785" s="1562" t="n"/>
      <c r="AU785" s="1562" t="n"/>
      <c r="AV785" s="1488" t="n"/>
    </row>
    <row r="786" ht="14.4" customFormat="1" customHeight="1" s="1480">
      <c r="A786" s="1933" t="inlineStr">
        <is>
          <t>MO_KPI_RPO_Bookings</t>
        </is>
      </c>
      <c r="B786" s="1562" t="n"/>
      <c r="C786" s="1921" t="n"/>
      <c r="D786" s="1921" t="n"/>
      <c r="E786" s="1562" t="n"/>
      <c r="F786" s="1562" t="n"/>
      <c r="G786" s="1562" t="n"/>
      <c r="H786" s="1562" t="n"/>
      <c r="I786" s="1562" t="n"/>
      <c r="J786" s="1562" t="n"/>
      <c r="K786" s="1562" t="n"/>
      <c r="L786" s="1562" t="n"/>
      <c r="M786" s="1562" t="n"/>
      <c r="N786" s="1562" t="n"/>
      <c r="O786" s="1562" t="n"/>
      <c r="P786" s="1562" t="n"/>
      <c r="Q786" s="1562" t="n"/>
      <c r="R786" s="1562" t="n"/>
      <c r="S786" s="1562" t="n"/>
      <c r="T786" s="1562" t="n"/>
      <c r="U786" s="1562" t="n"/>
      <c r="V786" s="1562" t="n"/>
      <c r="W786" s="1562" t="n"/>
      <c r="X786" s="1562" t="n"/>
      <c r="Y786" s="1562" t="n"/>
      <c r="Z786" s="1562" t="n"/>
      <c r="AA786" s="1562" t="n"/>
      <c r="AB786" s="1562" t="n"/>
      <c r="AC786" s="1562" t="n"/>
      <c r="AD786" s="1562" t="n"/>
      <c r="AE786" s="1562" t="n"/>
      <c r="AF786" s="1562" t="n"/>
      <c r="AG786" s="1562" t="n"/>
      <c r="AH786" s="1562" t="n"/>
      <c r="AI786" s="1562" t="n"/>
      <c r="AJ786" s="1562" t="n"/>
      <c r="AK786" s="1563" t="n"/>
      <c r="AL786" s="1562" t="n"/>
      <c r="AM786" s="1562" t="n"/>
      <c r="AN786" s="1562" t="n"/>
      <c r="AO786" s="1562" t="n"/>
      <c r="AP786" s="1562" t="n"/>
      <c r="AQ786" s="1562" t="n"/>
      <c r="AR786" s="1562" t="n"/>
      <c r="AS786" s="1562" t="n"/>
      <c r="AT786" s="1562" t="n"/>
      <c r="AU786" s="1562" t="n"/>
      <c r="AV786" s="1488" t="n"/>
    </row>
    <row r="787" ht="14.4" customFormat="1" customHeight="1" s="1480">
      <c r="A787" s="1933" t="inlineStr">
        <is>
          <t>MO_KPI_RPO_Bookings_Growth</t>
        </is>
      </c>
      <c r="B787" s="1562" t="n"/>
      <c r="C787" s="1921" t="n"/>
      <c r="D787" s="1921" t="n"/>
      <c r="E787" s="1562" t="n"/>
      <c r="F787" s="1562" t="n"/>
      <c r="G787" s="1562" t="n"/>
      <c r="H787" s="1562" t="n"/>
      <c r="I787" s="1562" t="n"/>
      <c r="J787" s="1562" t="n"/>
      <c r="K787" s="1562" t="n"/>
      <c r="L787" s="1562" t="n"/>
      <c r="M787" s="1562" t="n"/>
      <c r="N787" s="1562" t="n"/>
      <c r="O787" s="1562" t="n"/>
      <c r="P787" s="1562" t="n"/>
      <c r="Q787" s="1562" t="n"/>
      <c r="R787" s="1562" t="n"/>
      <c r="S787" s="1562" t="n"/>
      <c r="T787" s="1562" t="n"/>
      <c r="U787" s="1562" t="n"/>
      <c r="V787" s="1562" t="n"/>
      <c r="W787" s="1562" t="n"/>
      <c r="X787" s="1562" t="n"/>
      <c r="Y787" s="1562" t="n"/>
      <c r="Z787" s="1562" t="n"/>
      <c r="AA787" s="1562" t="n"/>
      <c r="AB787" s="1562" t="n"/>
      <c r="AC787" s="1562" t="n"/>
      <c r="AD787" s="1562" t="n"/>
      <c r="AE787" s="1562" t="n"/>
      <c r="AF787" s="1562" t="n"/>
      <c r="AG787" s="1562" t="n"/>
      <c r="AH787" s="1562" t="n"/>
      <c r="AI787" s="1562" t="n"/>
      <c r="AJ787" s="1562" t="n"/>
      <c r="AK787" s="1563" t="n"/>
      <c r="AL787" s="1562" t="n"/>
      <c r="AM787" s="1562" t="n"/>
      <c r="AN787" s="1562" t="n"/>
      <c r="AO787" s="1562" t="n"/>
      <c r="AP787" s="1562" t="n"/>
      <c r="AQ787" s="1562" t="n"/>
      <c r="AR787" s="1562" t="n"/>
      <c r="AS787" s="1562" t="n"/>
      <c r="AT787" s="1562" t="n"/>
      <c r="AU787" s="1562" t="n"/>
      <c r="AV787" s="1488" t="n"/>
    </row>
    <row r="788" ht="14.4" customFormat="1" customHeight="1" s="1480">
      <c r="A788" s="1933" t="inlineStr">
        <is>
          <t>MO_KPI_Billings_Calc</t>
        </is>
      </c>
      <c r="B788" s="1562" t="n"/>
      <c r="C788" s="1921" t="n"/>
      <c r="D788" s="1921" t="n"/>
      <c r="E788" s="1562" t="n"/>
      <c r="F788" s="1562" t="n"/>
      <c r="G788" s="1562" t="n"/>
      <c r="H788" s="1562" t="n"/>
      <c r="I788" s="1562" t="n"/>
      <c r="J788" s="1562" t="n"/>
      <c r="K788" s="1562" t="n"/>
      <c r="L788" s="1562" t="n"/>
      <c r="M788" s="1562" t="n"/>
      <c r="N788" s="1562" t="n"/>
      <c r="O788" s="1562" t="n"/>
      <c r="P788" s="1562" t="n"/>
      <c r="Q788" s="1562" t="n"/>
      <c r="R788" s="1562" t="n"/>
      <c r="S788" s="1562" t="n"/>
      <c r="T788" s="1562" t="n"/>
      <c r="U788" s="1562" t="n"/>
      <c r="V788" s="1562" t="n"/>
      <c r="W788" s="1562" t="n"/>
      <c r="X788" s="1562" t="n"/>
      <c r="Y788" s="1562" t="n"/>
      <c r="Z788" s="1562" t="n"/>
      <c r="AA788" s="1562" t="n"/>
      <c r="AB788" s="1562" t="n"/>
      <c r="AC788" s="1562" t="n"/>
      <c r="AD788" s="1562" t="n"/>
      <c r="AE788" s="1562" t="n"/>
      <c r="AF788" s="1562" t="n"/>
      <c r="AG788" s="1562" t="n"/>
      <c r="AH788" s="1562" t="n"/>
      <c r="AI788" s="1562" t="n"/>
      <c r="AJ788" s="1562" t="n"/>
      <c r="AK788" s="1563" t="n"/>
      <c r="AL788" s="1562" t="n"/>
      <c r="AM788" s="1562" t="n"/>
      <c r="AN788" s="1562" t="n"/>
      <c r="AO788" s="1562" t="n"/>
      <c r="AP788" s="1562" t="n"/>
      <c r="AQ788" s="1562" t="n"/>
      <c r="AR788" s="1562" t="n"/>
      <c r="AS788" s="1562" t="n"/>
      <c r="AT788" s="1562" t="n"/>
      <c r="AU788" s="1562" t="n"/>
      <c r="AV788" s="1488" t="n"/>
    </row>
    <row r="789" ht="14.4" customFormat="1" customHeight="1" s="1480">
      <c r="A789" s="1933" t="inlineStr">
        <is>
          <t>MO_KPI_Billings_Growth_Calc</t>
        </is>
      </c>
      <c r="B789" s="1562" t="n"/>
      <c r="C789" s="1921" t="n"/>
      <c r="D789" s="1921" t="n"/>
      <c r="E789" s="1562" t="n"/>
      <c r="F789" s="1562" t="n"/>
      <c r="G789" s="1562" t="n"/>
      <c r="H789" s="1562" t="n"/>
      <c r="I789" s="1562" t="n"/>
      <c r="J789" s="1562" t="n"/>
      <c r="K789" s="1562" t="n"/>
      <c r="L789" s="1562" t="n"/>
      <c r="M789" s="1562" t="n"/>
      <c r="N789" s="1562" t="n"/>
      <c r="O789" s="1562" t="n"/>
      <c r="P789" s="1562" t="n"/>
      <c r="Q789" s="1562" t="n"/>
      <c r="R789" s="1562" t="n"/>
      <c r="S789" s="1562" t="n"/>
      <c r="T789" s="1562" t="n"/>
      <c r="U789" s="1562" t="n"/>
      <c r="V789" s="1562" t="n"/>
      <c r="W789" s="1562" t="n"/>
      <c r="X789" s="1562" t="n"/>
      <c r="Y789" s="1562" t="n"/>
      <c r="Z789" s="1562" t="n"/>
      <c r="AA789" s="1562" t="n"/>
      <c r="AB789" s="1562" t="n"/>
      <c r="AC789" s="1562" t="n"/>
      <c r="AD789" s="1562" t="n"/>
      <c r="AE789" s="1562" t="n"/>
      <c r="AF789" s="1562" t="n"/>
      <c r="AG789" s="1562" t="n"/>
      <c r="AH789" s="1562" t="n"/>
      <c r="AI789" s="1562" t="n"/>
      <c r="AJ789" s="1562" t="n"/>
      <c r="AK789" s="1563" t="n"/>
      <c r="AL789" s="1562" t="n"/>
      <c r="AM789" s="1562" t="n"/>
      <c r="AN789" s="1562" t="n"/>
      <c r="AO789" s="1562" t="n"/>
      <c r="AP789" s="1562" t="n"/>
      <c r="AQ789" s="1562" t="n"/>
      <c r="AR789" s="1562" t="n"/>
      <c r="AS789" s="1562" t="n"/>
      <c r="AT789" s="1562" t="n"/>
      <c r="AU789" s="1562" t="n"/>
      <c r="AV789" s="1488" t="n"/>
    </row>
    <row r="790" ht="14.4" customFormat="1" customHeight="1" s="1480">
      <c r="A790" s="1933" t="inlineStr">
        <is>
          <t>MO_KPI_FCF</t>
        </is>
      </c>
      <c r="B790" s="1562" t="n"/>
      <c r="C790" s="1921" t="n"/>
      <c r="D790" s="1921" t="n"/>
      <c r="E790" s="1562" t="n"/>
      <c r="F790" s="1562" t="n"/>
      <c r="G790" s="1562" t="n"/>
      <c r="H790" s="1562" t="n"/>
      <c r="I790" s="1562" t="n"/>
      <c r="J790" s="1562" t="n"/>
      <c r="K790" s="1562" t="n"/>
      <c r="L790" s="1562" t="n"/>
      <c r="M790" s="1562" t="n"/>
      <c r="N790" s="1562" t="n"/>
      <c r="O790" s="1562" t="n"/>
      <c r="P790" s="1562" t="n"/>
      <c r="Q790" s="1562" t="n"/>
      <c r="R790" s="1562" t="n"/>
      <c r="S790" s="1562" t="n"/>
      <c r="T790" s="1562" t="n"/>
      <c r="U790" s="1562" t="n"/>
      <c r="V790" s="1562" t="n"/>
      <c r="W790" s="1562" t="n"/>
      <c r="X790" s="1562" t="n"/>
      <c r="Y790" s="1562" t="n"/>
      <c r="Z790" s="1562" t="n"/>
      <c r="AA790" s="1562" t="n"/>
      <c r="AB790" s="1562" t="n"/>
      <c r="AC790" s="1562" t="n"/>
      <c r="AD790" s="1562" t="n"/>
      <c r="AE790" s="1562" t="n"/>
      <c r="AF790" s="1562" t="n"/>
      <c r="AG790" s="1562" t="n"/>
      <c r="AH790" s="1562" t="n"/>
      <c r="AI790" s="1562" t="n"/>
      <c r="AJ790" s="1562" t="n"/>
      <c r="AK790" s="1563" t="n"/>
      <c r="AL790" s="1562" t="n"/>
      <c r="AM790" s="1562" t="n"/>
      <c r="AN790" s="1562" t="n"/>
      <c r="AO790" s="1562" t="n"/>
      <c r="AP790" s="1562" t="n"/>
      <c r="AQ790" s="1562" t="n"/>
      <c r="AR790" s="1562" t="n"/>
      <c r="AS790" s="1562" t="n"/>
      <c r="AT790" s="1562" t="n"/>
      <c r="AU790" s="1562" t="n"/>
      <c r="AV790" s="1488" t="n"/>
    </row>
    <row r="791" ht="14.4" customFormat="1" customHeight="1" s="1480">
      <c r="A791" s="1933" t="inlineStr">
        <is>
          <t>MO_KPI_FCF_LTM</t>
        </is>
      </c>
      <c r="B791" s="1562" t="n"/>
      <c r="C791" s="1921" t="n"/>
      <c r="D791" s="1921" t="n"/>
      <c r="E791" s="1562" t="n"/>
      <c r="F791" s="1562" t="n"/>
      <c r="G791" s="1562" t="n"/>
      <c r="H791" s="1562" t="n"/>
      <c r="I791" s="1562" t="n"/>
      <c r="J791" s="1562" t="n"/>
      <c r="K791" s="1562" t="n"/>
      <c r="L791" s="1562" t="n"/>
      <c r="M791" s="1562" t="n"/>
      <c r="N791" s="1562" t="n"/>
      <c r="O791" s="1562" t="n"/>
      <c r="P791" s="1562" t="n"/>
      <c r="Q791" s="1562" t="n"/>
      <c r="R791" s="1562" t="n"/>
      <c r="S791" s="1562" t="n"/>
      <c r="T791" s="1562" t="n"/>
      <c r="U791" s="1562" t="n"/>
      <c r="V791" s="1562" t="n"/>
      <c r="W791" s="1562" t="n"/>
      <c r="X791" s="1562" t="n"/>
      <c r="Y791" s="1562" t="n"/>
      <c r="Z791" s="1562" t="n"/>
      <c r="AA791" s="1562" t="n"/>
      <c r="AB791" s="1562" t="n"/>
      <c r="AC791" s="1562" t="n"/>
      <c r="AD791" s="1562" t="n"/>
      <c r="AE791" s="1562" t="n"/>
      <c r="AF791" s="1562" t="n"/>
      <c r="AG791" s="1562" t="n"/>
      <c r="AH791" s="1562" t="n"/>
      <c r="AI791" s="1562" t="n"/>
      <c r="AJ791" s="1562" t="n"/>
      <c r="AK791" s="1563" t="n"/>
      <c r="AL791" s="1562" t="n"/>
      <c r="AM791" s="1562" t="n"/>
      <c r="AN791" s="1562" t="n"/>
      <c r="AO791" s="1562" t="n"/>
      <c r="AP791" s="1562" t="n"/>
      <c r="AQ791" s="1562" t="n"/>
      <c r="AR791" s="1562" t="n"/>
      <c r="AS791" s="1562" t="n"/>
      <c r="AT791" s="1562" t="n"/>
      <c r="AU791" s="1562" t="n"/>
      <c r="AV791" s="1488" t="n"/>
    </row>
    <row r="792" ht="14.4" customFormat="1" customHeight="1" s="1480">
      <c r="A792" s="1933" t="inlineStr">
        <is>
          <t>MO_KPI_REV_LTM</t>
        </is>
      </c>
      <c r="B792" s="1562" t="n"/>
      <c r="C792" s="1921" t="n"/>
      <c r="D792" s="1921" t="n"/>
      <c r="E792" s="1562" t="n"/>
      <c r="F792" s="1562" t="n"/>
      <c r="G792" s="1562" t="n"/>
      <c r="H792" s="1562" t="n"/>
      <c r="I792" s="1562" t="n"/>
      <c r="J792" s="1562" t="n"/>
      <c r="K792" s="1562" t="n"/>
      <c r="L792" s="1562" t="n"/>
      <c r="M792" s="1562" t="n"/>
      <c r="N792" s="1562" t="n"/>
      <c r="O792" s="1562" t="n"/>
      <c r="P792" s="1562" t="n"/>
      <c r="Q792" s="1562" t="n"/>
      <c r="R792" s="1562" t="n"/>
      <c r="S792" s="1562" t="n"/>
      <c r="T792" s="1562" t="n"/>
      <c r="U792" s="1562" t="n"/>
      <c r="V792" s="1562" t="n"/>
      <c r="W792" s="1562" t="n"/>
      <c r="X792" s="1562" t="n"/>
      <c r="Y792" s="1562" t="n"/>
      <c r="Z792" s="1562" t="n"/>
      <c r="AA792" s="1562" t="n"/>
      <c r="AB792" s="1562" t="n"/>
      <c r="AC792" s="1562" t="n"/>
      <c r="AD792" s="1562" t="n"/>
      <c r="AE792" s="1562" t="n"/>
      <c r="AF792" s="1562" t="n"/>
      <c r="AG792" s="1562" t="n"/>
      <c r="AH792" s="1562" t="n"/>
      <c r="AI792" s="1562" t="n"/>
      <c r="AJ792" s="1562" t="n"/>
      <c r="AK792" s="1563" t="n"/>
      <c r="AL792" s="1562" t="n"/>
      <c r="AM792" s="1562" t="n"/>
      <c r="AN792" s="1562" t="n"/>
      <c r="AO792" s="1562" t="n"/>
      <c r="AP792" s="1562" t="n"/>
      <c r="AQ792" s="1562" t="n"/>
      <c r="AR792" s="1562" t="n"/>
      <c r="AS792" s="1562" t="n"/>
      <c r="AT792" s="1562" t="n"/>
      <c r="AU792" s="1562" t="n"/>
      <c r="AV792" s="1488" t="n"/>
    </row>
    <row r="793" ht="14.4" customFormat="1" customHeight="1" s="1480">
      <c r="A793" s="1933" t="inlineStr">
        <is>
          <t>MO_KPI_REV_LTM_Growth</t>
        </is>
      </c>
      <c r="B793" s="1562" t="n"/>
      <c r="C793" s="1921" t="n"/>
      <c r="D793" s="1921" t="n"/>
      <c r="E793" s="1562" t="n"/>
      <c r="F793" s="1562" t="n"/>
      <c r="G793" s="1562" t="n"/>
      <c r="H793" s="1562" t="n"/>
      <c r="I793" s="1562" t="n"/>
      <c r="J793" s="1562" t="n"/>
      <c r="K793" s="1562" t="n"/>
      <c r="L793" s="1562" t="n"/>
      <c r="M793" s="1562" t="n"/>
      <c r="N793" s="1562" t="n"/>
      <c r="O793" s="1562" t="n"/>
      <c r="P793" s="1562" t="n"/>
      <c r="Q793" s="1562" t="n"/>
      <c r="R793" s="1562" t="n"/>
      <c r="S793" s="1562" t="n"/>
      <c r="T793" s="1562" t="n"/>
      <c r="U793" s="1562" t="n"/>
      <c r="V793" s="1562" t="n"/>
      <c r="W793" s="1562" t="n"/>
      <c r="X793" s="1562" t="n"/>
      <c r="Y793" s="1562" t="n"/>
      <c r="Z793" s="1562" t="n"/>
      <c r="AA793" s="1562" t="n"/>
      <c r="AB793" s="1562" t="n"/>
      <c r="AC793" s="1562" t="n"/>
      <c r="AD793" s="1562" t="n"/>
      <c r="AE793" s="1562" t="n"/>
      <c r="AF793" s="1562" t="n"/>
      <c r="AG793" s="1562" t="n"/>
      <c r="AH793" s="1562" t="n"/>
      <c r="AI793" s="1562" t="n"/>
      <c r="AJ793" s="1562" t="n"/>
      <c r="AK793" s="1563" t="n"/>
      <c r="AL793" s="1562" t="n"/>
      <c r="AM793" s="1562" t="n"/>
      <c r="AN793" s="1562" t="n"/>
      <c r="AO793" s="1562" t="n"/>
      <c r="AP793" s="1562" t="n"/>
      <c r="AQ793" s="1562" t="n"/>
      <c r="AR793" s="1562" t="n"/>
      <c r="AS793" s="1562" t="n"/>
      <c r="AT793" s="1562" t="n"/>
      <c r="AU793" s="1562" t="n"/>
      <c r="AV793" s="1488" t="n"/>
    </row>
    <row r="794" ht="14.4" customFormat="1" customHeight="1" s="1480">
      <c r="A794" s="1933" t="inlineStr">
        <is>
          <t>MO_KPI_FCF_Margin</t>
        </is>
      </c>
      <c r="B794" s="1562" t="n"/>
      <c r="C794" s="1921" t="n"/>
      <c r="D794" s="1921" t="n"/>
      <c r="E794" s="1562" t="n"/>
      <c r="F794" s="1562" t="n"/>
      <c r="G794" s="1562" t="n"/>
      <c r="H794" s="1562" t="n"/>
      <c r="I794" s="1562" t="n"/>
      <c r="J794" s="1562" t="n"/>
      <c r="K794" s="1562" t="n"/>
      <c r="L794" s="1562" t="n"/>
      <c r="M794" s="1562" t="n"/>
      <c r="N794" s="1562" t="n"/>
      <c r="O794" s="1562" t="n"/>
      <c r="P794" s="1562" t="n"/>
      <c r="Q794" s="1562" t="n"/>
      <c r="R794" s="1562" t="n"/>
      <c r="S794" s="1562" t="n"/>
      <c r="T794" s="1562" t="n"/>
      <c r="U794" s="1562" t="n"/>
      <c r="V794" s="1562" t="n"/>
      <c r="W794" s="1562" t="n"/>
      <c r="X794" s="1562" t="n"/>
      <c r="Y794" s="1562" t="n"/>
      <c r="Z794" s="1562" t="n"/>
      <c r="AA794" s="1562" t="n"/>
      <c r="AB794" s="1562" t="n"/>
      <c r="AC794" s="1562" t="n"/>
      <c r="AD794" s="1562" t="n"/>
      <c r="AE794" s="1562" t="n"/>
      <c r="AF794" s="1562" t="n"/>
      <c r="AG794" s="1562" t="n"/>
      <c r="AH794" s="1562" t="n"/>
      <c r="AI794" s="1562" t="n"/>
      <c r="AJ794" s="1562" t="n"/>
      <c r="AK794" s="1563" t="n"/>
      <c r="AL794" s="1562" t="n"/>
      <c r="AM794" s="1562" t="n"/>
      <c r="AN794" s="1562" t="n"/>
      <c r="AO794" s="1562" t="n"/>
      <c r="AP794" s="1562" t="n"/>
      <c r="AQ794" s="1562" t="n"/>
      <c r="AR794" s="1562" t="n"/>
      <c r="AS794" s="1562" t="n"/>
      <c r="AT794" s="1562" t="n"/>
      <c r="AU794" s="1562" t="n"/>
      <c r="AV794" s="1488" t="n"/>
    </row>
    <row r="795" ht="14.4" customFormat="1" customHeight="1" s="1480">
      <c r="A795" s="1933" t="inlineStr">
        <is>
          <t>MO_KPI_RuleOf40</t>
        </is>
      </c>
      <c r="B795" s="1562" t="n"/>
      <c r="C795" s="1921" t="n"/>
      <c r="D795" s="1921" t="n"/>
      <c r="E795" s="1562" t="n"/>
      <c r="F795" s="1562" t="n"/>
      <c r="G795" s="1562" t="n"/>
      <c r="H795" s="1562" t="n"/>
      <c r="I795" s="1562" t="n"/>
      <c r="J795" s="1562" t="n"/>
      <c r="K795" s="1562" t="n"/>
      <c r="L795" s="1562" t="n"/>
      <c r="M795" s="1562" t="n"/>
      <c r="N795" s="1562" t="n"/>
      <c r="O795" s="1562" t="n"/>
      <c r="P795" s="1562" t="n"/>
      <c r="Q795" s="1562" t="n"/>
      <c r="R795" s="1562" t="n"/>
      <c r="S795" s="1562" t="n"/>
      <c r="T795" s="1562" t="n"/>
      <c r="U795" s="1562" t="n"/>
      <c r="V795" s="1562" t="n"/>
      <c r="W795" s="1562" t="n"/>
      <c r="X795" s="1562" t="n"/>
      <c r="Y795" s="1562" t="n"/>
      <c r="Z795" s="1562" t="n"/>
      <c r="AA795" s="1562" t="n"/>
      <c r="AB795" s="1562" t="n"/>
      <c r="AC795" s="1562" t="n"/>
      <c r="AD795" s="1562" t="n"/>
      <c r="AE795" s="1562" t="n"/>
      <c r="AF795" s="1562" t="n"/>
      <c r="AG795" s="1562" t="n"/>
      <c r="AH795" s="1562" t="n"/>
      <c r="AI795" s="1562" t="n"/>
      <c r="AJ795" s="1562" t="n"/>
      <c r="AK795" s="1563" t="n"/>
      <c r="AL795" s="1562" t="n"/>
      <c r="AM795" s="1562" t="n"/>
      <c r="AN795" s="1562" t="n"/>
      <c r="AO795" s="1562" t="n"/>
      <c r="AP795" s="1562" t="n"/>
      <c r="AQ795" s="1562" t="n"/>
      <c r="AR795" s="1562" t="n"/>
      <c r="AS795" s="1562" t="n"/>
      <c r="AT795" s="1562" t="n"/>
      <c r="AU795" s="1562" t="n"/>
      <c r="AV795" s="1488" t="n"/>
    </row>
    <row r="796" ht="14.4" customFormat="1" customHeight="1" s="1480">
      <c r="A796" s="1933" t="inlineStr">
        <is>
          <t>MO_KPI_ContributionMargin</t>
        </is>
      </c>
      <c r="B796" s="1562" t="n"/>
      <c r="C796" s="1921" t="n"/>
      <c r="D796" s="1921" t="n"/>
      <c r="E796" s="1562" t="n"/>
      <c r="F796" s="1562" t="n"/>
      <c r="G796" s="1562" t="n"/>
      <c r="H796" s="1562" t="n"/>
      <c r="I796" s="1562" t="n"/>
      <c r="J796" s="1562" t="n"/>
      <c r="K796" s="1562" t="n"/>
      <c r="L796" s="1562" t="n"/>
      <c r="M796" s="1562" t="n"/>
      <c r="N796" s="1562" t="n"/>
      <c r="O796" s="1562" t="n"/>
      <c r="P796" s="1562" t="n"/>
      <c r="Q796" s="1562" t="n"/>
      <c r="R796" s="1562" t="n"/>
      <c r="S796" s="1562" t="n"/>
      <c r="T796" s="1562" t="n"/>
      <c r="U796" s="1562" t="n"/>
      <c r="V796" s="1562" t="n"/>
      <c r="W796" s="1562" t="n"/>
      <c r="X796" s="1562" t="n"/>
      <c r="Y796" s="1562" t="n"/>
      <c r="Z796" s="1562" t="n"/>
      <c r="AA796" s="1562" t="n"/>
      <c r="AB796" s="1562" t="n"/>
      <c r="AC796" s="1562" t="n"/>
      <c r="AD796" s="1562" t="n"/>
      <c r="AE796" s="1562" t="n"/>
      <c r="AF796" s="1562" t="n"/>
      <c r="AG796" s="1562" t="n"/>
      <c r="AH796" s="1562" t="n"/>
      <c r="AI796" s="1562" t="n"/>
      <c r="AJ796" s="1562" t="n"/>
      <c r="AK796" s="1563" t="n"/>
      <c r="AL796" s="1562" t="n"/>
      <c r="AM796" s="1562" t="n"/>
      <c r="AN796" s="1562" t="n"/>
      <c r="AO796" s="1562" t="n"/>
      <c r="AP796" s="1562" t="n"/>
      <c r="AQ796" s="1562" t="n"/>
      <c r="AR796" s="1562" t="n"/>
      <c r="AS796" s="1562" t="n"/>
      <c r="AT796" s="1562" t="n"/>
      <c r="AU796" s="1562" t="n"/>
      <c r="AV796" s="1488" t="n"/>
    </row>
    <row r="797" ht="14.4" customFormat="1" customHeight="1" s="1480">
      <c r="A797" s="1933" t="inlineStr">
        <is>
          <t>MO_KPI_EmployeeCount</t>
        </is>
      </c>
      <c r="B797" s="1562" t="n"/>
      <c r="C797" s="1921" t="n"/>
      <c r="D797" s="1921" t="n"/>
      <c r="E797" s="1562" t="n"/>
      <c r="F797" s="1562" t="n"/>
      <c r="G797" s="1562" t="n"/>
      <c r="H797" s="1562" t="n"/>
      <c r="I797" s="1562" t="n"/>
      <c r="J797" s="1562" t="n"/>
      <c r="K797" s="1562" t="n"/>
      <c r="L797" s="1562" t="n"/>
      <c r="M797" s="1562" t="n"/>
      <c r="N797" s="1562" t="n"/>
      <c r="O797" s="1562" t="n"/>
      <c r="P797" s="1562" t="n"/>
      <c r="Q797" s="1562" t="n"/>
      <c r="R797" s="1562" t="n"/>
      <c r="S797" s="1562" t="n"/>
      <c r="T797" s="1562" t="n"/>
      <c r="U797" s="1562" t="n"/>
      <c r="V797" s="1562" t="n"/>
      <c r="W797" s="1562" t="n"/>
      <c r="X797" s="1562" t="n"/>
      <c r="Y797" s="1562" t="n"/>
      <c r="Z797" s="1562" t="n"/>
      <c r="AA797" s="1562" t="n"/>
      <c r="AB797" s="1562" t="n"/>
      <c r="AC797" s="1562" t="n"/>
      <c r="AD797" s="1562" t="n"/>
      <c r="AE797" s="1562" t="n"/>
      <c r="AF797" s="1562" t="n"/>
      <c r="AG797" s="1562" t="n"/>
      <c r="AH797" s="1562" t="n"/>
      <c r="AI797" s="1562" t="n"/>
      <c r="AJ797" s="1562" t="n"/>
      <c r="AK797" s="1563" t="n"/>
      <c r="AL797" s="1562" t="n"/>
      <c r="AM797" s="1562" t="n"/>
      <c r="AN797" s="1562" t="n"/>
      <c r="AO797" s="1562" t="n"/>
      <c r="AP797" s="1562" t="n"/>
      <c r="AQ797" s="1562" t="n"/>
      <c r="AR797" s="1562" t="n"/>
      <c r="AS797" s="1562" t="n"/>
      <c r="AT797" s="1562" t="n"/>
      <c r="AU797" s="1562" t="n"/>
      <c r="AV797" s="1488" t="n"/>
    </row>
    <row r="798" ht="14.4" customFormat="1" customHeight="1" s="1480">
      <c r="A798" s="1934" t="n"/>
      <c r="B798" s="1562" t="n"/>
      <c r="C798" s="1921" t="n"/>
      <c r="D798" s="1921" t="n"/>
      <c r="E798" s="1562" t="n"/>
      <c r="F798" s="1562" t="n"/>
      <c r="G798" s="1562" t="n"/>
      <c r="H798" s="1562" t="n"/>
      <c r="I798" s="1562" t="n"/>
      <c r="J798" s="1562" t="n"/>
      <c r="K798" s="1562" t="n"/>
      <c r="L798" s="1562" t="n"/>
      <c r="M798" s="1562" t="n"/>
      <c r="N798" s="1562" t="n"/>
      <c r="O798" s="1562" t="n"/>
      <c r="P798" s="1562" t="n"/>
      <c r="Q798" s="1562" t="n"/>
      <c r="R798" s="1562" t="n"/>
      <c r="S798" s="1562" t="n"/>
      <c r="T798" s="1562" t="n"/>
      <c r="U798" s="1562" t="n"/>
      <c r="V798" s="1562" t="n"/>
      <c r="W798" s="1562" t="n"/>
      <c r="X798" s="1562" t="n"/>
      <c r="Y798" s="1562" t="n"/>
      <c r="Z798" s="1562" t="n"/>
      <c r="AA798" s="1562" t="n"/>
      <c r="AB798" s="1562" t="n"/>
      <c r="AC798" s="1562" t="n"/>
      <c r="AD798" s="1562" t="n"/>
      <c r="AE798" s="1562" t="n"/>
      <c r="AF798" s="1562" t="n"/>
      <c r="AG798" s="1562" t="n"/>
      <c r="AH798" s="1562" t="n"/>
      <c r="AI798" s="1562" t="n"/>
      <c r="AJ798" s="1562" t="n"/>
      <c r="AK798" s="1563" t="n"/>
      <c r="AL798" s="1562" t="n"/>
      <c r="AM798" s="1562" t="n"/>
      <c r="AN798" s="1562" t="n"/>
      <c r="AO798" s="1562" t="n"/>
      <c r="AP798" s="1562" t="n"/>
      <c r="AQ798" s="1562" t="n"/>
      <c r="AR798" s="1562" t="n"/>
      <c r="AS798" s="1562" t="n"/>
      <c r="AT798" s="1562" t="n"/>
      <c r="AU798" s="1562" t="n"/>
      <c r="AV798" s="1488" t="n"/>
    </row>
    <row r="799" ht="14.4" customFormat="1" customHeight="1" s="1480">
      <c r="A799" s="1918" t="n"/>
      <c r="B799" s="1562" t="n"/>
      <c r="C799" s="1921" t="n"/>
      <c r="D799" s="1921" t="n"/>
      <c r="E799" s="1562" t="n"/>
      <c r="F799" s="1562" t="n"/>
      <c r="G799" s="1562" t="n"/>
      <c r="H799" s="1562" t="n"/>
      <c r="I799" s="1562" t="n"/>
      <c r="J799" s="1562" t="n"/>
      <c r="K799" s="1562" t="n"/>
      <c r="L799" s="1562" t="n"/>
      <c r="M799" s="1562" t="n"/>
      <c r="N799" s="1562" t="n"/>
      <c r="O799" s="1562" t="n"/>
      <c r="P799" s="1562" t="n"/>
      <c r="Q799" s="1562" t="n"/>
      <c r="R799" s="1562" t="n"/>
      <c r="S799" s="1562" t="n"/>
      <c r="T799" s="1562" t="n"/>
      <c r="U799" s="1562" t="n"/>
      <c r="V799" s="1562" t="n"/>
      <c r="W799" s="1562" t="n"/>
      <c r="X799" s="1562" t="n"/>
      <c r="Y799" s="1562" t="n"/>
      <c r="Z799" s="1562" t="n"/>
      <c r="AA799" s="1562" t="n"/>
      <c r="AB799" s="1562" t="n"/>
      <c r="AC799" s="1562" t="n"/>
      <c r="AD799" s="1562" t="n"/>
      <c r="AE799" s="1562" t="n"/>
      <c r="AF799" s="1562" t="n"/>
      <c r="AG799" s="1562" t="n"/>
      <c r="AH799" s="1562" t="n"/>
      <c r="AI799" s="1562" t="n"/>
      <c r="AJ799" s="1562" t="n"/>
      <c r="AK799" s="1563" t="n"/>
      <c r="AL799" s="1562" t="n"/>
      <c r="AM799" s="1562" t="n"/>
      <c r="AN799" s="1562" t="n"/>
      <c r="AO799" s="1562" t="n"/>
      <c r="AP799" s="1562" t="n"/>
      <c r="AQ799" s="1562" t="n"/>
      <c r="AR799" s="1562" t="n"/>
      <c r="AS799" s="1562" t="n"/>
      <c r="AT799" s="1562" t="n"/>
      <c r="AU799" s="1562" t="n"/>
      <c r="AV799" s="1488" t="n"/>
    </row>
    <row r="800" ht="14.4" customFormat="1" customHeight="1" s="1480">
      <c r="A800" s="1935" t="inlineStr">
        <is>
          <t>Quarterly Guidance Table</t>
        </is>
      </c>
      <c r="B800" s="1936" t="n"/>
      <c r="C800" s="1937" t="n"/>
      <c r="D800" s="1937" t="n"/>
      <c r="E800" s="1936" t="n"/>
      <c r="F800" s="1936" t="n"/>
      <c r="G800" s="1936" t="n"/>
      <c r="H800" s="1936" t="n"/>
      <c r="I800" s="1936" t="n"/>
      <c r="J800" s="1936" t="n"/>
      <c r="K800" s="1936" t="n"/>
      <c r="L800" s="1936" t="n"/>
      <c r="M800" s="1936" t="n"/>
      <c r="N800" s="1936" t="n"/>
      <c r="O800" s="1936" t="n"/>
      <c r="P800" s="1936" t="n"/>
      <c r="Q800" s="1936" t="n"/>
      <c r="R800" s="1936" t="n"/>
      <c r="S800" s="1936" t="n"/>
      <c r="T800" s="1936" t="n"/>
      <c r="U800" s="1936" t="n"/>
      <c r="V800" s="1936" t="n"/>
      <c r="W800" s="1936" t="n"/>
      <c r="X800" s="1936" t="n"/>
      <c r="Y800" s="1936" t="n"/>
      <c r="Z800" s="1936" t="n"/>
      <c r="AA800" s="1936" t="n"/>
      <c r="AB800" s="1936" t="n"/>
      <c r="AC800" s="1936" t="n"/>
      <c r="AD800" s="1936" t="n"/>
      <c r="AE800" s="1936" t="n"/>
      <c r="AF800" s="1936" t="n"/>
      <c r="AG800" s="1936" t="n"/>
      <c r="AH800" s="1936" t="n"/>
      <c r="AI800" s="1936" t="n"/>
      <c r="AJ800" s="1936" t="n"/>
      <c r="AK800" s="1938" t="n"/>
      <c r="AL800" s="1936" t="n"/>
      <c r="AM800" s="1936" t="n"/>
      <c r="AN800" s="1936" t="n"/>
      <c r="AO800" s="1936" t="n"/>
      <c r="AP800" s="1936" t="n"/>
      <c r="AQ800" s="1936" t="n"/>
      <c r="AR800" s="1936" t="n"/>
      <c r="AS800" s="1936" t="n"/>
      <c r="AT800" s="1936" t="n"/>
      <c r="AU800" s="1939" t="n"/>
      <c r="AV800" s="1488" t="n"/>
    </row>
    <row r="801" ht="14.4" customFormat="1" customHeight="1" s="1480">
      <c r="A801" s="1940" t="inlineStr">
        <is>
          <t>Reporting Date</t>
        </is>
      </c>
      <c r="B801" s="1562" t="n"/>
      <c r="C801" s="1941" t="n"/>
      <c r="D801" s="1941" t="n"/>
      <c r="E801" s="1942" t="n"/>
      <c r="F801" s="1942" t="n"/>
      <c r="G801" s="1942" t="n"/>
      <c r="H801" s="1942" t="n"/>
      <c r="I801" s="1942" t="n"/>
      <c r="J801" s="1942" t="n"/>
      <c r="K801" s="1942" t="n"/>
      <c r="L801" s="1942" t="n"/>
      <c r="M801" s="1942" t="n"/>
      <c r="N801" s="1942" t="n"/>
      <c r="O801" s="1942" t="n"/>
      <c r="P801" s="1942" t="n"/>
      <c r="Q801" s="1942" t="n"/>
      <c r="R801" s="1942" t="n"/>
      <c r="S801" s="1942" t="n"/>
      <c r="T801" s="1942" t="n"/>
      <c r="U801" s="1942" t="n"/>
      <c r="V801" s="1942" t="n"/>
      <c r="W801" s="1942" t="n"/>
      <c r="X801" s="1942" t="n"/>
      <c r="Y801" s="1942" t="n"/>
      <c r="Z801" s="1942" t="n"/>
      <c r="AA801" s="1942" t="n"/>
      <c r="AB801" s="1942" t="n"/>
      <c r="AC801" s="1942" t="n"/>
      <c r="AD801" s="1942" t="n"/>
      <c r="AE801" s="1942" t="n"/>
      <c r="AF801" s="1942" t="n"/>
      <c r="AG801" s="1942" t="n"/>
      <c r="AH801" s="1942" t="n"/>
      <c r="AI801" s="1943" t="n">
        <v>45791</v>
      </c>
      <c r="AJ801" s="1943" t="n">
        <v>45881</v>
      </c>
      <c r="AK801" s="1944" t="n">
        <v>45971</v>
      </c>
      <c r="AL801" s="1942" t="n"/>
      <c r="AM801" s="1942" t="n"/>
      <c r="AN801" s="1942" t="n"/>
      <c r="AO801" s="1942" t="n"/>
      <c r="AP801" s="1942" t="n"/>
      <c r="AQ801" s="1942" t="n"/>
      <c r="AR801" s="1942" t="n"/>
      <c r="AS801" s="1942" t="n"/>
      <c r="AT801" s="1942" t="n"/>
      <c r="AU801" s="1945" t="n"/>
      <c r="AV801" s="1488" t="n"/>
    </row>
    <row r="802" ht="14.4" customFormat="1" customHeight="1" s="1480">
      <c r="A802" s="1940" t="inlineStr">
        <is>
          <t>Applicable Period</t>
        </is>
      </c>
      <c r="B802" s="1562" t="n"/>
      <c r="C802" s="774" t="n"/>
      <c r="D802" s="774" t="n"/>
      <c r="E802" s="775" t="n"/>
      <c r="F802" s="775" t="n"/>
      <c r="G802" s="775" t="n"/>
      <c r="H802" s="775" t="n"/>
      <c r="I802" s="775" t="n"/>
      <c r="J802" s="775" t="n"/>
      <c r="K802" s="775" t="n"/>
      <c r="L802" s="775" t="n"/>
      <c r="M802" s="775" t="n"/>
      <c r="N802" s="775" t="n"/>
      <c r="O802" s="775" t="n"/>
      <c r="P802" s="775" t="n"/>
      <c r="Q802" s="775" t="n"/>
      <c r="R802" s="775" t="n"/>
      <c r="S802" s="775" t="n"/>
      <c r="T802" s="775" t="n"/>
      <c r="U802" s="775" t="n"/>
      <c r="V802" s="775" t="n"/>
      <c r="W802" s="775" t="n"/>
      <c r="X802" s="775" t="n"/>
      <c r="Y802" s="775" t="n"/>
      <c r="Z802" s="775" t="n"/>
      <c r="AA802" s="775" t="n"/>
      <c r="AB802" s="775" t="n"/>
      <c r="AC802" s="775" t="n"/>
      <c r="AD802" s="775" t="n"/>
      <c r="AE802" s="775" t="n"/>
      <c r="AF802" s="775" t="n"/>
      <c r="AG802" s="775" t="n"/>
      <c r="AH802" s="775" t="n"/>
      <c r="AI802" s="775" t="n"/>
      <c r="AJ802" s="775" t="n"/>
      <c r="AK802" s="350" t="n"/>
      <c r="AL802" s="775" t="n"/>
      <c r="AM802" s="775" t="n"/>
      <c r="AN802" s="775" t="n"/>
      <c r="AO802" s="775" t="n"/>
      <c r="AP802" s="775" t="n"/>
      <c r="AQ802" s="775" t="n"/>
      <c r="AR802" s="775" t="n"/>
      <c r="AS802" s="775" t="n"/>
      <c r="AT802" s="775" t="n"/>
      <c r="AU802" s="351" t="n"/>
      <c r="AV802" s="1488" t="n"/>
    </row>
    <row r="803" ht="14.4" customFormat="1" customHeight="1" s="1480">
      <c r="A803" s="1946" t="n"/>
      <c r="B803" s="1947" t="n"/>
      <c r="C803" s="1948" t="n"/>
      <c r="D803" s="1948" t="n"/>
      <c r="E803" s="1947" t="n"/>
      <c r="F803" s="1947" t="n"/>
      <c r="G803" s="1947" t="n"/>
      <c r="H803" s="1947" t="n"/>
      <c r="I803" s="1947" t="n"/>
      <c r="J803" s="1947" t="n"/>
      <c r="K803" s="1947" t="n"/>
      <c r="L803" s="1947" t="n"/>
      <c r="M803" s="1947" t="n"/>
      <c r="N803" s="1947" t="n"/>
      <c r="O803" s="1947" t="n"/>
      <c r="P803" s="1947" t="n"/>
      <c r="Q803" s="1947" t="n"/>
      <c r="R803" s="1947" t="n"/>
      <c r="S803" s="1947" t="n"/>
      <c r="T803" s="1947" t="n"/>
      <c r="U803" s="1947" t="n"/>
      <c r="V803" s="1947" t="n"/>
      <c r="W803" s="1947" t="n"/>
      <c r="X803" s="1947" t="n"/>
      <c r="Y803" s="1947" t="n"/>
      <c r="Z803" s="1947" t="n"/>
      <c r="AA803" s="1947" t="n"/>
      <c r="AB803" s="1947" t="n"/>
      <c r="AC803" s="1947" t="n"/>
      <c r="AD803" s="1947" t="n"/>
      <c r="AE803" s="1947" t="n"/>
      <c r="AF803" s="1947" t="n"/>
      <c r="AG803" s="1947" t="n"/>
      <c r="AH803" s="1947" t="n"/>
      <c r="AI803" s="1947" t="n"/>
      <c r="AJ803" s="1947" t="n"/>
      <c r="AK803" s="1949" t="n"/>
      <c r="AL803" s="1947" t="n"/>
      <c r="AM803" s="1947" t="n"/>
      <c r="AN803" s="1947" t="n"/>
      <c r="AO803" s="1947" t="n"/>
      <c r="AP803" s="1947" t="n"/>
      <c r="AQ803" s="1947" t="n"/>
      <c r="AR803" s="1947" t="n"/>
      <c r="AS803" s="1947" t="n"/>
      <c r="AT803" s="1947" t="n"/>
      <c r="AU803" s="1950" t="n"/>
      <c r="AV803" s="1488" t="n"/>
    </row>
    <row r="804" ht="14.4" customFormat="1" customHeight="1" s="1480">
      <c r="A804" s="1918" t="n"/>
      <c r="B804" s="1562" t="n"/>
      <c r="C804" s="1921" t="n"/>
      <c r="D804" s="1921" t="n"/>
      <c r="E804" s="1562" t="n"/>
      <c r="F804" s="1562" t="n"/>
      <c r="G804" s="1562" t="n"/>
      <c r="H804" s="1562" t="n"/>
      <c r="I804" s="1562" t="n"/>
      <c r="J804" s="1562" t="n"/>
      <c r="K804" s="1562" t="n"/>
      <c r="L804" s="1562" t="n"/>
      <c r="M804" s="1562" t="n"/>
      <c r="N804" s="1562" t="n"/>
      <c r="O804" s="1562" t="n"/>
      <c r="P804" s="1562" t="n"/>
      <c r="Q804" s="1562" t="n"/>
      <c r="R804" s="1562" t="n"/>
      <c r="S804" s="1562" t="n"/>
      <c r="T804" s="1562" t="n"/>
      <c r="U804" s="1562" t="n"/>
      <c r="V804" s="1562" t="n"/>
      <c r="W804" s="1562" t="n"/>
      <c r="X804" s="1562" t="n"/>
      <c r="Y804" s="1562" t="n"/>
      <c r="Z804" s="1562" t="n"/>
      <c r="AA804" s="1562" t="n"/>
      <c r="AB804" s="1562" t="n"/>
      <c r="AC804" s="1562" t="n"/>
      <c r="AD804" s="1562" t="n"/>
      <c r="AE804" s="1562" t="n"/>
      <c r="AF804" s="1562" t="n"/>
      <c r="AG804" s="1562" t="n"/>
      <c r="AH804" s="1562" t="n"/>
      <c r="AI804" s="1562" t="n"/>
      <c r="AJ804" s="1562" t="n"/>
      <c r="AK804" s="1563" t="n"/>
      <c r="AL804" s="1562" t="n"/>
      <c r="AM804" s="1562" t="n"/>
      <c r="AN804" s="1562" t="n"/>
      <c r="AO804" s="1562" t="n"/>
      <c r="AP804" s="1562" t="n"/>
      <c r="AQ804" s="1562" t="n"/>
      <c r="AR804" s="1562" t="n"/>
      <c r="AS804" s="1562" t="n"/>
      <c r="AT804" s="1562" t="n"/>
      <c r="AU804" s="1562" t="n"/>
      <c r="AV804" s="1488" t="n"/>
    </row>
    <row r="805" ht="14.4" customFormat="1" customHeight="1" s="1480">
      <c r="A805" s="1935" t="inlineStr">
        <is>
          <t>Annual Guidance Table</t>
        </is>
      </c>
      <c r="B805" s="1936" t="n"/>
      <c r="C805" s="1937" t="n"/>
      <c r="D805" s="1937" t="n"/>
      <c r="E805" s="1936" t="n"/>
      <c r="F805" s="1936" t="n"/>
      <c r="G805" s="1936" t="n"/>
      <c r="H805" s="1936" t="n"/>
      <c r="I805" s="1936" t="n"/>
      <c r="J805" s="1936" t="n"/>
      <c r="K805" s="1936" t="n"/>
      <c r="L805" s="1936" t="n"/>
      <c r="M805" s="1936" t="n"/>
      <c r="N805" s="1936" t="n"/>
      <c r="O805" s="1936" t="n"/>
      <c r="P805" s="1936" t="n"/>
      <c r="Q805" s="1936" t="n"/>
      <c r="R805" s="1936" t="n"/>
      <c r="S805" s="1936" t="n"/>
      <c r="T805" s="1936" t="n"/>
      <c r="U805" s="1936" t="n"/>
      <c r="V805" s="1936" t="n"/>
      <c r="W805" s="1936" t="n"/>
      <c r="X805" s="1936" t="n"/>
      <c r="Y805" s="1936" t="n"/>
      <c r="Z805" s="1936" t="n"/>
      <c r="AA805" s="1936" t="n"/>
      <c r="AB805" s="1936" t="n"/>
      <c r="AC805" s="1936" t="n"/>
      <c r="AD805" s="1936" t="n"/>
      <c r="AE805" s="1936" t="n"/>
      <c r="AF805" s="1936" t="n"/>
      <c r="AG805" s="1936" t="n"/>
      <c r="AH805" s="1936" t="n"/>
      <c r="AI805" s="1951">
        <f>AI801</f>
        <v/>
      </c>
      <c r="AJ805" s="1936" t="n"/>
      <c r="AK805" s="1938" t="n"/>
      <c r="AL805" s="1936" t="n"/>
      <c r="AM805" s="1936" t="n"/>
      <c r="AN805" s="1936" t="n"/>
      <c r="AO805" s="1936" t="n"/>
      <c r="AP805" s="1936" t="n"/>
      <c r="AQ805" s="1936" t="n"/>
      <c r="AR805" s="1936" t="n"/>
      <c r="AS805" s="1936" t="n"/>
      <c r="AT805" s="1936" t="n"/>
      <c r="AU805" s="1939" t="n"/>
      <c r="AV805" s="1488" t="n"/>
    </row>
    <row r="806" ht="14.4" customFormat="1" customHeight="1" s="1480">
      <c r="A806" s="1940" t="inlineStr">
        <is>
          <t>Reporting Date</t>
        </is>
      </c>
      <c r="B806" s="1562" t="n"/>
      <c r="C806" s="1941" t="n"/>
      <c r="D806" s="1941" t="n"/>
      <c r="E806" s="1942" t="n"/>
      <c r="F806" s="1942" t="n"/>
      <c r="G806" s="1942" t="n"/>
      <c r="H806" s="1942" t="n"/>
      <c r="I806" s="1942" t="n"/>
      <c r="J806" s="1942" t="n"/>
      <c r="K806" s="1942" t="n"/>
      <c r="L806" s="1942" t="n"/>
      <c r="M806" s="1942" t="n"/>
      <c r="N806" s="1942" t="n"/>
      <c r="O806" s="1942" t="n"/>
      <c r="P806" s="1942" t="n"/>
      <c r="Q806" s="1942" t="n"/>
      <c r="R806" s="1942" t="n"/>
      <c r="S806" s="1942" t="n"/>
      <c r="T806" s="1942" t="n"/>
      <c r="U806" s="1942" t="n"/>
      <c r="V806" s="1942" t="n"/>
      <c r="W806" s="1942" t="n"/>
      <c r="X806" s="1942" t="n"/>
      <c r="Y806" s="1942" t="n"/>
      <c r="Z806" s="1942" t="n"/>
      <c r="AA806" s="1942" t="n"/>
      <c r="AB806" s="1942" t="n"/>
      <c r="AC806" s="1942" t="n"/>
      <c r="AD806" s="1942" t="n"/>
      <c r="AE806" s="1942" t="n"/>
      <c r="AF806" s="1942" t="n"/>
      <c r="AG806" s="1942" t="n"/>
      <c r="AH806" s="1942" t="n"/>
      <c r="AI806" s="1942" t="n"/>
      <c r="AJ806" s="1942" t="n"/>
      <c r="AK806" s="1952" t="n"/>
      <c r="AL806" s="1942" t="n"/>
      <c r="AM806" s="1942" t="n"/>
      <c r="AN806" s="1942" t="n"/>
      <c r="AO806" s="1942" t="n"/>
      <c r="AP806" s="1942" t="n"/>
      <c r="AQ806" s="1942" t="n"/>
      <c r="AR806" s="1942" t="n"/>
      <c r="AS806" s="1942" t="n"/>
      <c r="AT806" s="1942" t="n"/>
      <c r="AU806" s="1945" t="n"/>
      <c r="AV806" s="1488" t="n"/>
    </row>
    <row r="807" ht="14.4" customFormat="1" customHeight="1" s="1480">
      <c r="A807" s="1940" t="inlineStr">
        <is>
          <t>Is Latest</t>
        </is>
      </c>
      <c r="B807" s="1562" t="n"/>
      <c r="C807" s="774" t="n"/>
      <c r="D807" s="774" t="n"/>
      <c r="E807" s="775" t="n"/>
      <c r="F807" s="775" t="n"/>
      <c r="G807" s="775" t="n"/>
      <c r="H807" s="775" t="n"/>
      <c r="I807" s="775" t="n"/>
      <c r="J807" s="775" t="n"/>
      <c r="K807" s="775" t="n"/>
      <c r="L807" s="775" t="n"/>
      <c r="M807" s="775" t="n"/>
      <c r="N807" s="775" t="n"/>
      <c r="O807" s="775" t="n"/>
      <c r="P807" s="775" t="n"/>
      <c r="Q807" s="775" t="n"/>
      <c r="R807" s="775" t="n"/>
      <c r="S807" s="775" t="n"/>
      <c r="T807" s="775" t="n"/>
      <c r="U807" s="775" t="n"/>
      <c r="V807" s="775" t="n"/>
      <c r="W807" s="775" t="n"/>
      <c r="X807" s="775" t="n"/>
      <c r="Y807" s="775" t="n"/>
      <c r="Z807" s="775" t="n"/>
      <c r="AA807" s="775" t="n"/>
      <c r="AB807" s="775" t="n"/>
      <c r="AC807" s="775" t="n"/>
      <c r="AD807" s="775" t="n"/>
      <c r="AE807" s="775" t="n"/>
      <c r="AF807" s="775" t="n"/>
      <c r="AG807" s="775" t="n"/>
      <c r="AH807" s="775" t="n"/>
      <c r="AI807" s="775" t="n"/>
      <c r="AJ807" s="775" t="n"/>
      <c r="AK807" s="350" t="n"/>
      <c r="AL807" s="775" t="n"/>
      <c r="AM807" s="775" t="n"/>
      <c r="AN807" s="775" t="n"/>
      <c r="AO807" s="775" t="n"/>
      <c r="AP807" s="775" t="n"/>
      <c r="AQ807" s="775" t="n"/>
      <c r="AR807" s="775" t="n"/>
      <c r="AS807" s="775" t="n"/>
      <c r="AT807" s="775" t="n"/>
      <c r="AU807" s="351" t="n"/>
      <c r="AV807" s="1488" t="n"/>
    </row>
    <row r="808" ht="14.4" customFormat="1" customHeight="1" s="1480">
      <c r="A808" s="1940" t="inlineStr">
        <is>
          <t>Applicable Period</t>
        </is>
      </c>
      <c r="B808" s="1562" t="n"/>
      <c r="C808" s="774" t="n"/>
      <c r="D808" s="774" t="n"/>
      <c r="E808" s="775" t="n"/>
      <c r="F808" s="775" t="n"/>
      <c r="G808" s="775" t="n"/>
      <c r="H808" s="775" t="n"/>
      <c r="I808" s="775" t="n"/>
      <c r="J808" s="775" t="n"/>
      <c r="K808" s="775" t="n"/>
      <c r="L808" s="775" t="n"/>
      <c r="M808" s="775" t="n"/>
      <c r="N808" s="775" t="n"/>
      <c r="O808" s="775" t="n"/>
      <c r="P808" s="775" t="n"/>
      <c r="Q808" s="775" t="n"/>
      <c r="R808" s="775" t="n"/>
      <c r="S808" s="775" t="n"/>
      <c r="T808" s="775" t="n"/>
      <c r="U808" s="775" t="n"/>
      <c r="V808" s="775" t="n"/>
      <c r="W808" s="775" t="n"/>
      <c r="X808" s="775" t="n"/>
      <c r="Y808" s="775" t="n"/>
      <c r="Z808" s="775" t="n"/>
      <c r="AA808" s="775" t="n"/>
      <c r="AB808" s="775" t="n"/>
      <c r="AC808" s="775" t="n"/>
      <c r="AD808" s="775" t="n"/>
      <c r="AE808" s="775" t="n"/>
      <c r="AF808" s="775" t="n"/>
      <c r="AG808" s="775" t="n"/>
      <c r="AH808" s="775" t="n"/>
      <c r="AI808" s="775" t="n"/>
      <c r="AJ808" s="775" t="n"/>
      <c r="AK808" s="350" t="n"/>
      <c r="AL808" s="775" t="n"/>
      <c r="AM808" s="775" t="n"/>
      <c r="AN808" s="775" t="n"/>
      <c r="AO808" s="775" t="n"/>
      <c r="AP808" s="775" t="n"/>
      <c r="AQ808" s="775" t="n"/>
      <c r="AR808" s="775" t="n"/>
      <c r="AS808" s="775" t="n"/>
      <c r="AT808" s="775" t="n"/>
      <c r="AU808" s="351" t="n"/>
      <c r="AV808" s="1488" t="n"/>
    </row>
    <row r="809" ht="14.4" customFormat="1" customHeight="1" s="1480">
      <c r="A809" s="1946" t="n"/>
      <c r="B809" s="1947" t="n"/>
      <c r="C809" s="1948" t="n"/>
      <c r="D809" s="1948" t="n"/>
      <c r="E809" s="1947" t="n"/>
      <c r="F809" s="1947" t="n"/>
      <c r="G809" s="1947" t="n"/>
      <c r="H809" s="1947" t="n"/>
      <c r="I809" s="1947" t="n"/>
      <c r="J809" s="1947" t="n"/>
      <c r="K809" s="1947" t="n"/>
      <c r="L809" s="1947" t="n"/>
      <c r="M809" s="1947" t="n"/>
      <c r="N809" s="1947" t="n"/>
      <c r="O809" s="1947" t="n"/>
      <c r="P809" s="1947" t="n"/>
      <c r="Q809" s="1947" t="n"/>
      <c r="R809" s="1947" t="n"/>
      <c r="S809" s="1947" t="n"/>
      <c r="T809" s="1947" t="n"/>
      <c r="U809" s="1947" t="n"/>
      <c r="V809" s="1947" t="n"/>
      <c r="W809" s="1947" t="n"/>
      <c r="X809" s="1947" t="n"/>
      <c r="Y809" s="1947" t="n"/>
      <c r="Z809" s="1947" t="n"/>
      <c r="AA809" s="1947" t="n"/>
      <c r="AB809" s="1947" t="n"/>
      <c r="AC809" s="1947" t="n"/>
      <c r="AD809" s="1947" t="n"/>
      <c r="AE809" s="1947" t="n"/>
      <c r="AF809" s="1947" t="n"/>
      <c r="AG809" s="1947" t="n"/>
      <c r="AH809" s="1947" t="n"/>
      <c r="AI809" s="1947" t="n"/>
      <c r="AJ809" s="1947" t="n"/>
      <c r="AK809" s="1949" t="n"/>
      <c r="AL809" s="1947" t="n"/>
      <c r="AM809" s="1947" t="n"/>
      <c r="AN809" s="1947" t="n"/>
      <c r="AO809" s="1947" t="n"/>
      <c r="AP809" s="1947" t="n"/>
      <c r="AQ809" s="1947" t="n"/>
      <c r="AR809" s="1947" t="n"/>
      <c r="AS809" s="1947" t="n"/>
      <c r="AT809" s="1947" t="n"/>
      <c r="AU809" s="1950" t="n"/>
      <c r="AV809" s="1488" t="n"/>
    </row>
    <row r="810" ht="14.4" customFormat="1" customHeight="1" s="1480">
      <c r="A810" s="1918" t="n"/>
      <c r="B810" s="1562" t="n"/>
      <c r="C810" s="1921" t="n"/>
      <c r="D810" s="1921" t="n"/>
      <c r="E810" s="1562" t="n"/>
      <c r="F810" s="1562" t="n"/>
      <c r="G810" s="1562" t="n"/>
      <c r="H810" s="1562" t="n"/>
      <c r="I810" s="1562" t="n"/>
      <c r="J810" s="1562" t="n"/>
      <c r="K810" s="1562" t="n"/>
      <c r="L810" s="1562" t="n"/>
      <c r="M810" s="1562" t="n"/>
      <c r="N810" s="1562" t="n"/>
      <c r="O810" s="1562" t="n"/>
      <c r="P810" s="1562" t="n"/>
      <c r="Q810" s="1562" t="n"/>
      <c r="R810" s="1562" t="n"/>
      <c r="S810" s="1562" t="n"/>
      <c r="T810" s="1562" t="n"/>
      <c r="U810" s="1562" t="n"/>
      <c r="V810" s="1562" t="n"/>
      <c r="W810" s="1562" t="n"/>
      <c r="X810" s="1562" t="n"/>
      <c r="Y810" s="1562" t="n"/>
      <c r="Z810" s="1562" t="n"/>
      <c r="AA810" s="1562" t="n"/>
      <c r="AB810" s="1562" t="n"/>
      <c r="AC810" s="1562" t="n"/>
      <c r="AD810" s="1562" t="n"/>
      <c r="AE810" s="1562" t="n"/>
      <c r="AF810" s="1562" t="n"/>
      <c r="AG810" s="1562" t="n"/>
      <c r="AH810" s="1562" t="n"/>
      <c r="AI810" s="1562" t="n"/>
      <c r="AJ810" s="1562" t="n"/>
      <c r="AK810" s="1563" t="n"/>
      <c r="AL810" s="1562" t="n"/>
      <c r="AM810" s="1562" t="n"/>
      <c r="AN810" s="1562" t="n"/>
      <c r="AO810" s="1562" t="n"/>
      <c r="AP810" s="1562" t="n"/>
      <c r="AQ810" s="1562" t="n"/>
      <c r="AR810" s="1562" t="n"/>
      <c r="AS810" s="1562" t="n"/>
      <c r="AT810" s="1562" t="n"/>
      <c r="AU810" s="1562" t="n"/>
      <c r="AV810" s="1488" t="n"/>
    </row>
    <row r="811" ht="14.4" customFormat="1" customHeight="1" s="1418">
      <c r="A811" s="1927" t="inlineStr">
        <is>
          <t>Consensus Estimate Table</t>
        </is>
      </c>
      <c r="B811" s="1545" t="n"/>
      <c r="C811" s="1545" t="n"/>
      <c r="D811" s="1545" t="n"/>
      <c r="E811" s="1545" t="n"/>
      <c r="F811" s="1545" t="n"/>
      <c r="G811" s="1545" t="n"/>
      <c r="H811" s="1545" t="n"/>
      <c r="I811" s="1545" t="n"/>
      <c r="J811" s="1545" t="n"/>
      <c r="K811" s="1545" t="n"/>
      <c r="L811" s="1545" t="n"/>
      <c r="M811" s="1545" t="n"/>
      <c r="N811" s="1545" t="n"/>
      <c r="O811" s="1545" t="n"/>
      <c r="P811" s="1545" t="n"/>
      <c r="Q811" s="1545" t="n"/>
      <c r="R811" s="1545" t="n"/>
      <c r="S811" s="1545" t="n"/>
      <c r="T811" s="1545" t="n"/>
      <c r="U811" s="1545" t="n"/>
      <c r="V811" s="1545" t="n"/>
      <c r="W811" s="1545" t="n"/>
      <c r="X811" s="1545" t="n"/>
      <c r="Y811" s="1545" t="n"/>
      <c r="Z811" s="1545" t="n"/>
      <c r="AA811" s="1545" t="n"/>
      <c r="AB811" s="1545" t="n"/>
      <c r="AC811" s="1545" t="n"/>
      <c r="AD811" s="1545" t="n"/>
      <c r="AE811" s="1545" t="n"/>
      <c r="AF811" s="1545" t="n"/>
      <c r="AG811" s="1545" t="n"/>
      <c r="AH811" s="1545" t="n"/>
      <c r="AI811" s="1545" t="n"/>
      <c r="AJ811" s="1545" t="n"/>
      <c r="AK811" s="1596" t="n"/>
      <c r="AL811" s="1545">
        <f>AL5</f>
        <v/>
      </c>
      <c r="AM811" s="1545">
        <f>AM5</f>
        <v/>
      </c>
      <c r="AN811" s="1545">
        <f>AN5</f>
        <v/>
      </c>
      <c r="AO811" s="1545">
        <f>AO5</f>
        <v/>
      </c>
      <c r="AP811" s="1545">
        <f>AP5</f>
        <v/>
      </c>
      <c r="AQ811" s="1545">
        <f>AQ5</f>
        <v/>
      </c>
      <c r="AR811" s="1545">
        <f>AR5</f>
        <v/>
      </c>
      <c r="AS811" s="1545">
        <f>AS5</f>
        <v/>
      </c>
      <c r="AT811" s="1545">
        <f>AT5</f>
        <v/>
      </c>
      <c r="AU811" s="1953">
        <f>AU5</f>
        <v/>
      </c>
      <c r="AV811" s="1422" t="n"/>
    </row>
    <row r="812" ht="14.4" customFormat="1" customHeight="1" s="1418">
      <c r="A812" s="1954" t="inlineStr">
        <is>
          <t>FY or FQ</t>
        </is>
      </c>
      <c r="B812" s="1536" t="n"/>
      <c r="C812" s="1536" t="n"/>
      <c r="D812" s="1536" t="n"/>
      <c r="E812" s="1536" t="n"/>
      <c r="F812" s="1536" t="n"/>
      <c r="G812" s="1536" t="n"/>
      <c r="H812" s="1536" t="n"/>
      <c r="I812" s="1536" t="n"/>
      <c r="J812" s="1536" t="n"/>
      <c r="K812" s="1536" t="n"/>
      <c r="L812" s="1536" t="n"/>
      <c r="M812" s="1536" t="n"/>
      <c r="N812" s="1536" t="n"/>
      <c r="O812" s="1536" t="n"/>
      <c r="P812" s="1536" t="n"/>
      <c r="Q812" s="1536" t="n"/>
      <c r="R812" s="1536" t="n"/>
      <c r="S812" s="1536" t="n"/>
      <c r="T812" s="1536" t="n"/>
      <c r="U812" s="1536" t="n"/>
      <c r="V812" s="1536" t="n"/>
      <c r="W812" s="1536" t="n"/>
      <c r="X812" s="1536" t="n"/>
      <c r="Y812" s="1536" t="n"/>
      <c r="Z812" s="1536" t="n"/>
      <c r="AA812" s="1536" t="n"/>
      <c r="AB812" s="1536" t="n"/>
      <c r="AC812" s="1536" t="n"/>
      <c r="AD812" s="1536" t="n"/>
      <c r="AE812" s="1536" t="n"/>
      <c r="AF812" s="1536" t="n"/>
      <c r="AG812" s="1536" t="n"/>
      <c r="AH812" s="1536" t="n"/>
      <c r="AI812" s="1536" t="n"/>
      <c r="AJ812" s="1536" t="n"/>
      <c r="AK812" s="1674" t="n"/>
      <c r="AL812" s="1536">
        <f>IF(MO.DataSourceIndex=3,IF(LEFT(INDIRECT(ADDRESS(ROW()-1,COLUMN())),2)="FY","ANNUAL",IF(LEFT(INDIRECT(ADDRESS(ROW()-1,COLUMN())),1)="Q","QUARTERLY","")),IF(LEFT(INDIRECT(ADDRESS(ROW()-1,COLUMN())),2)="FY","FY",IF(LEFT(INDIRECT(ADDRESS(ROW()-1,COLUMN())),1)="Q","FQ","FS")))</f>
        <v/>
      </c>
      <c r="AM812" s="1536">
        <f>IF(MO.DataSourceIndex=3,IF(LEFT(INDIRECT(ADDRESS(ROW()-1,COLUMN())),2)="FY","ANNUAL",IF(LEFT(INDIRECT(ADDRESS(ROW()-1,COLUMN())),1)="Q","QUARTERLY","")),IF(LEFT(INDIRECT(ADDRESS(ROW()-1,COLUMN())),2)="FY","FY",IF(LEFT(INDIRECT(ADDRESS(ROW()-1,COLUMN())),1)="Q","FQ","FS")))</f>
        <v/>
      </c>
      <c r="AN812" s="1536">
        <f>IF(MO.DataSourceIndex=3,IF(LEFT(INDIRECT(ADDRESS(ROW()-1,COLUMN())),2)="FY","ANNUAL",IF(LEFT(INDIRECT(ADDRESS(ROW()-1,COLUMN())),1)="Q","QUARTERLY","")),IF(LEFT(INDIRECT(ADDRESS(ROW()-1,COLUMN())),2)="FY","FY",IF(LEFT(INDIRECT(ADDRESS(ROW()-1,COLUMN())),1)="Q","FQ","FS")))</f>
        <v/>
      </c>
      <c r="AO812" s="1536">
        <f>IF(MO.DataSourceIndex=3,IF(LEFT(INDIRECT(ADDRESS(ROW()-1,COLUMN())),2)="FY","ANNUAL",IF(LEFT(INDIRECT(ADDRESS(ROW()-1,COLUMN())),1)="Q","QUARTERLY","")),IF(LEFT(INDIRECT(ADDRESS(ROW()-1,COLUMN())),2)="FY","FY",IF(LEFT(INDIRECT(ADDRESS(ROW()-1,COLUMN())),1)="Q","FQ","FS")))</f>
        <v/>
      </c>
      <c r="AP812" s="1536">
        <f>IF(MO.DataSourceIndex=3,IF(LEFT(INDIRECT(ADDRESS(ROW()-1,COLUMN())),2)="FY","ANNUAL",IF(LEFT(INDIRECT(ADDRESS(ROW()-1,COLUMN())),1)="Q","QUARTERLY","")),IF(LEFT(INDIRECT(ADDRESS(ROW()-1,COLUMN())),2)="FY","FY",IF(LEFT(INDIRECT(ADDRESS(ROW()-1,COLUMN())),1)="Q","FQ","FS")))</f>
        <v/>
      </c>
      <c r="AQ812" s="1536">
        <f>IF(MO.DataSourceIndex=3,IF(LEFT(INDIRECT(ADDRESS(ROW()-1,COLUMN())),2)="FY","ANNUAL",IF(LEFT(INDIRECT(ADDRESS(ROW()-1,COLUMN())),1)="Q","QUARTERLY","")),IF(LEFT(INDIRECT(ADDRESS(ROW()-1,COLUMN())),2)="FY","FY",IF(LEFT(INDIRECT(ADDRESS(ROW()-1,COLUMN())),1)="Q","FQ","FS")))</f>
        <v/>
      </c>
      <c r="AR812" s="1536">
        <f>IF(MO.DataSourceIndex=3,IF(LEFT(INDIRECT(ADDRESS(ROW()-1,COLUMN())),2)="FY","ANNUAL",IF(LEFT(INDIRECT(ADDRESS(ROW()-1,COLUMN())),1)="Q","QUARTERLY","")),IF(LEFT(INDIRECT(ADDRESS(ROW()-1,COLUMN())),2)="FY","FY",IF(LEFT(INDIRECT(ADDRESS(ROW()-1,COLUMN())),1)="Q","FQ","FS")))</f>
        <v/>
      </c>
      <c r="AS812" s="1536">
        <f>IF(MO.DataSourceIndex=3,IF(LEFT(INDIRECT(ADDRESS(ROW()-1,COLUMN())),2)="FY","ANNUAL",IF(LEFT(INDIRECT(ADDRESS(ROW()-1,COLUMN())),1)="Q","QUARTERLY","")),IF(LEFT(INDIRECT(ADDRESS(ROW()-1,COLUMN())),2)="FY","FY",IF(LEFT(INDIRECT(ADDRESS(ROW()-1,COLUMN())),1)="Q","FQ","FS")))</f>
        <v/>
      </c>
      <c r="AT812" s="1536">
        <f>IF(MO.DataSourceIndex=3,IF(LEFT(INDIRECT(ADDRESS(ROW()-1,COLUMN())),2)="FY","ANNUAL",IF(LEFT(INDIRECT(ADDRESS(ROW()-1,COLUMN())),1)="Q","QUARTERLY","")),IF(LEFT(INDIRECT(ADDRESS(ROW()-1,COLUMN())),2)="FY","FY",IF(LEFT(INDIRECT(ADDRESS(ROW()-1,COLUMN())),1)="Q","FQ","FS")))</f>
        <v/>
      </c>
      <c r="AU812" s="1955">
        <f>IF(MO.DataSourceIndex=3,IF(LEFT(INDIRECT(ADDRESS(ROW()-1,COLUMN())),2)="FY","ANNUAL",IF(LEFT(INDIRECT(ADDRESS(ROW()-1,COLUMN())),1)="Q","QUARTERLY","")),IF(LEFT(INDIRECT(ADDRESS(ROW()-1,COLUMN())),2)="FY","FY",IF(LEFT(INDIRECT(ADDRESS(ROW()-1,COLUMN())),1)="Q","FQ","FS")))</f>
        <v/>
      </c>
      <c r="AV812" s="1422" t="n"/>
    </row>
    <row r="813" ht="14.4" customFormat="1" customHeight="1" s="1418">
      <c r="A813" s="1954" t="inlineStr">
        <is>
          <t>Period</t>
        </is>
      </c>
      <c r="B813" s="1536" t="n"/>
      <c r="C813" s="1536" t="n"/>
      <c r="D813" s="1536" t="n"/>
      <c r="E813" s="1536" t="n"/>
      <c r="F813" s="1536" t="n"/>
      <c r="G813" s="1536" t="n"/>
      <c r="H813" s="1536" t="n"/>
      <c r="I813" s="1536" t="n"/>
      <c r="J813" s="1536" t="n"/>
      <c r="K813" s="1536" t="n"/>
      <c r="L813" s="1536" t="n"/>
      <c r="M813" s="1536" t="n"/>
      <c r="N813" s="1536" t="n"/>
      <c r="O813" s="1536" t="n"/>
      <c r="P813" s="1536" t="n"/>
      <c r="Q813" s="1536" t="n"/>
      <c r="R813" s="1536" t="n"/>
      <c r="S813" s="1536" t="n"/>
      <c r="T813" s="1536" t="n"/>
      <c r="U813" s="1536" t="n"/>
      <c r="V813" s="1536" t="n"/>
      <c r="W813" s="1536" t="n"/>
      <c r="X813" s="1536" t="n"/>
      <c r="Y813" s="1536" t="n"/>
      <c r="Z813" s="1536" t="n"/>
      <c r="AA813" s="1536" t="n"/>
      <c r="AB813" s="1536" t="n"/>
      <c r="AC813" s="1536" t="n"/>
      <c r="AD813" s="1536" t="n"/>
      <c r="AE813" s="1536" t="n"/>
      <c r="AF813" s="1536" t="n"/>
      <c r="AG813" s="1536" t="n"/>
      <c r="AH813" s="1536" t="n"/>
      <c r="AI813" s="1536" t="n"/>
      <c r="AJ813" s="1536" t="n"/>
      <c r="AK813" s="1674" t="n"/>
      <c r="AL813" s="153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AM813" s="153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AN813" s="153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AO813" s="153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AP813" s="153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AQ813" s="153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AR813" s="153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AS813" s="153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AT813" s="1536">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AU813" s="1955">
        <f>IF(MO.DataSourceIndex=3,IF(INDEX(MO_SNA_ConsensusEstimatePeriodType,,COLUMN())="ANNUAL",COUNTIF(OFFSET(INDEX(MO_SNA_ConsensusEstimatePeriodType,,1),,,,COLUMN()),"ANNUAL"),IF(INDEX(MO_SNA_ConsensusEstimatePeriodType,,COLUMN())="QUARTERLY",COUNTIF(OFFSET(INDEX(MO_SNA_ConsensusEstimatePeriodType,,1),,,,COLUMN()),"QUARTERLY"),"")),IF(INDEX(MO_SNA_ConsensusEstimatePeriodType,,COLUMN())="FY",COUNTIF(OFFSET(INDEX(MO_SNA_ConsensusEstimatePeriodType,,1),,,,COLUMN()),"FY"),IF(INDEX(MO_SNA_ConsensusEstimatePeriodType,,COLUMN())="FQ",COUNTIF(OFFSET(INDEX(MO_SNA_ConsensusEstimatePeriodType,,1),,,,COLUMN()),"FQ"),COUNTIF(OFFSET(INDEX(MO_SNA_ConsensusEstimatePeriodType,,1),,,,COLUMN()),"FS"))))</f>
        <v/>
      </c>
      <c r="AV813" s="1422" t="n"/>
    </row>
    <row r="814" ht="14.4" customFormat="1" customHeight="1" s="1418">
      <c r="A814" s="1928">
        <f>$A$270</f>
        <v/>
      </c>
      <c r="B814" s="1420" t="n"/>
      <c r="C814" s="1420" t="n"/>
      <c r="D814" s="1919" t="n"/>
      <c r="E814" s="1919" t="n"/>
      <c r="F814" s="1919" t="n"/>
      <c r="G814" s="1919" t="n"/>
      <c r="H814" s="1420" t="n"/>
      <c r="I814" s="1420" t="n"/>
      <c r="J814" s="1420" t="n"/>
      <c r="K814" s="1420" t="n"/>
      <c r="L814" s="1420" t="n"/>
      <c r="M814" s="1420" t="n"/>
      <c r="N814" s="1420" t="n"/>
      <c r="O814" s="1420" t="n"/>
      <c r="P814" s="1420" t="n"/>
      <c r="Q814" s="1420" t="n"/>
      <c r="R814" s="1420" t="n"/>
      <c r="S814" s="1420" t="n"/>
      <c r="T814" s="1420" t="n"/>
      <c r="U814" s="1420" t="n"/>
      <c r="V814" s="1420" t="n"/>
      <c r="W814" s="1420" t="n"/>
      <c r="X814" s="1420" t="n"/>
      <c r="Y814" s="1420" t="n"/>
      <c r="Z814" s="1420" t="n"/>
      <c r="AA814" s="1420" t="n"/>
      <c r="AB814" s="1420" t="n"/>
      <c r="AC814" s="1420" t="n"/>
      <c r="AD814" s="1420" t="n"/>
      <c r="AE814" s="1420" t="n"/>
      <c r="AF814" s="1420" t="n"/>
      <c r="AG814" s="1420" t="n"/>
      <c r="AH814" s="1420" t="n"/>
      <c r="AI814" s="1420" t="n"/>
      <c r="AJ814" s="1420" t="n"/>
      <c r="AK814" s="1421" t="n"/>
      <c r="AL814" s="142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AM814" s="142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AN814" s="142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AO814" s="142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AP814" s="142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AQ814" s="142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AR814" s="142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AS814" s="142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AT814" s="1420">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AU814" s="1956">
        <f>IFERROR(CHOOSE(MO.DataSourceIndex,BDP(MO.Ticker.Bloomberg&amp;" EQUITY","BEST_GROSS_MARGIN","BEST_FPERIOD_OVERRIDE="&amp;INDEX(tb_ConsensusEstimate,3,COLUMN())&amp;INDEX(tb_ConsensusEstimate,2,COLUMN())),CIQ(MO.Ticker.CapIQ,"IQ_GROSS_MARGIN_EST","IQ_"&amp;INDEX(tb_ConsensusEstimate,2,COLUMN())&amp;"+"&amp;INDEX(tb_ConsensusEstimate,3,COLUMN())),FDS(MO.Ticker.FactSet,"FE_ESTIMATE(GROSSINCOME,MEAN,"&amp;INDEX(tb_ConsensusEstimate,2,COLUMN())&amp;",+"&amp;INDEX(tb_ConsensusEstimate,3,COLUMN())&amp;",NOW,,,'')")/FDS(MO.Ticker.FactSet,"FE_ESTIMATE(SALES,MEAN,"&amp;INDEX(tb_ConsensusEstimate,2,COLUMN())&amp;",+"&amp;INDEX(tb_ConsensusEstimate,3,COLUMN())&amp;",NOW,,,'')")*100,_xll.TR(MO.Ticker.Thomson,"ZAV(TR.GPMMean)","Period="&amp;INDEX(tb_ConsensusEstimate,2,COLUMN())&amp;INDEX(tb_ConsensusEstimate,3,COLUMN())))/100,"N/A")</f>
        <v/>
      </c>
      <c r="AV814" s="1422" t="n"/>
    </row>
    <row r="815" ht="14.4" customFormat="1" customHeight="1" s="1418">
      <c r="A815" s="1928">
        <f>$A$360</f>
        <v/>
      </c>
      <c r="B815" s="1420" t="n"/>
      <c r="C815" s="1420" t="n"/>
      <c r="D815" s="1919" t="n"/>
      <c r="E815" s="1919" t="n"/>
      <c r="F815" s="1919" t="n"/>
      <c r="G815" s="1919" t="n"/>
      <c r="H815" s="1420" t="n"/>
      <c r="I815" s="1420" t="n"/>
      <c r="J815" s="1420" t="n"/>
      <c r="K815" s="1420" t="n"/>
      <c r="L815" s="1420" t="n"/>
      <c r="M815" s="1420" t="n"/>
      <c r="N815" s="1420" t="n"/>
      <c r="O815" s="1420" t="n"/>
      <c r="P815" s="1420" t="n"/>
      <c r="Q815" s="1420" t="n"/>
      <c r="R815" s="1420" t="n"/>
      <c r="S815" s="1420" t="n"/>
      <c r="T815" s="1420" t="n"/>
      <c r="U815" s="1420" t="n"/>
      <c r="V815" s="1420" t="n"/>
      <c r="W815" s="1420" t="n"/>
      <c r="X815" s="1420" t="n"/>
      <c r="Y815" s="1420" t="n"/>
      <c r="Z815" s="1420" t="n"/>
      <c r="AA815" s="1420" t="n"/>
      <c r="AB815" s="1420" t="n"/>
      <c r="AC815" s="1420" t="n"/>
      <c r="AD815" s="1420" t="n"/>
      <c r="AE815" s="1420" t="n"/>
      <c r="AF815" s="1420" t="n"/>
      <c r="AG815" s="1420" t="n"/>
      <c r="AH815" s="1420" t="n"/>
      <c r="AI815" s="1420" t="n"/>
      <c r="AJ815" s="1420" t="n"/>
      <c r="AK815" s="1421" t="n"/>
      <c r="AL815" s="1420">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AM815" s="1420">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AN815" s="1420">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AO815" s="1420">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AP815" s="1420">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AQ815" s="1420">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AR815" s="1420">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AS815" s="1420">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AT815" s="1420">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AU815" s="1956">
        <f>IFERROR(CHOOSE(MO.DataSourceIndex,BDP(MO.Ticker.Bloomberg&amp;" EQUITY","BEST_EBIT","BEST_FPERIOD_OVERRIDE="&amp;INDEX(tb_ConsensusEstimate,3,COLUMN())&amp;INDEX(tb_ConsensusEstimate,2,COLUMN())),CIQ(MO.Ticker.CapIQ,"IQ_EBIT_EST","IQ_"&amp;INDEX(tb_ConsensusEstimate,2,COLUMN())&amp;"+"&amp;INDEX(tb_ConsensusEstimate,3,COLUMN())),FDS(MO.Ticker.FactSet,"FE_ESTIMATE(EBIT,MEAN,"&amp;INDEX(tb_ConsensusEstimate,2,COLUMN())&amp;",+"&amp;INDEX(tb_ConsensusEstimate,3,COLUMN())&amp;",NOW"&amp;",,,'CURRENCY="&amp;HP.ReportCurrency&amp;"')"),_xll.TR(MO.Ticker.Thomson,"ZAV(TR.EBITMean(Scale=6))","Period="&amp;INDEX(tb_ConsensusEstimate,2,COLUMN())&amp;INDEX(tb_ConsensusEstimate,3,COLUMN()))),"N/A")</f>
        <v/>
      </c>
      <c r="AV815" s="1422" t="n"/>
    </row>
    <row r="816" ht="14.4" customFormat="1" customHeight="1" s="1418">
      <c r="A816" s="1928">
        <f>$A$334</f>
        <v/>
      </c>
      <c r="B816" s="1420" t="n"/>
      <c r="C816" s="1420" t="n"/>
      <c r="D816" s="1919" t="n"/>
      <c r="E816" s="1919" t="n"/>
      <c r="F816" s="1919" t="n"/>
      <c r="G816" s="1919" t="n"/>
      <c r="H816" s="1420" t="n"/>
      <c r="I816" s="1420" t="n"/>
      <c r="J816" s="1420" t="n"/>
      <c r="K816" s="1420" t="n"/>
      <c r="L816" s="1420" t="n"/>
      <c r="M816" s="1420" t="n"/>
      <c r="N816" s="1420" t="n"/>
      <c r="O816" s="1420" t="n"/>
      <c r="P816" s="1420" t="n"/>
      <c r="Q816" s="1420" t="n"/>
      <c r="R816" s="1420" t="n"/>
      <c r="S816" s="1420" t="n"/>
      <c r="T816" s="1420" t="n"/>
      <c r="U816" s="1420" t="n"/>
      <c r="V816" s="1420" t="n"/>
      <c r="W816" s="1420" t="n"/>
      <c r="X816" s="1420" t="n"/>
      <c r="Y816" s="1420" t="n"/>
      <c r="Z816" s="1420" t="n"/>
      <c r="AA816" s="1420" t="n"/>
      <c r="AB816" s="1420" t="n"/>
      <c r="AC816" s="1420" t="n"/>
      <c r="AD816" s="1420" t="n"/>
      <c r="AE816" s="1420" t="n"/>
      <c r="AF816" s="1420" t="n"/>
      <c r="AG816" s="1420" t="n"/>
      <c r="AH816" s="1420" t="n"/>
      <c r="AI816" s="1420" t="n"/>
      <c r="AJ816" s="1420" t="n"/>
      <c r="AK816" s="1421" t="n"/>
      <c r="AL816" s="1420">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AM816" s="1420">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AN816" s="1420">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AO816" s="1420">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AP816" s="1420">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AQ816" s="1420">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AR816" s="1420">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AS816" s="1420">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AT816" s="1420">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AU816" s="1956">
        <f>IFERROR(CHOOSE(MO.DataSourceIndex,BDP(MO.Ticker.Bloomberg&amp;" EQUITY","BEST_SALES","BEST_FPERIOD_OVERRIDE="&amp;INDEX(tb_ConsensusEstimate,3,COLUMN())&amp;INDEX(tb_ConsensusEstimate,2,COLUMN())),CIQ(MO.Ticker.CapIQ,"IQ_REVENUE_EST","IQ_"&amp;INDEX(tb_ConsensusEstimate,2,COLUMN())&amp;"+"&amp;INDEX(tb_ConsensusEstimate,3,COLUMN())),FDS(MO.Ticker.FactSet,"FE_ESTIMATE(SALES,MEAN,"&amp;INDEX(tb_ConsensusEstimate,2,COLUMN())&amp;",+"&amp;INDEX(tb_ConsensusEstimate,3,COLUMN())&amp;",NOW"&amp;",,,'CURRENCY="&amp;HP.ReportCurrency&amp;"')"),_xll.TR(MO.Ticker.Thomson,"ZAV(TR.RevenueMean(Scale=6))","Period="&amp;INDEX(tb_ConsensusEstimate,2,COLUMN())&amp;INDEX(tb_ConsensusEstimate,3,COLUMN()))),"N/A")</f>
        <v/>
      </c>
      <c r="AV816" s="1422" t="n"/>
    </row>
    <row r="817" ht="14.4" customFormat="1" customHeight="1" s="1418">
      <c r="A817" s="1928">
        <f>$A$365</f>
        <v/>
      </c>
      <c r="B817" s="1420" t="n"/>
      <c r="C817" s="1420" t="n"/>
      <c r="D817" s="1919" t="n"/>
      <c r="E817" s="1919" t="n"/>
      <c r="F817" s="1919" t="n"/>
      <c r="G817" s="1919" t="n"/>
      <c r="H817" s="1420" t="n"/>
      <c r="I817" s="1420" t="n"/>
      <c r="J817" s="1420" t="n"/>
      <c r="K817" s="1420" t="n"/>
      <c r="L817" s="1420" t="n"/>
      <c r="M817" s="1420" t="n"/>
      <c r="N817" s="1420" t="n"/>
      <c r="O817" s="1420" t="n"/>
      <c r="P817" s="1420" t="n"/>
      <c r="Q817" s="1420" t="n"/>
      <c r="R817" s="1420" t="n"/>
      <c r="S817" s="1420" t="n"/>
      <c r="T817" s="1420" t="n"/>
      <c r="U817" s="1420" t="n"/>
      <c r="V817" s="1420" t="n"/>
      <c r="W817" s="1420" t="n"/>
      <c r="X817" s="1420" t="n"/>
      <c r="Y817" s="1420" t="n"/>
      <c r="Z817" s="1420" t="n"/>
      <c r="AA817" s="1420" t="n"/>
      <c r="AB817" s="1420" t="n"/>
      <c r="AC817" s="1420" t="n"/>
      <c r="AD817" s="1420" t="n"/>
      <c r="AE817" s="1420" t="n"/>
      <c r="AF817" s="1420" t="n"/>
      <c r="AG817" s="1420" t="n"/>
      <c r="AH817" s="1420" t="n"/>
      <c r="AI817" s="1420" t="n"/>
      <c r="AJ817" s="1420" t="n"/>
      <c r="AK817" s="1421" t="n"/>
      <c r="AL817" s="1420">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AM817" s="1420">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AN817" s="1420">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AO817" s="1420">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AP817" s="1420">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AQ817" s="1420">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AR817" s="1420">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AS817" s="1420">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AT817" s="1420">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AU817" s="1956">
        <f>IFERROR(CHOOSE(MO.DataSourceIndex,BDP(MO.Ticker.Bloomberg&amp;" EQUITY","BEST_EBITDA","BEST_FPERIOD_OVERRIDE="&amp;INDEX(tb_ConsensusEstimate,3,COLUMN())&amp;INDEX(tb_ConsensusEstimate,2,COLUMN())),CIQ(MO.Ticker.CapIQ,"IQ_EBITDA_EST","IQ_"&amp;INDEX(tb_ConsensusEstimate,2,COLUMN())&amp;"+"&amp;INDEX(tb_ConsensusEstimate,3,COLUMN())),FDS(MO.Ticker.FactSet,"FE_ESTIMATE(EBITDA,MEAN,"&amp;INDEX(tb_ConsensusEstimate,2,COLUMN())&amp;",+"&amp;INDEX(tb_ConsensusEstimate,3,COLUMN())&amp;",NOW"&amp;",,,'CURRENCY="&amp;HP.ReportCurrency&amp;"')"),_xll.TR(MO.Ticker.Thomson,"ZAV(TR.EBITDAMean(Scale=6))","Period="&amp;INDEX(tb_ConsensusEstimate,2,COLUMN())&amp;INDEX(tb_ConsensusEstimate,3,COLUMN()))),"N/A")</f>
        <v/>
      </c>
      <c r="AV817" s="1422" t="n"/>
    </row>
    <row r="818" ht="14.4" customFormat="1" customHeight="1" s="1418">
      <c r="A818" s="1928">
        <f>$A$402</f>
        <v/>
      </c>
      <c r="B818" s="1420" t="n"/>
      <c r="C818" s="1420" t="n"/>
      <c r="D818" s="1957" t="n"/>
      <c r="E818" s="1957" t="n"/>
      <c r="F818" s="1957" t="n"/>
      <c r="G818" s="1957" t="n"/>
      <c r="H818" s="1420" t="n"/>
      <c r="I818" s="1420" t="n"/>
      <c r="J818" s="1420" t="n"/>
      <c r="K818" s="1420" t="n"/>
      <c r="L818" s="1420" t="n"/>
      <c r="M818" s="1420" t="n"/>
      <c r="N818" s="1420" t="n"/>
      <c r="O818" s="1420" t="n"/>
      <c r="P818" s="1420" t="n"/>
      <c r="Q818" s="1420" t="n"/>
      <c r="R818" s="1420" t="n"/>
      <c r="S818" s="1420" t="n"/>
      <c r="T818" s="1420" t="n"/>
      <c r="U818" s="1420" t="n"/>
      <c r="V818" s="1420" t="n"/>
      <c r="W818" s="1420" t="n"/>
      <c r="X818" s="1420" t="n"/>
      <c r="Y818" s="1420" t="n"/>
      <c r="Z818" s="1420" t="n"/>
      <c r="AA818" s="1420" t="n"/>
      <c r="AB818" s="1420" t="n"/>
      <c r="AC818" s="1420" t="n"/>
      <c r="AD818" s="1420" t="n"/>
      <c r="AE818" s="1420" t="n"/>
      <c r="AF818" s="1420" t="n"/>
      <c r="AG818" s="1420" t="n"/>
      <c r="AH818" s="1420" t="n"/>
      <c r="AI818" s="1420" t="n"/>
      <c r="AJ818" s="1420" t="n"/>
      <c r="AK818" s="1421" t="n"/>
      <c r="AL818" s="142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AM818" s="142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AN818" s="142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AO818" s="142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AP818" s="142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AQ818" s="142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AR818" s="142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AS818" s="142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AT818" s="1420">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AU818" s="1956">
        <f>IFERROR(CHOOSE(MO.DataSourceIndex,BDP(MO.Ticker.Bloomberg&amp;" EQUITY","BEST_EPS","BEST_FPERIOD_OVERRIDE="&amp;INDEX(tb_ConsensusEstimate,3,COLUMN())&amp;INDEX(tb_ConsensusEstimate,2,COLUMN())),CIQ(MO.Ticker.CapIQ,"IQ_EPS_NORM_EST","IQ_"&amp;INDEX(tb_ConsensusEstimate,2,COLUMN())&amp;"+"&amp;INDEX(tb_ConsensusEstimate,3,COLUMN())),FDS(MO.Ticker.FactSet,"FE_ESTIMATE(EPS,MEAN,"&amp;INDEX(tb_ConsensusEstimate,2,COLUMN())&amp;",+"&amp;INDEX(tb_ConsensusEstimate,3,COLUMN())&amp;",NOW"&amp;",,,'CURRENCY="&amp;HP.ReportCurrency&amp;"')"),_xll.TR(MO.Ticker.Thomson,"ZAV(TR.EPSMean)","Period="&amp;INDEX(tb_ConsensusEstimate,2,COLUMN())&amp;INDEX(tb_ConsensusEstimate,3,COLUMN()))),"N/A")</f>
        <v/>
      </c>
      <c r="AV818" s="1422" t="n"/>
    </row>
    <row r="819" ht="14.4" customFormat="1" customHeight="1" s="1418">
      <c r="A819" s="1928">
        <f>$A$435</f>
        <v/>
      </c>
      <c r="B819" s="1420" t="n"/>
      <c r="C819" s="1420" t="n"/>
      <c r="D819" s="1957" t="n"/>
      <c r="E819" s="1957" t="n"/>
      <c r="F819" s="1957" t="n"/>
      <c r="G819" s="1957" t="n"/>
      <c r="H819" s="1420" t="n"/>
      <c r="I819" s="1420" t="n"/>
      <c r="J819" s="1420" t="n"/>
      <c r="K819" s="1420" t="n"/>
      <c r="L819" s="1420" t="n"/>
      <c r="M819" s="1420" t="n"/>
      <c r="N819" s="1420" t="n"/>
      <c r="O819" s="1420" t="n"/>
      <c r="P819" s="1420" t="n"/>
      <c r="Q819" s="1420" t="n"/>
      <c r="R819" s="1420" t="n"/>
      <c r="S819" s="1420" t="n"/>
      <c r="T819" s="1420" t="n"/>
      <c r="U819" s="1420" t="n"/>
      <c r="V819" s="1420" t="n"/>
      <c r="W819" s="1420" t="n"/>
      <c r="X819" s="1420" t="n"/>
      <c r="Y819" s="1420" t="n"/>
      <c r="Z819" s="1420" t="n"/>
      <c r="AA819" s="1420" t="n"/>
      <c r="AB819" s="1420" t="n"/>
      <c r="AC819" s="1420" t="n"/>
      <c r="AD819" s="1420" t="n"/>
      <c r="AE819" s="1420" t="n"/>
      <c r="AF819" s="1420" t="n"/>
      <c r="AG819" s="1420" t="n"/>
      <c r="AH819" s="1420" t="n"/>
      <c r="AI819" s="1420" t="n"/>
      <c r="AJ819" s="1420" t="n"/>
      <c r="AK819" s="1421" t="n"/>
      <c r="AL819" s="142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AM819" s="142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AN819" s="142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AO819" s="142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AP819" s="142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AQ819" s="142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AR819" s="142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AS819" s="142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AT819" s="1420">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AU819" s="1956">
        <f>IFERROR(CHOOSE(MO.DataSourceIndex,BDP(MO.Ticker.Bloomberg&amp;" EQUITY","BEST_CPS","BEST_FPERIOD_OVERRIDE="&amp;INDEX(tb_ConsensusEstimate,3,COLUMN())&amp;INDEX(tb_ConsensusEstimate,2,COLUMN())),CIQ(MO.Ticker.CapIQ,"IQ_CFPS_EST","IQ_"&amp;INDEX(tb_ConsensusEstimate,2,COLUMN())&amp;"+"&amp;INDEX(tb_ConsensusEstimate,3,COLUMN())),FDS(MO.Ticker.FactSet,"FE_ESTIMATE(CFPS,MEAN,"&amp;INDEX(tb_ConsensusEstimate,2,COLUMN())&amp;",+"&amp;INDEX(tb_ConsensusEstimate,3,COLUMN())&amp;",NOW"&amp;",,,'CURRENCY="&amp;HP.ReportCurrency&amp;"')"),_xll.TR(MO.Ticker.Thomson,"ZAV(TR.CFPSMean)","Period="&amp;INDEX(tb_ConsensusEstimate,2,COLUMN())&amp;INDEX(tb_ConsensusEstimate,3,COLUMN()))),"N/A")</f>
        <v/>
      </c>
      <c r="AV819" s="1422" t="n"/>
    </row>
    <row r="820" ht="14.4" customFormat="1" customHeight="1" s="1418">
      <c r="A820" s="1928">
        <f>A437</f>
        <v/>
      </c>
      <c r="B820" s="1420" t="n"/>
      <c r="C820" s="1420" t="n"/>
      <c r="D820" s="1919" t="n"/>
      <c r="E820" s="1919" t="n"/>
      <c r="F820" s="1919" t="n"/>
      <c r="G820" s="1919" t="n"/>
      <c r="H820" s="1420" t="n"/>
      <c r="I820" s="1420" t="n"/>
      <c r="J820" s="1420" t="n"/>
      <c r="K820" s="1420" t="n"/>
      <c r="L820" s="1420" t="n"/>
      <c r="M820" s="1420" t="n"/>
      <c r="N820" s="1420" t="n"/>
      <c r="O820" s="1420" t="n"/>
      <c r="P820" s="1420" t="n"/>
      <c r="Q820" s="1420" t="n"/>
      <c r="R820" s="1420" t="n"/>
      <c r="S820" s="1420" t="n"/>
      <c r="T820" s="1420" t="n"/>
      <c r="U820" s="1420" t="n"/>
      <c r="V820" s="1420" t="n"/>
      <c r="W820" s="1420" t="n"/>
      <c r="X820" s="1420" t="n"/>
      <c r="Y820" s="1420" t="n"/>
      <c r="Z820" s="1420" t="n"/>
      <c r="AA820" s="1420" t="n"/>
      <c r="AB820" s="1420" t="n"/>
      <c r="AC820" s="1420" t="n"/>
      <c r="AD820" s="1420" t="n"/>
      <c r="AE820" s="1420" t="n"/>
      <c r="AF820" s="1420" t="n"/>
      <c r="AG820" s="1420" t="n"/>
      <c r="AH820" s="1420" t="n"/>
      <c r="AI820" s="1420" t="n"/>
      <c r="AJ820" s="1420" t="n"/>
      <c r="AK820" s="1421" t="n"/>
      <c r="AL820" s="1420">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AM820" s="1420">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AN820" s="1420">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AO820" s="1420">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AP820" s="1420">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AQ820" s="1420">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AR820" s="1420">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AS820" s="1420">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AT820" s="1420">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AU820" s="1956">
        <f>IFERROR(CHOOSE(MO.DataSourceIndex,BDP(MO.Ticker.Bloomberg&amp;" EQUITY","BEST_CAPEX","BEST_FPERIOD_OVERRIDE="&amp;INDEX(tb_ConsensusEstimate,3,COLUMN())&amp;INDEX(tb_ConsensusEstimate,2,COLUMN())),CIQ(MO.Ticker.CapIQ,"IQ_CAPEX_EST","IQ_"&amp;INDEX(tb_ConsensusEstimate,2,COLUMN())&amp;"+"&amp;INDEX(tb_ConsensusEstimate,3,COLUMN())),-FDS(MO.Ticker.FactSet,"FE_ESTIMATE(CAPEX,MEAN,"&amp;INDEX(tb_ConsensusEstimate,2,COLUMN())&amp;",+"&amp;INDEX(tb_ConsensusEstimate,3,COLUMN())&amp;",NOW"&amp;",,,'CURRENCY="&amp;HP.ReportCurrency&amp;"')"),-_xll.TR(MO.Ticker.Thomson,"ZAV(TR.CAPEXMean(Scale=6))","Period="&amp;INDEX(tb_ConsensusEstimate,2,COLUMN())&amp;INDEX(tb_ConsensusEstimate,3,COLUMN()))),"N/A")</f>
        <v/>
      </c>
      <c r="AV820" s="1422" t="n"/>
    </row>
    <row r="821" ht="14.4" customFormat="1" customHeight="1" s="1418">
      <c r="A821" s="1930" t="n"/>
      <c r="B821" s="1583" t="n"/>
      <c r="C821" s="1958" t="n"/>
      <c r="D821" s="1958" t="n"/>
      <c r="E821" s="1583" t="n"/>
      <c r="F821" s="1583" t="n"/>
      <c r="G821" s="1583" t="n"/>
      <c r="H821" s="1583" t="n"/>
      <c r="I821" s="1583" t="n"/>
      <c r="J821" s="1583" t="n"/>
      <c r="K821" s="1583" t="n"/>
      <c r="L821" s="1583" t="n"/>
      <c r="M821" s="1583" t="n"/>
      <c r="N821" s="1583" t="n"/>
      <c r="O821" s="1583" t="n"/>
      <c r="P821" s="1583" t="n"/>
      <c r="Q821" s="1583" t="n"/>
      <c r="R821" s="1583" t="n"/>
      <c r="S821" s="1583" t="n"/>
      <c r="T821" s="1583" t="n"/>
      <c r="U821" s="1583" t="n"/>
      <c r="V821" s="1583" t="n"/>
      <c r="W821" s="1583" t="n"/>
      <c r="X821" s="1583" t="n"/>
      <c r="Y821" s="1583" t="n"/>
      <c r="Z821" s="1583" t="n"/>
      <c r="AA821" s="1583" t="n"/>
      <c r="AB821" s="1583" t="n"/>
      <c r="AC821" s="1583" t="n"/>
      <c r="AD821" s="1583" t="n"/>
      <c r="AE821" s="1583" t="n"/>
      <c r="AF821" s="1583" t="n"/>
      <c r="AG821" s="1583" t="n"/>
      <c r="AH821" s="1583" t="n"/>
      <c r="AI821" s="1583" t="n"/>
      <c r="AJ821" s="1583" t="n"/>
      <c r="AK821" s="1584" t="n"/>
      <c r="AL821" s="1583" t="n"/>
      <c r="AM821" s="1583" t="n"/>
      <c r="AN821" s="1583" t="n"/>
      <c r="AO821" s="1583" t="n"/>
      <c r="AP821" s="1583" t="n"/>
      <c r="AQ821" s="1583" t="n"/>
      <c r="AR821" s="1583" t="n"/>
      <c r="AS821" s="1583" t="n"/>
      <c r="AT821" s="1583" t="n"/>
      <c r="AU821" s="1959" t="n"/>
      <c r="AV821" s="1422" t="n"/>
    </row>
    <row r="822" ht="14.4" customFormat="1" customHeight="1" s="1418">
      <c r="A822" s="1918" t="n"/>
      <c r="B822" s="1420" t="n"/>
      <c r="C822" s="1919" t="n"/>
      <c r="D822" s="1919" t="n"/>
      <c r="E822" s="1420" t="n"/>
      <c r="F822" s="1420" t="n"/>
      <c r="G822" s="1420" t="n"/>
      <c r="H822" s="1420" t="n"/>
      <c r="I822" s="1420" t="n"/>
      <c r="J822" s="1420" t="n"/>
      <c r="K822" s="1420" t="n"/>
      <c r="L822" s="1420" t="n"/>
      <c r="M822" s="1420" t="n"/>
      <c r="N822" s="1420" t="n"/>
      <c r="O822" s="1420" t="n"/>
      <c r="P822" s="1420" t="n"/>
      <c r="Q822" s="1420" t="n"/>
      <c r="R822" s="1420" t="n"/>
      <c r="S822" s="1420" t="n"/>
      <c r="T822" s="1420" t="n"/>
      <c r="U822" s="1420" t="n"/>
      <c r="V822" s="1420" t="n"/>
      <c r="W822" s="1420" t="n"/>
      <c r="X822" s="1420" t="n"/>
      <c r="Y822" s="1420" t="n"/>
      <c r="Z822" s="1420" t="n"/>
      <c r="AA822" s="1420" t="n"/>
      <c r="AB822" s="1420" t="n"/>
      <c r="AC822" s="1420" t="n"/>
      <c r="AD822" s="1420" t="n"/>
      <c r="AE822" s="1420" t="n"/>
      <c r="AF822" s="1420" t="n"/>
      <c r="AG822" s="1420" t="n"/>
      <c r="AH822" s="1420" t="n"/>
      <c r="AI822" s="1420" t="n"/>
      <c r="AJ822" s="1420" t="n"/>
      <c r="AK822" s="1421" t="n"/>
      <c r="AL822" s="1420" t="n"/>
      <c r="AM822" s="1420" t="n"/>
      <c r="AN822" s="1420" t="n"/>
      <c r="AO822" s="1420" t="n"/>
      <c r="AP822" s="1420" t="n"/>
      <c r="AQ822" s="1420" t="n"/>
      <c r="AR822" s="1420" t="n"/>
      <c r="AS822" s="1420" t="n"/>
      <c r="AT822" s="1420" t="n"/>
      <c r="AU822" s="1420" t="n"/>
      <c r="AV822" s="1422" t="n"/>
    </row>
    <row r="823" ht="14.4" customFormat="1" customHeight="1" s="1418">
      <c r="A823" s="1960" t="inlineStr">
        <is>
          <t>Stock Price Table</t>
        </is>
      </c>
      <c r="B823" s="1961" t="n"/>
      <c r="C823" s="1962" t="n"/>
      <c r="D823" s="1962" t="n"/>
      <c r="E823" s="1961" t="n"/>
      <c r="F823" s="1961" t="n"/>
      <c r="G823" s="1961" t="n"/>
      <c r="H823" s="1961" t="n"/>
      <c r="I823" s="1961" t="n"/>
      <c r="J823" s="1961" t="n"/>
      <c r="K823" s="1961" t="n"/>
      <c r="L823" s="1961" t="n"/>
      <c r="M823" s="1961" t="n"/>
      <c r="N823" s="1961" t="n"/>
      <c r="O823" s="1961" t="n"/>
      <c r="P823" s="1961" t="n"/>
      <c r="Q823" s="1961" t="n"/>
      <c r="R823" s="1961" t="n"/>
      <c r="S823" s="1961" t="n"/>
      <c r="T823" s="1961" t="n"/>
      <c r="U823" s="1961" t="n"/>
      <c r="V823" s="1961" t="n"/>
      <c r="W823" s="1961" t="n"/>
      <c r="X823" s="1961" t="n"/>
      <c r="Y823" s="1961" t="n"/>
      <c r="Z823" s="1961" t="n"/>
      <c r="AA823" s="1961" t="n"/>
      <c r="AB823" s="1961" t="n"/>
      <c r="AC823" s="1961" t="n"/>
      <c r="AD823" s="1961" t="n"/>
      <c r="AE823" s="1961" t="n"/>
      <c r="AF823" s="1961" t="n"/>
      <c r="AG823" s="1961" t="n"/>
      <c r="AH823" s="1961" t="n"/>
      <c r="AI823" s="1961" t="n"/>
      <c r="AJ823" s="1961" t="n"/>
      <c r="AK823" s="1963" t="n"/>
      <c r="AL823" s="1961" t="n"/>
      <c r="AM823" s="1961" t="n"/>
      <c r="AN823" s="1961" t="n"/>
      <c r="AO823" s="1961" t="n"/>
      <c r="AP823" s="1961" t="n"/>
      <c r="AQ823" s="1961" t="n"/>
      <c r="AR823" s="1961" t="n"/>
      <c r="AS823" s="1961" t="n"/>
      <c r="AT823" s="1961" t="n"/>
      <c r="AU823" s="1964" t="n"/>
      <c r="AV823" s="1422" t="n"/>
    </row>
    <row r="824" ht="14.4" customFormat="1" customHeight="1" s="1418">
      <c r="A824" s="1965" t="inlineStr">
        <is>
          <t>Fiscal Period Start Date</t>
        </is>
      </c>
      <c r="B824" s="1420" t="n"/>
      <c r="C824" s="1196">
        <f>INDEX(MO_Common_QEndDate,0,COLUMN())-INDEX(MO_Common_FPDays,0,COLUMN())+1</f>
        <v/>
      </c>
      <c r="D824" s="1196">
        <f>INDEX(MO_Common_QEndDate,0,COLUMN())-INDEX(MO_Common_FPDays,0,COLUMN())+1</f>
        <v/>
      </c>
      <c r="E824" s="777">
        <f>INDEX(MO_Common_QEndDate,0,COLUMN())-INDEX(MO_Common_FPDays,0,COLUMN())+1</f>
        <v/>
      </c>
      <c r="F824" s="777">
        <f>INDEX(MO_Common_QEndDate,0,COLUMN())-INDEX(MO_Common_FPDays,0,COLUMN())+1</f>
        <v/>
      </c>
      <c r="G824" s="777">
        <f>INDEX(MO_Common_QEndDate,0,COLUMN())-INDEX(MO_Common_FPDays,0,COLUMN())+1</f>
        <v/>
      </c>
      <c r="H824" s="777">
        <f>INDEX(MO_Common_QEndDate,0,COLUMN())-INDEX(MO_Common_FPDays,0,COLUMN())+1</f>
        <v/>
      </c>
      <c r="I824" s="777">
        <f>INDEX(MO_Common_QEndDate,0,COLUMN())-INDEX(MO_Common_FPDays,0,COLUMN())+1</f>
        <v/>
      </c>
      <c r="J824" s="777">
        <f>INDEX(MO_Common_QEndDate,0,COLUMN())-INDEX(MO_Common_FPDays,0,COLUMN())+1</f>
        <v/>
      </c>
      <c r="K824" s="777">
        <f>INDEX(MO_Common_QEndDate,0,COLUMN())-INDEX(MO_Common_FPDays,0,COLUMN())+1</f>
        <v/>
      </c>
      <c r="L824" s="777">
        <f>INDEX(MO_Common_QEndDate,0,COLUMN())-INDEX(MO_Common_FPDays,0,COLUMN())+1</f>
        <v/>
      </c>
      <c r="M824" s="777">
        <f>INDEX(MO_Common_QEndDate,0,COLUMN())-INDEX(MO_Common_FPDays,0,COLUMN())+1</f>
        <v/>
      </c>
      <c r="N824" s="777">
        <f>INDEX(MO_Common_QEndDate,0,COLUMN())-INDEX(MO_Common_FPDays,0,COLUMN())+1</f>
        <v/>
      </c>
      <c r="O824" s="777">
        <f>INDEX(MO_Common_QEndDate,0,COLUMN())-INDEX(MO_Common_FPDays,0,COLUMN())+1</f>
        <v/>
      </c>
      <c r="P824" s="777">
        <f>INDEX(MO_Common_QEndDate,0,COLUMN())-INDEX(MO_Common_FPDays,0,COLUMN())+1</f>
        <v/>
      </c>
      <c r="Q824" s="777">
        <f>INDEX(MO_Common_QEndDate,0,COLUMN())-INDEX(MO_Common_FPDays,0,COLUMN())+1</f>
        <v/>
      </c>
      <c r="R824" s="777">
        <f>INDEX(MO_Common_QEndDate,0,COLUMN())-INDEX(MO_Common_FPDays,0,COLUMN())+1</f>
        <v/>
      </c>
      <c r="S824" s="777">
        <f>INDEX(MO_Common_QEndDate,0,COLUMN())-INDEX(MO_Common_FPDays,0,COLUMN())+1</f>
        <v/>
      </c>
      <c r="T824" s="777">
        <f>INDEX(MO_Common_QEndDate,0,COLUMN())-INDEX(MO_Common_FPDays,0,COLUMN())+1</f>
        <v/>
      </c>
      <c r="U824" s="777">
        <f>INDEX(MO_Common_QEndDate,0,COLUMN())-INDEX(MO_Common_FPDays,0,COLUMN())+1</f>
        <v/>
      </c>
      <c r="V824" s="777">
        <f>INDEX(MO_Common_QEndDate,0,COLUMN())-INDEX(MO_Common_FPDays,0,COLUMN())+1</f>
        <v/>
      </c>
      <c r="W824" s="777">
        <f>INDEX(MO_Common_QEndDate,0,COLUMN())-INDEX(MO_Common_FPDays,0,COLUMN())+1</f>
        <v/>
      </c>
      <c r="X824" s="777">
        <f>INDEX(MO_Common_QEndDate,0,COLUMN())-INDEX(MO_Common_FPDays,0,COLUMN())+1</f>
        <v/>
      </c>
      <c r="Y824" s="777">
        <f>INDEX(MO_Common_QEndDate,0,COLUMN())-INDEX(MO_Common_FPDays,0,COLUMN())+1</f>
        <v/>
      </c>
      <c r="Z824" s="777">
        <f>INDEX(MO_Common_QEndDate,0,COLUMN())-INDEX(MO_Common_FPDays,0,COLUMN())+1</f>
        <v/>
      </c>
      <c r="AA824" s="777">
        <f>INDEX(MO_Common_QEndDate,0,COLUMN())-INDEX(MO_Common_FPDays,0,COLUMN())+1</f>
        <v/>
      </c>
      <c r="AB824" s="777">
        <f>INDEX(MO_Common_QEndDate,0,COLUMN())-INDEX(MO_Common_FPDays,0,COLUMN())+1</f>
        <v/>
      </c>
      <c r="AC824" s="777">
        <f>INDEX(MO_Common_QEndDate,0,COLUMN())-INDEX(MO_Common_FPDays,0,COLUMN())+1</f>
        <v/>
      </c>
      <c r="AD824" s="777">
        <f>INDEX(MO_Common_QEndDate,0,COLUMN())-INDEX(MO_Common_FPDays,0,COLUMN())+1</f>
        <v/>
      </c>
      <c r="AE824" s="777">
        <f>INDEX(MO_Common_QEndDate,0,COLUMN())-INDEX(MO_Common_FPDays,0,COLUMN())+1</f>
        <v/>
      </c>
      <c r="AF824" s="777">
        <f>INDEX(MO_Common_QEndDate,0,COLUMN())-INDEX(MO_Common_FPDays,0,COLUMN())+1</f>
        <v/>
      </c>
      <c r="AG824" s="777">
        <f>INDEX(MO_Common_QEndDate,0,COLUMN())-INDEX(MO_Common_FPDays,0,COLUMN())+1</f>
        <v/>
      </c>
      <c r="AH824" s="777">
        <f>INDEX(MO_Common_QEndDate,0,COLUMN())-INDEX(MO_Common_FPDays,0,COLUMN())+1</f>
        <v/>
      </c>
      <c r="AI824" s="777">
        <f>INDEX(MO_Common_QEndDate,0,COLUMN())-INDEX(MO_Common_FPDays,0,COLUMN())+1</f>
        <v/>
      </c>
      <c r="AJ824" s="777">
        <f>INDEX(MO_Common_QEndDate,0,COLUMN())-INDEX(MO_Common_FPDays,0,COLUMN())+1</f>
        <v/>
      </c>
      <c r="AK824" s="900">
        <f>INDEX(MO_Common_QEndDate,0,COLUMN())-INDEX(MO_Common_FPDays,0,COLUMN())+1</f>
        <v/>
      </c>
      <c r="AL824" s="82">
        <f>INDEX(MO_Common_QEndDate,0,COLUMN())-INDEX(MO_Common_FPDays,0,COLUMN())+1</f>
        <v/>
      </c>
      <c r="AM824" s="82">
        <f>INDEX(MO_Common_QEndDate,0,COLUMN())-INDEX(MO_Common_FPDays,0,COLUMN())+1</f>
        <v/>
      </c>
      <c r="AN824" s="82">
        <f>INDEX(MO_Common_QEndDate,0,COLUMN())-INDEX(MO_Common_FPDays,0,COLUMN())+1</f>
        <v/>
      </c>
      <c r="AO824" s="82">
        <f>INDEX(MO_Common_QEndDate,0,COLUMN())-INDEX(MO_Common_FPDays,0,COLUMN())+1</f>
        <v/>
      </c>
      <c r="AP824" s="82">
        <f>INDEX(MO_Common_QEndDate,0,COLUMN())-INDEX(MO_Common_FPDays,0,COLUMN())+1</f>
        <v/>
      </c>
      <c r="AQ824" s="82">
        <f>INDEX(MO_Common_QEndDate,0,COLUMN())-INDEX(MO_Common_FPDays,0,COLUMN())+1</f>
        <v/>
      </c>
      <c r="AR824" s="82">
        <f>INDEX(MO_Common_QEndDate,0,COLUMN())-INDEX(MO_Common_FPDays,0,COLUMN())+1</f>
        <v/>
      </c>
      <c r="AS824" s="82">
        <f>INDEX(MO_Common_QEndDate,0,COLUMN())-INDEX(MO_Common_FPDays,0,COLUMN())+1</f>
        <v/>
      </c>
      <c r="AT824" s="82">
        <f>INDEX(MO_Common_QEndDate,0,COLUMN())-INDEX(MO_Common_FPDays,0,COLUMN())+1</f>
        <v/>
      </c>
      <c r="AU824" s="84">
        <f>INDEX(MO_Common_QEndDate,0,COLUMN())-INDEX(MO_Common_FPDays,0,COLUMN())+1</f>
        <v/>
      </c>
      <c r="AV824" s="1422" t="n"/>
    </row>
    <row r="825" ht="14.4" customFormat="1" customHeight="1" s="1418">
      <c r="A825" s="1965" t="inlineStr">
        <is>
          <t>Is Historical Period</t>
        </is>
      </c>
      <c r="B825" s="1420" t="n"/>
      <c r="C825" s="1196">
        <f>TRUE</f>
        <v/>
      </c>
      <c r="D825" s="1196">
        <f>TRUE</f>
        <v/>
      </c>
      <c r="E825" s="777">
        <f>TRUE</f>
        <v/>
      </c>
      <c r="F825" s="777">
        <f>TRUE</f>
        <v/>
      </c>
      <c r="G825" s="777">
        <f>TRUE</f>
        <v/>
      </c>
      <c r="H825" s="777">
        <f>TRUE</f>
        <v/>
      </c>
      <c r="I825" s="777">
        <f>TRUE</f>
        <v/>
      </c>
      <c r="J825" s="777">
        <f>TRUE</f>
        <v/>
      </c>
      <c r="K825" s="777">
        <f>TRUE</f>
        <v/>
      </c>
      <c r="L825" s="777">
        <f>TRUE</f>
        <v/>
      </c>
      <c r="M825" s="777">
        <f>TRUE</f>
        <v/>
      </c>
      <c r="N825" s="777">
        <f>TRUE</f>
        <v/>
      </c>
      <c r="O825" s="777">
        <f>TRUE</f>
        <v/>
      </c>
      <c r="P825" s="777">
        <f>TRUE</f>
        <v/>
      </c>
      <c r="Q825" s="777">
        <f>TRUE</f>
        <v/>
      </c>
      <c r="R825" s="777">
        <f>TRUE</f>
        <v/>
      </c>
      <c r="S825" s="777">
        <f>TRUE</f>
        <v/>
      </c>
      <c r="T825" s="777">
        <f>TRUE</f>
        <v/>
      </c>
      <c r="U825" s="777">
        <f>TRUE</f>
        <v/>
      </c>
      <c r="V825" s="777">
        <f>TRUE</f>
        <v/>
      </c>
      <c r="W825" s="777">
        <f>TRUE</f>
        <v/>
      </c>
      <c r="X825" s="777">
        <f>TRUE</f>
        <v/>
      </c>
      <c r="Y825" s="777">
        <f>TRUE</f>
        <v/>
      </c>
      <c r="Z825" s="777">
        <f>TRUE</f>
        <v/>
      </c>
      <c r="AA825" s="777">
        <f>TRUE</f>
        <v/>
      </c>
      <c r="AB825" s="777">
        <f>TRUE</f>
        <v/>
      </c>
      <c r="AC825" s="777">
        <f>TRUE</f>
        <v/>
      </c>
      <c r="AD825" s="777">
        <f>TRUE</f>
        <v/>
      </c>
      <c r="AE825" s="777">
        <f>TRUE</f>
        <v/>
      </c>
      <c r="AF825" s="777">
        <f>TRUE</f>
        <v/>
      </c>
      <c r="AG825" s="777">
        <f>TRUE</f>
        <v/>
      </c>
      <c r="AH825" s="777">
        <f>TRUE</f>
        <v/>
      </c>
      <c r="AI825" s="777">
        <f>TRUE</f>
        <v/>
      </c>
      <c r="AJ825" s="777">
        <f>TRUE</f>
        <v/>
      </c>
      <c r="AK825" s="900">
        <f>TRUE</f>
        <v/>
      </c>
      <c r="AL825" s="82">
        <f>FALSE</f>
        <v/>
      </c>
      <c r="AM825" s="82">
        <f>FALSE</f>
        <v/>
      </c>
      <c r="AN825" s="82">
        <f>FALSE</f>
        <v/>
      </c>
      <c r="AO825" s="82">
        <f>FALSE</f>
        <v/>
      </c>
      <c r="AP825" s="82">
        <f>FALSE</f>
        <v/>
      </c>
      <c r="AQ825" s="82">
        <f>FALSE</f>
        <v/>
      </c>
      <c r="AR825" s="82">
        <f>FALSE</f>
        <v/>
      </c>
      <c r="AS825" s="82">
        <f>FALSE</f>
        <v/>
      </c>
      <c r="AT825" s="82">
        <f>FALSE</f>
        <v/>
      </c>
      <c r="AU825" s="84">
        <f>FALSE</f>
        <v/>
      </c>
      <c r="AV825" s="1422" t="n"/>
    </row>
    <row r="826" ht="14.4" customFormat="1" customHeight="1" s="1867">
      <c r="A826" s="1966">
        <f>"Stock High: "&amp;IF(OR(MO.RealTimeStockPriceToggle=FALSE,VLOOKUP(MO.DataSourceName,MO_SPT_StockHigh_Sources,COLUMN()+2,FALSE)="N/A"),"Real-Time Off Source",MO.DataSourceName)</f>
        <v/>
      </c>
      <c r="B826" s="1967" t="n"/>
      <c r="C826" s="1968">
        <f>IF(OR(MO.RealTimeStockPriceToggle=FALSE,VLOOKUP(MO.DataSourceName,MO_SPT_StockHigh_Sources,COLUMN(),FALSE)="N/A"),VLOOKUP("Real-Time Off Source",MO_SPT_StockHigh_Sources,COLUMN(),FALSE),VLOOKUP(MO.DataSourceName,MO_SPT_StockHigh_Sources,COLUMN(),FALSE))</f>
        <v/>
      </c>
      <c r="D826" s="1968">
        <f>IF(OR(MO.RealTimeStockPriceToggle=FALSE,VLOOKUP(MO.DataSourceName,MO_SPT_StockHigh_Sources,COLUMN(),FALSE)="N/A"),VLOOKUP("Real-Time Off Source",MO_SPT_StockHigh_Sources,COLUMN(),FALSE),VLOOKUP(MO.DataSourceName,MO_SPT_StockHigh_Sources,COLUMN(),FALSE))</f>
        <v/>
      </c>
      <c r="E826" s="1874">
        <f>IF(OR(MO.RealTimeStockPriceToggle=FALSE,VLOOKUP(MO.DataSourceName,MO_SPT_StockHigh_Sources,COLUMN(),FALSE)="N/A"),VLOOKUP("Real-Time Off Source",MO_SPT_StockHigh_Sources,COLUMN(),FALSE),VLOOKUP(MO.DataSourceName,MO_SPT_StockHigh_Sources,COLUMN(),FALSE))</f>
        <v/>
      </c>
      <c r="F826" s="1874">
        <f>IF(OR(MO.RealTimeStockPriceToggle=FALSE,VLOOKUP(MO.DataSourceName,MO_SPT_StockHigh_Sources,COLUMN(),FALSE)="N/A"),VLOOKUP("Real-Time Off Source",MO_SPT_StockHigh_Sources,COLUMN(),FALSE),VLOOKUP(MO.DataSourceName,MO_SPT_StockHigh_Sources,COLUMN(),FALSE))</f>
        <v/>
      </c>
      <c r="G826" s="1874">
        <f>IF(OR(MO.RealTimeStockPriceToggle=FALSE,VLOOKUP(MO.DataSourceName,MO_SPT_StockHigh_Sources,COLUMN(),FALSE)="N/A"),VLOOKUP("Real-Time Off Source",MO_SPT_StockHigh_Sources,COLUMN(),FALSE),VLOOKUP(MO.DataSourceName,MO_SPT_StockHigh_Sources,COLUMN(),FALSE))</f>
        <v/>
      </c>
      <c r="H826" s="1874">
        <f>IF(OR(MO.RealTimeStockPriceToggle=FALSE,VLOOKUP(MO.DataSourceName,MO_SPT_StockHigh_Sources,COLUMN(),FALSE)="N/A"),VLOOKUP("Real-Time Off Source",MO_SPT_StockHigh_Sources,COLUMN(),FALSE),VLOOKUP(MO.DataSourceName,MO_SPT_StockHigh_Sources,COLUMN(),FALSE))</f>
        <v/>
      </c>
      <c r="I826" s="1874">
        <f>IF(OR(MO.RealTimeStockPriceToggle=FALSE,VLOOKUP(MO.DataSourceName,MO_SPT_StockHigh_Sources,COLUMN(),FALSE)="N/A"),VLOOKUP("Real-Time Off Source",MO_SPT_StockHigh_Sources,COLUMN(),FALSE),VLOOKUP(MO.DataSourceName,MO_SPT_StockHigh_Sources,COLUMN(),FALSE))</f>
        <v/>
      </c>
      <c r="J826" s="1874">
        <f>IF(OR(MO.RealTimeStockPriceToggle=FALSE,VLOOKUP(MO.DataSourceName,MO_SPT_StockHigh_Sources,COLUMN(),FALSE)="N/A"),VLOOKUP("Real-Time Off Source",MO_SPT_StockHigh_Sources,COLUMN(),FALSE),VLOOKUP(MO.DataSourceName,MO_SPT_StockHigh_Sources,COLUMN(),FALSE))</f>
        <v/>
      </c>
      <c r="K826" s="1874">
        <f>IF(OR(MO.RealTimeStockPriceToggle=FALSE,VLOOKUP(MO.DataSourceName,MO_SPT_StockHigh_Sources,COLUMN(),FALSE)="N/A"),VLOOKUP("Real-Time Off Source",MO_SPT_StockHigh_Sources,COLUMN(),FALSE),VLOOKUP(MO.DataSourceName,MO_SPT_StockHigh_Sources,COLUMN(),FALSE))</f>
        <v/>
      </c>
      <c r="L826" s="1874">
        <f>IF(OR(MO.RealTimeStockPriceToggle=FALSE,VLOOKUP(MO.DataSourceName,MO_SPT_StockHigh_Sources,COLUMN(),FALSE)="N/A"),VLOOKUP("Real-Time Off Source",MO_SPT_StockHigh_Sources,COLUMN(),FALSE),VLOOKUP(MO.DataSourceName,MO_SPT_StockHigh_Sources,COLUMN(),FALSE))</f>
        <v/>
      </c>
      <c r="M826" s="1874">
        <f>IF(OR(MO.RealTimeStockPriceToggle=FALSE,VLOOKUP(MO.DataSourceName,MO_SPT_StockHigh_Sources,COLUMN(),FALSE)="N/A"),VLOOKUP("Real-Time Off Source",MO_SPT_StockHigh_Sources,COLUMN(),FALSE),VLOOKUP(MO.DataSourceName,MO_SPT_StockHigh_Sources,COLUMN(),FALSE))</f>
        <v/>
      </c>
      <c r="N826" s="1874">
        <f>IF(OR(MO.RealTimeStockPriceToggle=FALSE,VLOOKUP(MO.DataSourceName,MO_SPT_StockHigh_Sources,COLUMN(),FALSE)="N/A"),VLOOKUP("Real-Time Off Source",MO_SPT_StockHigh_Sources,COLUMN(),FALSE),VLOOKUP(MO.DataSourceName,MO_SPT_StockHigh_Sources,COLUMN(),FALSE))</f>
        <v/>
      </c>
      <c r="O826" s="1874">
        <f>IF(OR(MO.RealTimeStockPriceToggle=FALSE,VLOOKUP(MO.DataSourceName,MO_SPT_StockHigh_Sources,COLUMN(),FALSE)="N/A"),VLOOKUP("Real-Time Off Source",MO_SPT_StockHigh_Sources,COLUMN(),FALSE),VLOOKUP(MO.DataSourceName,MO_SPT_StockHigh_Sources,COLUMN(),FALSE))</f>
        <v/>
      </c>
      <c r="P826" s="1874">
        <f>IF(OR(MO.RealTimeStockPriceToggle=FALSE,VLOOKUP(MO.DataSourceName,MO_SPT_StockHigh_Sources,COLUMN(),FALSE)="N/A"),VLOOKUP("Real-Time Off Source",MO_SPT_StockHigh_Sources,COLUMN(),FALSE),VLOOKUP(MO.DataSourceName,MO_SPT_StockHigh_Sources,COLUMN(),FALSE))</f>
        <v/>
      </c>
      <c r="Q826" s="1874">
        <f>IF(OR(MO.RealTimeStockPriceToggle=FALSE,VLOOKUP(MO.DataSourceName,MO_SPT_StockHigh_Sources,COLUMN(),FALSE)="N/A"),VLOOKUP("Real-Time Off Source",MO_SPT_StockHigh_Sources,COLUMN(),FALSE),VLOOKUP(MO.DataSourceName,MO_SPT_StockHigh_Sources,COLUMN(),FALSE))</f>
        <v/>
      </c>
      <c r="R826" s="1874">
        <f>IF(OR(MO.RealTimeStockPriceToggle=FALSE,VLOOKUP(MO.DataSourceName,MO_SPT_StockHigh_Sources,COLUMN(),FALSE)="N/A"),VLOOKUP("Real-Time Off Source",MO_SPT_StockHigh_Sources,COLUMN(),FALSE),VLOOKUP(MO.DataSourceName,MO_SPT_StockHigh_Sources,COLUMN(),FALSE))</f>
        <v/>
      </c>
      <c r="S826" s="1874">
        <f>IF(OR(MO.RealTimeStockPriceToggle=FALSE,VLOOKUP(MO.DataSourceName,MO_SPT_StockHigh_Sources,COLUMN(),FALSE)="N/A"),VLOOKUP("Real-Time Off Source",MO_SPT_StockHigh_Sources,COLUMN(),FALSE),VLOOKUP(MO.DataSourceName,MO_SPT_StockHigh_Sources,COLUMN(),FALSE))</f>
        <v/>
      </c>
      <c r="T826" s="1874">
        <f>IF(OR(MO.RealTimeStockPriceToggle=FALSE,VLOOKUP(MO.DataSourceName,MO_SPT_StockHigh_Sources,COLUMN(),FALSE)="N/A"),VLOOKUP("Real-Time Off Source",MO_SPT_StockHigh_Sources,COLUMN(),FALSE),VLOOKUP(MO.DataSourceName,MO_SPT_StockHigh_Sources,COLUMN(),FALSE))</f>
        <v/>
      </c>
      <c r="U826" s="1874">
        <f>IF(OR(MO.RealTimeStockPriceToggle=FALSE,VLOOKUP(MO.DataSourceName,MO_SPT_StockHigh_Sources,COLUMN(),FALSE)="N/A"),VLOOKUP("Real-Time Off Source",MO_SPT_StockHigh_Sources,COLUMN(),FALSE),VLOOKUP(MO.DataSourceName,MO_SPT_StockHigh_Sources,COLUMN(),FALSE))</f>
        <v/>
      </c>
      <c r="V826" s="1874">
        <f>IF(OR(MO.RealTimeStockPriceToggle=FALSE,VLOOKUP(MO.DataSourceName,MO_SPT_StockHigh_Sources,COLUMN(),FALSE)="N/A"),VLOOKUP("Real-Time Off Source",MO_SPT_StockHigh_Sources,COLUMN(),FALSE),VLOOKUP(MO.DataSourceName,MO_SPT_StockHigh_Sources,COLUMN(),FALSE))</f>
        <v/>
      </c>
      <c r="W826" s="1874">
        <f>IF(OR(MO.RealTimeStockPriceToggle=FALSE,VLOOKUP(MO.DataSourceName,MO_SPT_StockHigh_Sources,COLUMN(),FALSE)="N/A"),VLOOKUP("Real-Time Off Source",MO_SPT_StockHigh_Sources,COLUMN(),FALSE),VLOOKUP(MO.DataSourceName,MO_SPT_StockHigh_Sources,COLUMN(),FALSE))</f>
        <v/>
      </c>
      <c r="X826" s="1874">
        <f>IF(OR(MO.RealTimeStockPriceToggle=FALSE,VLOOKUP(MO.DataSourceName,MO_SPT_StockHigh_Sources,COLUMN(),FALSE)="N/A"),VLOOKUP("Real-Time Off Source",MO_SPT_StockHigh_Sources,COLUMN(),FALSE),VLOOKUP(MO.DataSourceName,MO_SPT_StockHigh_Sources,COLUMN(),FALSE))</f>
        <v/>
      </c>
      <c r="Y826" s="1874">
        <f>IF(OR(MO.RealTimeStockPriceToggle=FALSE,VLOOKUP(MO.DataSourceName,MO_SPT_StockHigh_Sources,COLUMN(),FALSE)="N/A"),VLOOKUP("Real-Time Off Source",MO_SPT_StockHigh_Sources,COLUMN(),FALSE),VLOOKUP(MO.DataSourceName,MO_SPT_StockHigh_Sources,COLUMN(),FALSE))</f>
        <v/>
      </c>
      <c r="Z826" s="1874">
        <f>IF(OR(MO.RealTimeStockPriceToggle=FALSE,VLOOKUP(MO.DataSourceName,MO_SPT_StockHigh_Sources,COLUMN(),FALSE)="N/A"),VLOOKUP("Real-Time Off Source",MO_SPT_StockHigh_Sources,COLUMN(),FALSE),VLOOKUP(MO.DataSourceName,MO_SPT_StockHigh_Sources,COLUMN(),FALSE))</f>
        <v/>
      </c>
      <c r="AA826" s="1874">
        <f>IF(OR(MO.RealTimeStockPriceToggle=FALSE,VLOOKUP(MO.DataSourceName,MO_SPT_StockHigh_Sources,COLUMN(),FALSE)="N/A"),VLOOKUP("Real-Time Off Source",MO_SPT_StockHigh_Sources,COLUMN(),FALSE),VLOOKUP(MO.DataSourceName,MO_SPT_StockHigh_Sources,COLUMN(),FALSE))</f>
        <v/>
      </c>
      <c r="AB826" s="1874">
        <f>IF(OR(MO.RealTimeStockPriceToggle=FALSE,VLOOKUP(MO.DataSourceName,MO_SPT_StockHigh_Sources,COLUMN(),FALSE)="N/A"),VLOOKUP("Real-Time Off Source",MO_SPT_StockHigh_Sources,COLUMN(),FALSE),VLOOKUP(MO.DataSourceName,MO_SPT_StockHigh_Sources,COLUMN(),FALSE))</f>
        <v/>
      </c>
      <c r="AC826" s="1874">
        <f>IF(OR(MO.RealTimeStockPriceToggle=FALSE,VLOOKUP(MO.DataSourceName,MO_SPT_StockHigh_Sources,COLUMN(),FALSE)="N/A"),VLOOKUP("Real-Time Off Source",MO_SPT_StockHigh_Sources,COLUMN(),FALSE),VLOOKUP(MO.DataSourceName,MO_SPT_StockHigh_Sources,COLUMN(),FALSE))</f>
        <v/>
      </c>
      <c r="AD826" s="1874">
        <f>IF(OR(MO.RealTimeStockPriceToggle=FALSE,VLOOKUP(MO.DataSourceName,MO_SPT_StockHigh_Sources,COLUMN(),FALSE)="N/A"),VLOOKUP("Real-Time Off Source",MO_SPT_StockHigh_Sources,COLUMN(),FALSE),VLOOKUP(MO.DataSourceName,MO_SPT_StockHigh_Sources,COLUMN(),FALSE))</f>
        <v/>
      </c>
      <c r="AE826" s="1874">
        <f>IF(OR(MO.RealTimeStockPriceToggle=FALSE,VLOOKUP(MO.DataSourceName,MO_SPT_StockHigh_Sources,COLUMN(),FALSE)="N/A"),VLOOKUP("Real-Time Off Source",MO_SPT_StockHigh_Sources,COLUMN(),FALSE),VLOOKUP(MO.DataSourceName,MO_SPT_StockHigh_Sources,COLUMN(),FALSE))</f>
        <v/>
      </c>
      <c r="AF826" s="1874">
        <f>IF(OR(MO.RealTimeStockPriceToggle=FALSE,VLOOKUP(MO.DataSourceName,MO_SPT_StockHigh_Sources,COLUMN(),FALSE)="N/A"),VLOOKUP("Real-Time Off Source",MO_SPT_StockHigh_Sources,COLUMN(),FALSE),VLOOKUP(MO.DataSourceName,MO_SPT_StockHigh_Sources,COLUMN(),FALSE))</f>
        <v/>
      </c>
      <c r="AG826" s="1874">
        <f>IF(OR(MO.RealTimeStockPriceToggle=FALSE,VLOOKUP(MO.DataSourceName,MO_SPT_StockHigh_Sources,COLUMN(),FALSE)="N/A"),VLOOKUP("Real-Time Off Source",MO_SPT_StockHigh_Sources,COLUMN(),FALSE),VLOOKUP(MO.DataSourceName,MO_SPT_StockHigh_Sources,COLUMN(),FALSE))</f>
        <v/>
      </c>
      <c r="AH826" s="1874">
        <f>IF(OR(MO.RealTimeStockPriceToggle=FALSE,VLOOKUP(MO.DataSourceName,MO_SPT_StockHigh_Sources,COLUMN(),FALSE)="N/A"),VLOOKUP("Real-Time Off Source",MO_SPT_StockHigh_Sources,COLUMN(),FALSE),VLOOKUP(MO.DataSourceName,MO_SPT_StockHigh_Sources,COLUMN(),FALSE))</f>
        <v/>
      </c>
      <c r="AI826" s="1874">
        <f>IF(OR(MO.RealTimeStockPriceToggle=FALSE,VLOOKUP(MO.DataSourceName,MO_SPT_StockHigh_Sources,COLUMN(),FALSE)="N/A"),VLOOKUP("Real-Time Off Source",MO_SPT_StockHigh_Sources,COLUMN(),FALSE),VLOOKUP(MO.DataSourceName,MO_SPT_StockHigh_Sources,COLUMN(),FALSE))</f>
        <v/>
      </c>
      <c r="AJ826" s="1874">
        <f>IF(OR(MO.RealTimeStockPriceToggle=FALSE,VLOOKUP(MO.DataSourceName,MO_SPT_StockHigh_Sources,COLUMN(),FALSE)="N/A"),VLOOKUP("Real-Time Off Source",MO_SPT_StockHigh_Sources,COLUMN(),FALSE),VLOOKUP(MO.DataSourceName,MO_SPT_StockHigh_Sources,COLUMN(),FALSE))</f>
        <v/>
      </c>
      <c r="AK826" s="1969">
        <f>IF(OR(MO.RealTimeStockPriceToggle=FALSE,VLOOKUP(MO.DataSourceName,MO_SPT_StockHigh_Sources,COLUMN(),FALSE)="N/A"),VLOOKUP("Real-Time Off Source",MO_SPT_StockHigh_Sources,COLUMN(),FALSE),VLOOKUP(MO.DataSourceName,MO_SPT_StockHigh_Sources,COLUMN(),FALSE))</f>
        <v/>
      </c>
      <c r="AL826" s="1967">
        <f>IF(OR(MO.RealTimeStockPriceToggle=FALSE,VLOOKUP(MO.DataSourceName,MO_SPT_StockHigh_Sources,COLUMN(),FALSE)="N/A"),VLOOKUP("Real-Time Off Source",MO_SPT_StockHigh_Sources,COLUMN(),FALSE),VLOOKUP(MO.DataSourceName,MO_SPT_StockHigh_Sources,COLUMN(),FALSE))</f>
        <v/>
      </c>
      <c r="AM826" s="1967">
        <f>IF(OR(MO.RealTimeStockPriceToggle=FALSE,VLOOKUP(MO.DataSourceName,MO_SPT_StockHigh_Sources,COLUMN(),FALSE)="N/A"),VLOOKUP("Real-Time Off Source",MO_SPT_StockHigh_Sources,COLUMN(),FALSE),VLOOKUP(MO.DataSourceName,MO_SPT_StockHigh_Sources,COLUMN(),FALSE))</f>
        <v/>
      </c>
      <c r="AN826" s="1967">
        <f>IF(OR(MO.RealTimeStockPriceToggle=FALSE,VLOOKUP(MO.DataSourceName,MO_SPT_StockHigh_Sources,COLUMN(),FALSE)="N/A"),VLOOKUP("Real-Time Off Source",MO_SPT_StockHigh_Sources,COLUMN(),FALSE),VLOOKUP(MO.DataSourceName,MO_SPT_StockHigh_Sources,COLUMN(),FALSE))</f>
        <v/>
      </c>
      <c r="AO826" s="1967">
        <f>IF(OR(MO.RealTimeStockPriceToggle=FALSE,VLOOKUP(MO.DataSourceName,MO_SPT_StockHigh_Sources,COLUMN(),FALSE)="N/A"),VLOOKUP("Real-Time Off Source",MO_SPT_StockHigh_Sources,COLUMN(),FALSE),VLOOKUP(MO.DataSourceName,MO_SPT_StockHigh_Sources,COLUMN(),FALSE))</f>
        <v/>
      </c>
      <c r="AP826" s="1967">
        <f>IF(OR(MO.RealTimeStockPriceToggle=FALSE,VLOOKUP(MO.DataSourceName,MO_SPT_StockHigh_Sources,COLUMN(),FALSE)="N/A"),VLOOKUP("Real-Time Off Source",MO_SPT_StockHigh_Sources,COLUMN(),FALSE),VLOOKUP(MO.DataSourceName,MO_SPT_StockHigh_Sources,COLUMN(),FALSE))</f>
        <v/>
      </c>
      <c r="AQ826" s="1967">
        <f>IF(OR(MO.RealTimeStockPriceToggle=FALSE,VLOOKUP(MO.DataSourceName,MO_SPT_StockHigh_Sources,COLUMN(),FALSE)="N/A"),VLOOKUP("Real-Time Off Source",MO_SPT_StockHigh_Sources,COLUMN(),FALSE),VLOOKUP(MO.DataSourceName,MO_SPT_StockHigh_Sources,COLUMN(),FALSE))</f>
        <v/>
      </c>
      <c r="AR826" s="1967">
        <f>IF(OR(MO.RealTimeStockPriceToggle=FALSE,VLOOKUP(MO.DataSourceName,MO_SPT_StockHigh_Sources,COLUMN(),FALSE)="N/A"),VLOOKUP("Real-Time Off Source",MO_SPT_StockHigh_Sources,COLUMN(),FALSE),VLOOKUP(MO.DataSourceName,MO_SPT_StockHigh_Sources,COLUMN(),FALSE))</f>
        <v/>
      </c>
      <c r="AS826" s="1967">
        <f>IF(OR(MO.RealTimeStockPriceToggle=FALSE,VLOOKUP(MO.DataSourceName,MO_SPT_StockHigh_Sources,COLUMN(),FALSE)="N/A"),VLOOKUP("Real-Time Off Source",MO_SPT_StockHigh_Sources,COLUMN(),FALSE),VLOOKUP(MO.DataSourceName,MO_SPT_StockHigh_Sources,COLUMN(),FALSE))</f>
        <v/>
      </c>
      <c r="AT826" s="1967">
        <f>IF(OR(MO.RealTimeStockPriceToggle=FALSE,VLOOKUP(MO.DataSourceName,MO_SPT_StockHigh_Sources,COLUMN(),FALSE)="N/A"),VLOOKUP("Real-Time Off Source",MO_SPT_StockHigh_Sources,COLUMN(),FALSE),VLOOKUP(MO.DataSourceName,MO_SPT_StockHigh_Sources,COLUMN(),FALSE))</f>
        <v/>
      </c>
      <c r="AU826" s="1970">
        <f>IF(OR(MO.RealTimeStockPriceToggle=FALSE,VLOOKUP(MO.DataSourceName,MO_SPT_StockHigh_Sources,COLUMN(),FALSE)="N/A"),VLOOKUP("Real-Time Off Source",MO_SPT_StockHigh_Sources,COLUMN(),FALSE),VLOOKUP(MO.DataSourceName,MO_SPT_StockHigh_Sources,COLUMN(),FALSE))</f>
        <v/>
      </c>
      <c r="AV826" s="1874" t="n"/>
    </row>
    <row r="827" hidden="1" outlineLevel="1" ht="14.4" customFormat="1" customHeight="1" s="1867">
      <c r="A827" s="1971" t="inlineStr">
        <is>
          <t>Real-Time Off Source</t>
        </is>
      </c>
      <c r="B827" s="1967" t="n"/>
      <c r="C827" s="1972" t="n">
        <v>0</v>
      </c>
      <c r="D827" s="1972" t="n">
        <v>0</v>
      </c>
      <c r="E827" s="1973" t="n">
        <v>0</v>
      </c>
      <c r="F827" s="1973" t="n">
        <v>0</v>
      </c>
      <c r="G827" s="1973" t="n">
        <v>0</v>
      </c>
      <c r="H827" s="1973" t="n">
        <v>0</v>
      </c>
      <c r="I827" s="1973" t="n">
        <v>0</v>
      </c>
      <c r="J827" s="1973" t="n">
        <v>0</v>
      </c>
      <c r="K827" s="1973" t="n">
        <v>0</v>
      </c>
      <c r="L827" s="1973" t="n">
        <v>0</v>
      </c>
      <c r="M827" s="1973" t="n">
        <v>0</v>
      </c>
      <c r="N827" s="1973" t="n">
        <v>0</v>
      </c>
      <c r="O827" s="1973" t="n">
        <v>0</v>
      </c>
      <c r="P827" s="1973" t="n">
        <v>0</v>
      </c>
      <c r="Q827" s="1973" t="n">
        <v>0</v>
      </c>
      <c r="R827" s="1973" t="n">
        <v>0</v>
      </c>
      <c r="S827" s="1973" t="n">
        <v>0</v>
      </c>
      <c r="T827" s="1973" t="n">
        <v>0</v>
      </c>
      <c r="U827" s="1973" t="n">
        <v>0</v>
      </c>
      <c r="V827" s="1973" t="n">
        <v>0</v>
      </c>
      <c r="W827" s="1973" t="n">
        <v>0</v>
      </c>
      <c r="X827" s="1973" t="n">
        <v>0</v>
      </c>
      <c r="Y827" s="1973" t="n">
        <v>0</v>
      </c>
      <c r="Z827" s="1973" t="n">
        <v>0</v>
      </c>
      <c r="AA827" s="1973" t="n">
        <v>0</v>
      </c>
      <c r="AB827" s="1973" t="n">
        <v>0</v>
      </c>
      <c r="AC827" s="1973" t="n">
        <v>0</v>
      </c>
      <c r="AD827" s="1973" t="n">
        <v>0</v>
      </c>
      <c r="AE827" s="1973" t="n">
        <v>0</v>
      </c>
      <c r="AF827" s="1973" t="n">
        <v>0</v>
      </c>
      <c r="AG827" s="1973" t="n">
        <v>0</v>
      </c>
      <c r="AH827" s="1973" t="n">
        <v>0</v>
      </c>
      <c r="AI827" s="1973" t="n">
        <v>40</v>
      </c>
      <c r="AJ827" s="1973" t="n">
        <v>183.58</v>
      </c>
      <c r="AK827" s="1974" t="n">
        <v>165.2</v>
      </c>
      <c r="AL827" s="1967" t="n"/>
      <c r="AM827" s="1967" t="n"/>
      <c r="AN827" s="1967" t="n"/>
      <c r="AO827" s="1967" t="n"/>
      <c r="AP827" s="1967" t="n"/>
      <c r="AQ827" s="1967" t="n"/>
      <c r="AR827" s="1967" t="n"/>
      <c r="AS827" s="1967" t="n"/>
      <c r="AT827" s="1967" t="n"/>
      <c r="AU827" s="1970" t="n"/>
      <c r="AV827" s="1874" t="n"/>
    </row>
    <row r="828" hidden="1" outlineLevel="1" ht="14.4" customFormat="1" customHeight="1" s="1867">
      <c r="A828" s="1971" t="inlineStr">
        <is>
          <t>Bloomberg</t>
        </is>
      </c>
      <c r="B828" s="1967" t="n"/>
      <c r="C828" s="1968">
        <f>IFERROR(BDP(MO.Ticker.Bloomberg&amp;" Equity","INTERVAL_HIGH","MARKET_DATA_OVERRIDE=PX_LAST","START_DATE_OVERRIDE",TEXT(INDEX(MO_SNA_FPStartDate,0,COLUMN()),"YYYYMMDD"),"END_DATE_OVERRIDE",TEXT(INDEX(MO_Common_QEndDate,0,COLUMN()),"YYYYMMDD")),"N/A")</f>
        <v/>
      </c>
      <c r="D828" s="1968">
        <f>IFERROR(BDP(MO.Ticker.Bloomberg&amp;" Equity","INTERVAL_HIGH","MARKET_DATA_OVERRIDE=PX_LAST","START_DATE_OVERRIDE",TEXT(INDEX(MO_SNA_FPStartDate,0,COLUMN()),"YYYYMMDD"),"END_DATE_OVERRIDE",TEXT(INDEX(MO_Common_QEndDate,0,COLUMN()),"YYYYMMDD")),"N/A")</f>
        <v/>
      </c>
      <c r="E828" s="1874">
        <f>IFERROR(BDP(MO.Ticker.Bloomberg&amp;" Equity","INTERVAL_HIGH","MARKET_DATA_OVERRIDE=PX_LAST","START_DATE_OVERRIDE",TEXT(INDEX(MO_SNA_FPStartDate,0,COLUMN()),"YYYYMMDD"),"END_DATE_OVERRIDE",TEXT(INDEX(MO_Common_QEndDate,0,COLUMN()),"YYYYMMDD")),"N/A")</f>
        <v/>
      </c>
      <c r="F828" s="1874">
        <f>IFERROR(BDP(MO.Ticker.Bloomberg&amp;" Equity","INTERVAL_HIGH","MARKET_DATA_OVERRIDE=PX_LAST","START_DATE_OVERRIDE",TEXT(INDEX(MO_SNA_FPStartDate,0,COLUMN()),"YYYYMMDD"),"END_DATE_OVERRIDE",TEXT(INDEX(MO_Common_QEndDate,0,COLUMN()),"YYYYMMDD")),"N/A")</f>
        <v/>
      </c>
      <c r="G828" s="1874">
        <f>IFERROR(BDP(MO.Ticker.Bloomberg&amp;" Equity","INTERVAL_HIGH","MARKET_DATA_OVERRIDE=PX_LAST","START_DATE_OVERRIDE",TEXT(INDEX(MO_SNA_FPStartDate,0,COLUMN()),"YYYYMMDD"),"END_DATE_OVERRIDE",TEXT(INDEX(MO_Common_QEndDate,0,COLUMN()),"YYYYMMDD")),"N/A")</f>
        <v/>
      </c>
      <c r="H828" s="1874">
        <f>IFERROR(BDP(MO.Ticker.Bloomberg&amp;" Equity","INTERVAL_HIGH","MARKET_DATA_OVERRIDE=PX_LAST","START_DATE_OVERRIDE",TEXT(INDEX(MO_SNA_FPStartDate,0,COLUMN()),"YYYYMMDD"),"END_DATE_OVERRIDE",TEXT(INDEX(MO_Common_QEndDate,0,COLUMN()),"YYYYMMDD")),"N/A")</f>
        <v/>
      </c>
      <c r="I828" s="1874">
        <f>IFERROR(BDP(MO.Ticker.Bloomberg&amp;" Equity","INTERVAL_HIGH","MARKET_DATA_OVERRIDE=PX_LAST","START_DATE_OVERRIDE",TEXT(INDEX(MO_SNA_FPStartDate,0,COLUMN()),"YYYYMMDD"),"END_DATE_OVERRIDE",TEXT(INDEX(MO_Common_QEndDate,0,COLUMN()),"YYYYMMDD")),"N/A")</f>
        <v/>
      </c>
      <c r="J828" s="1874">
        <f>IFERROR(BDP(MO.Ticker.Bloomberg&amp;" Equity","INTERVAL_HIGH","MARKET_DATA_OVERRIDE=PX_LAST","START_DATE_OVERRIDE",TEXT(INDEX(MO_SNA_FPStartDate,0,COLUMN()),"YYYYMMDD"),"END_DATE_OVERRIDE",TEXT(INDEX(MO_Common_QEndDate,0,COLUMN()),"YYYYMMDD")),"N/A")</f>
        <v/>
      </c>
      <c r="K828" s="1874">
        <f>IFERROR(BDP(MO.Ticker.Bloomberg&amp;" Equity","INTERVAL_HIGH","MARKET_DATA_OVERRIDE=PX_LAST","START_DATE_OVERRIDE",TEXT(INDEX(MO_SNA_FPStartDate,0,COLUMN()),"YYYYMMDD"),"END_DATE_OVERRIDE",TEXT(INDEX(MO_Common_QEndDate,0,COLUMN()),"YYYYMMDD")),"N/A")</f>
        <v/>
      </c>
      <c r="L828" s="1874">
        <f>IFERROR(BDP(MO.Ticker.Bloomberg&amp;" Equity","INTERVAL_HIGH","MARKET_DATA_OVERRIDE=PX_LAST","START_DATE_OVERRIDE",TEXT(INDEX(MO_SNA_FPStartDate,0,COLUMN()),"YYYYMMDD"),"END_DATE_OVERRIDE",TEXT(INDEX(MO_Common_QEndDate,0,COLUMN()),"YYYYMMDD")),"N/A")</f>
        <v/>
      </c>
      <c r="M828" s="1874">
        <f>IFERROR(BDP(MO.Ticker.Bloomberg&amp;" Equity","INTERVAL_HIGH","MARKET_DATA_OVERRIDE=PX_LAST","START_DATE_OVERRIDE",TEXT(INDEX(MO_SNA_FPStartDate,0,COLUMN()),"YYYYMMDD"),"END_DATE_OVERRIDE",TEXT(INDEX(MO_Common_QEndDate,0,COLUMN()),"YYYYMMDD")),"N/A")</f>
        <v/>
      </c>
      <c r="N828" s="1874">
        <f>IFERROR(BDP(MO.Ticker.Bloomberg&amp;" Equity","INTERVAL_HIGH","MARKET_DATA_OVERRIDE=PX_LAST","START_DATE_OVERRIDE",TEXT(INDEX(MO_SNA_FPStartDate,0,COLUMN()),"YYYYMMDD"),"END_DATE_OVERRIDE",TEXT(INDEX(MO_Common_QEndDate,0,COLUMN()),"YYYYMMDD")),"N/A")</f>
        <v/>
      </c>
      <c r="O828" s="1874">
        <f>IFERROR(BDP(MO.Ticker.Bloomberg&amp;" Equity","INTERVAL_HIGH","MARKET_DATA_OVERRIDE=PX_LAST","START_DATE_OVERRIDE",TEXT(INDEX(MO_SNA_FPStartDate,0,COLUMN()),"YYYYMMDD"),"END_DATE_OVERRIDE",TEXT(INDEX(MO_Common_QEndDate,0,COLUMN()),"YYYYMMDD")),"N/A")</f>
        <v/>
      </c>
      <c r="P828" s="1874">
        <f>IFERROR(BDP(MO.Ticker.Bloomberg&amp;" Equity","INTERVAL_HIGH","MARKET_DATA_OVERRIDE=PX_LAST","START_DATE_OVERRIDE",TEXT(INDEX(MO_SNA_FPStartDate,0,COLUMN()),"YYYYMMDD"),"END_DATE_OVERRIDE",TEXT(INDEX(MO_Common_QEndDate,0,COLUMN()),"YYYYMMDD")),"N/A")</f>
        <v/>
      </c>
      <c r="Q828" s="1874">
        <f>IFERROR(BDP(MO.Ticker.Bloomberg&amp;" Equity","INTERVAL_HIGH","MARKET_DATA_OVERRIDE=PX_LAST","START_DATE_OVERRIDE",TEXT(INDEX(MO_SNA_FPStartDate,0,COLUMN()),"YYYYMMDD"),"END_DATE_OVERRIDE",TEXT(INDEX(MO_Common_QEndDate,0,COLUMN()),"YYYYMMDD")),"N/A")</f>
        <v/>
      </c>
      <c r="R828" s="1874">
        <f>IFERROR(BDP(MO.Ticker.Bloomberg&amp;" Equity","INTERVAL_HIGH","MARKET_DATA_OVERRIDE=PX_LAST","START_DATE_OVERRIDE",TEXT(INDEX(MO_SNA_FPStartDate,0,COLUMN()),"YYYYMMDD"),"END_DATE_OVERRIDE",TEXT(INDEX(MO_Common_QEndDate,0,COLUMN()),"YYYYMMDD")),"N/A")</f>
        <v/>
      </c>
      <c r="S828" s="1874">
        <f>IFERROR(BDP(MO.Ticker.Bloomberg&amp;" Equity","INTERVAL_HIGH","MARKET_DATA_OVERRIDE=PX_LAST","START_DATE_OVERRIDE",TEXT(INDEX(MO_SNA_FPStartDate,0,COLUMN()),"YYYYMMDD"),"END_DATE_OVERRIDE",TEXT(INDEX(MO_Common_QEndDate,0,COLUMN()),"YYYYMMDD")),"N/A")</f>
        <v/>
      </c>
      <c r="T828" s="1874">
        <f>IFERROR(BDP(MO.Ticker.Bloomberg&amp;" Equity","INTERVAL_HIGH","MARKET_DATA_OVERRIDE=PX_LAST","START_DATE_OVERRIDE",TEXT(INDEX(MO_SNA_FPStartDate,0,COLUMN()),"YYYYMMDD"),"END_DATE_OVERRIDE",TEXT(INDEX(MO_Common_QEndDate,0,COLUMN()),"YYYYMMDD")),"N/A")</f>
        <v/>
      </c>
      <c r="U828" s="1874">
        <f>IFERROR(BDP(MO.Ticker.Bloomberg&amp;" Equity","INTERVAL_HIGH","MARKET_DATA_OVERRIDE=PX_LAST","START_DATE_OVERRIDE",TEXT(INDEX(MO_SNA_FPStartDate,0,COLUMN()),"YYYYMMDD"),"END_DATE_OVERRIDE",TEXT(INDEX(MO_Common_QEndDate,0,COLUMN()),"YYYYMMDD")),"N/A")</f>
        <v/>
      </c>
      <c r="V828" s="1874">
        <f>IFERROR(BDP(MO.Ticker.Bloomberg&amp;" Equity","INTERVAL_HIGH","MARKET_DATA_OVERRIDE=PX_LAST","START_DATE_OVERRIDE",TEXT(INDEX(MO_SNA_FPStartDate,0,COLUMN()),"YYYYMMDD"),"END_DATE_OVERRIDE",TEXT(INDEX(MO_Common_QEndDate,0,COLUMN()),"YYYYMMDD")),"N/A")</f>
        <v/>
      </c>
      <c r="W828" s="1874">
        <f>IFERROR(BDP(MO.Ticker.Bloomberg&amp;" Equity","INTERVAL_HIGH","MARKET_DATA_OVERRIDE=PX_LAST","START_DATE_OVERRIDE",TEXT(INDEX(MO_SNA_FPStartDate,0,COLUMN()),"YYYYMMDD"),"END_DATE_OVERRIDE",TEXT(INDEX(MO_Common_QEndDate,0,COLUMN()),"YYYYMMDD")),"N/A")</f>
        <v/>
      </c>
      <c r="X828" s="1874">
        <f>IFERROR(BDP(MO.Ticker.Bloomberg&amp;" Equity","INTERVAL_HIGH","MARKET_DATA_OVERRIDE=PX_LAST","START_DATE_OVERRIDE",TEXT(INDEX(MO_SNA_FPStartDate,0,COLUMN()),"YYYYMMDD"),"END_DATE_OVERRIDE",TEXT(INDEX(MO_Common_QEndDate,0,COLUMN()),"YYYYMMDD")),"N/A")</f>
        <v/>
      </c>
      <c r="Y828" s="1874">
        <f>IFERROR(BDP(MO.Ticker.Bloomberg&amp;" Equity","INTERVAL_HIGH","MARKET_DATA_OVERRIDE=PX_LAST","START_DATE_OVERRIDE",TEXT(INDEX(MO_SNA_FPStartDate,0,COLUMN()),"YYYYMMDD"),"END_DATE_OVERRIDE",TEXT(INDEX(MO_Common_QEndDate,0,COLUMN()),"YYYYMMDD")),"N/A")</f>
        <v/>
      </c>
      <c r="Z828" s="1874">
        <f>IFERROR(BDP(MO.Ticker.Bloomberg&amp;" Equity","INTERVAL_HIGH","MARKET_DATA_OVERRIDE=PX_LAST","START_DATE_OVERRIDE",TEXT(INDEX(MO_SNA_FPStartDate,0,COLUMN()),"YYYYMMDD"),"END_DATE_OVERRIDE",TEXT(INDEX(MO_Common_QEndDate,0,COLUMN()),"YYYYMMDD")),"N/A")</f>
        <v/>
      </c>
      <c r="AA828" s="1874">
        <f>IFERROR(BDP(MO.Ticker.Bloomberg&amp;" Equity","INTERVAL_HIGH","MARKET_DATA_OVERRIDE=PX_LAST","START_DATE_OVERRIDE",TEXT(INDEX(MO_SNA_FPStartDate,0,COLUMN()),"YYYYMMDD"),"END_DATE_OVERRIDE",TEXT(INDEX(MO_Common_QEndDate,0,COLUMN()),"YYYYMMDD")),"N/A")</f>
        <v/>
      </c>
      <c r="AB828" s="1874">
        <f>IFERROR(BDP(MO.Ticker.Bloomberg&amp;" Equity","INTERVAL_HIGH","MARKET_DATA_OVERRIDE=PX_LAST","START_DATE_OVERRIDE",TEXT(INDEX(MO_SNA_FPStartDate,0,COLUMN()),"YYYYMMDD"),"END_DATE_OVERRIDE",TEXT(INDEX(MO_Common_QEndDate,0,COLUMN()),"YYYYMMDD")),"N/A")</f>
        <v/>
      </c>
      <c r="AC828" s="1874">
        <f>IFERROR(BDP(MO.Ticker.Bloomberg&amp;" Equity","INTERVAL_HIGH","MARKET_DATA_OVERRIDE=PX_LAST","START_DATE_OVERRIDE",TEXT(INDEX(MO_SNA_FPStartDate,0,COLUMN()),"YYYYMMDD"),"END_DATE_OVERRIDE",TEXT(INDEX(MO_Common_QEndDate,0,COLUMN()),"YYYYMMDD")),"N/A")</f>
        <v/>
      </c>
      <c r="AD828" s="1874">
        <f>IFERROR(BDP(MO.Ticker.Bloomberg&amp;" Equity","INTERVAL_HIGH","MARKET_DATA_OVERRIDE=PX_LAST","START_DATE_OVERRIDE",TEXT(INDEX(MO_SNA_FPStartDate,0,COLUMN()),"YYYYMMDD"),"END_DATE_OVERRIDE",TEXT(INDEX(MO_Common_QEndDate,0,COLUMN()),"YYYYMMDD")),"N/A")</f>
        <v/>
      </c>
      <c r="AE828" s="1874">
        <f>IFERROR(BDP(MO.Ticker.Bloomberg&amp;" Equity","INTERVAL_HIGH","MARKET_DATA_OVERRIDE=PX_LAST","START_DATE_OVERRIDE",TEXT(INDEX(MO_SNA_FPStartDate,0,COLUMN()),"YYYYMMDD"),"END_DATE_OVERRIDE",TEXT(INDEX(MO_Common_QEndDate,0,COLUMN()),"YYYYMMDD")),"N/A")</f>
        <v/>
      </c>
      <c r="AF828" s="1874">
        <f>IFERROR(BDP(MO.Ticker.Bloomberg&amp;" Equity","INTERVAL_HIGH","MARKET_DATA_OVERRIDE=PX_LAST","START_DATE_OVERRIDE",TEXT(INDEX(MO_SNA_FPStartDate,0,COLUMN()),"YYYYMMDD"),"END_DATE_OVERRIDE",TEXT(INDEX(MO_Common_QEndDate,0,COLUMN()),"YYYYMMDD")),"N/A")</f>
        <v/>
      </c>
      <c r="AG828" s="1874">
        <f>IFERROR(BDP(MO.Ticker.Bloomberg&amp;" Equity","INTERVAL_HIGH","MARKET_DATA_OVERRIDE=PX_LAST","START_DATE_OVERRIDE",TEXT(INDEX(MO_SNA_FPStartDate,0,COLUMN()),"YYYYMMDD"),"END_DATE_OVERRIDE",TEXT(INDEX(MO_Common_QEndDate,0,COLUMN()),"YYYYMMDD")),"N/A")</f>
        <v/>
      </c>
      <c r="AH828" s="1874">
        <f>IFERROR(BDP(MO.Ticker.Bloomberg&amp;" Equity","INTERVAL_HIGH","MARKET_DATA_OVERRIDE=PX_LAST","START_DATE_OVERRIDE",TEXT(INDEX(MO_SNA_FPStartDate,0,COLUMN()),"YYYYMMDD"),"END_DATE_OVERRIDE",TEXT(INDEX(MO_Common_QEndDate,0,COLUMN()),"YYYYMMDD")),"N/A")</f>
        <v/>
      </c>
      <c r="AI828" s="1874">
        <f>IFERROR(BDP(MO.Ticker.Bloomberg&amp;" Equity","INTERVAL_HIGH","MARKET_DATA_OVERRIDE=PX_LAST","START_DATE_OVERRIDE",TEXT(INDEX(MO_SNA_FPStartDate,0,COLUMN()),"YYYYMMDD"),"END_DATE_OVERRIDE",TEXT(INDEX(MO_Common_QEndDate,0,COLUMN()),"YYYYMMDD")),"N/A")</f>
        <v/>
      </c>
      <c r="AJ828" s="1874">
        <f>IFERROR(BDP(MO.Ticker.Bloomberg&amp;" Equity","INTERVAL_HIGH","MARKET_DATA_OVERRIDE=PX_LAST","START_DATE_OVERRIDE",TEXT(INDEX(MO_SNA_FPStartDate,0,COLUMN()),"YYYYMMDD"),"END_DATE_OVERRIDE",TEXT(INDEX(MO_Common_QEndDate,0,COLUMN()),"YYYYMMDD")),"N/A")</f>
        <v/>
      </c>
      <c r="AK828" s="1969">
        <f>IFERROR(BDP(MO.Ticker.Bloomberg&amp;" Equity","INTERVAL_HIGH","MARKET_DATA_OVERRIDE=PX_LAST","START_DATE_OVERRIDE",TEXT(INDEX(MO_SNA_FPStartDate,0,COLUMN()),"YYYYMMDD"),"END_DATE_OVERRIDE",TEXT(INDEX(MO_Common_QEndDate,0,COLUMN()),"YYYYMMDD")),"N/A")</f>
        <v/>
      </c>
      <c r="AL828" s="1967">
        <f>IFERROR(BDP(MO.Ticker.Bloomberg&amp;" Equity","INTERVAL_HIGH","MARKET_DATA_OVERRIDE=PX_LAST","START_DATE_OVERRIDE",TEXT(INDEX(MO_SNA_FPStartDate,0,COLUMN()),"YYYYMMDD"),"END_DATE_OVERRIDE",TEXT(INDEX(MO_Common_QEndDate,0,COLUMN()),"YYYYMMDD")),"N/A")</f>
        <v/>
      </c>
      <c r="AM828" s="1967">
        <f>IFERROR(BDP(MO.Ticker.Bloomberg&amp;" Equity","INTERVAL_HIGH","MARKET_DATA_OVERRIDE=PX_LAST","START_DATE_OVERRIDE",TEXT(INDEX(MO_SNA_FPStartDate,0,COLUMN()),"YYYYMMDD"),"END_DATE_OVERRIDE",TEXT(INDEX(MO_Common_QEndDate,0,COLUMN()),"YYYYMMDD")),"N/A")</f>
        <v/>
      </c>
      <c r="AN828" s="1967">
        <f>IFERROR(BDP(MO.Ticker.Bloomberg&amp;" Equity","INTERVAL_HIGH","MARKET_DATA_OVERRIDE=PX_LAST","START_DATE_OVERRIDE",TEXT(INDEX(MO_SNA_FPStartDate,0,COLUMN()),"YYYYMMDD"),"END_DATE_OVERRIDE",TEXT(INDEX(MO_Common_QEndDate,0,COLUMN()),"YYYYMMDD")),"N/A")</f>
        <v/>
      </c>
      <c r="AO828" s="1967">
        <f>IFERROR(BDP(MO.Ticker.Bloomberg&amp;" Equity","INTERVAL_HIGH","MARKET_DATA_OVERRIDE=PX_LAST","START_DATE_OVERRIDE",TEXT(INDEX(MO_SNA_FPStartDate,0,COLUMN()),"YYYYMMDD"),"END_DATE_OVERRIDE",TEXT(INDEX(MO_Common_QEndDate,0,COLUMN()),"YYYYMMDD")),"N/A")</f>
        <v/>
      </c>
      <c r="AP828" s="1967">
        <f>IFERROR(BDP(MO.Ticker.Bloomberg&amp;" Equity","INTERVAL_HIGH","MARKET_DATA_OVERRIDE=PX_LAST","START_DATE_OVERRIDE",TEXT(INDEX(MO_SNA_FPStartDate,0,COLUMN()),"YYYYMMDD"),"END_DATE_OVERRIDE",TEXT(INDEX(MO_Common_QEndDate,0,COLUMN()),"YYYYMMDD")),"N/A")</f>
        <v/>
      </c>
      <c r="AQ828" s="1967">
        <f>IFERROR(BDP(MO.Ticker.Bloomberg&amp;" Equity","INTERVAL_HIGH","MARKET_DATA_OVERRIDE=PX_LAST","START_DATE_OVERRIDE",TEXT(INDEX(MO_SNA_FPStartDate,0,COLUMN()),"YYYYMMDD"),"END_DATE_OVERRIDE",TEXT(INDEX(MO_Common_QEndDate,0,COLUMN()),"YYYYMMDD")),"N/A")</f>
        <v/>
      </c>
      <c r="AR828" s="1967">
        <f>IFERROR(BDP(MO.Ticker.Bloomberg&amp;" Equity","INTERVAL_HIGH","MARKET_DATA_OVERRIDE=PX_LAST","START_DATE_OVERRIDE",TEXT(INDEX(MO_SNA_FPStartDate,0,COLUMN()),"YYYYMMDD"),"END_DATE_OVERRIDE",TEXT(INDEX(MO_Common_QEndDate,0,COLUMN()),"YYYYMMDD")),"N/A")</f>
        <v/>
      </c>
      <c r="AS828" s="1967">
        <f>IFERROR(BDP(MO.Ticker.Bloomberg&amp;" Equity","INTERVAL_HIGH","MARKET_DATA_OVERRIDE=PX_LAST","START_DATE_OVERRIDE",TEXT(INDEX(MO_SNA_FPStartDate,0,COLUMN()),"YYYYMMDD"),"END_DATE_OVERRIDE",TEXT(INDEX(MO_Common_QEndDate,0,COLUMN()),"YYYYMMDD")),"N/A")</f>
        <v/>
      </c>
      <c r="AT828" s="1967">
        <f>IFERROR(BDP(MO.Ticker.Bloomberg&amp;" Equity","INTERVAL_HIGH","MARKET_DATA_OVERRIDE=PX_LAST","START_DATE_OVERRIDE",TEXT(INDEX(MO_SNA_FPStartDate,0,COLUMN()),"YYYYMMDD"),"END_DATE_OVERRIDE",TEXT(INDEX(MO_Common_QEndDate,0,COLUMN()),"YYYYMMDD")),"N/A")</f>
        <v/>
      </c>
      <c r="AU828" s="1970">
        <f>IFERROR(BDP(MO.Ticker.Bloomberg&amp;" Equity","INTERVAL_HIGH","MARKET_DATA_OVERRIDE=PX_LAST","START_DATE_OVERRIDE",TEXT(INDEX(MO_SNA_FPStartDate,0,COLUMN()),"YYYYMMDD"),"END_DATE_OVERRIDE",TEXT(INDEX(MO_Common_QEndDate,0,COLUMN()),"YYYYMMDD")),"N/A")</f>
        <v/>
      </c>
      <c r="AV828" s="1874" t="n"/>
    </row>
    <row r="829" hidden="1" outlineLevel="1" ht="14.4" customFormat="1" customHeight="1" s="1867">
      <c r="A829" s="1971" t="inlineStr">
        <is>
          <t>Capital IQ</t>
        </is>
      </c>
      <c r="B829" s="1967" t="n"/>
      <c r="C829" s="1968">
        <f>IFERROR(CIQHI(MO.Ticker.CapIQ,"IQ_LASTSALEPRICE",INDEX(MO_SNA_FPStartDate,0,COLUMN()),INDEX(MO_Common_QEndDate,0,COLUMN())),"N/A")</f>
        <v/>
      </c>
      <c r="D829" s="1968">
        <f>IFERROR(CIQHI(MO.Ticker.CapIQ,"IQ_LASTSALEPRICE",INDEX(MO_SNA_FPStartDate,0,COLUMN()),INDEX(MO_Common_QEndDate,0,COLUMN())),"N/A")</f>
        <v/>
      </c>
      <c r="E829" s="1874">
        <f>IFERROR(CIQHI(MO.Ticker.CapIQ,"IQ_LASTSALEPRICE",INDEX(MO_SNA_FPStartDate,0,COLUMN()),INDEX(MO_Common_QEndDate,0,COLUMN())),"N/A")</f>
        <v/>
      </c>
      <c r="F829" s="1874">
        <f>IFERROR(CIQHI(MO.Ticker.CapIQ,"IQ_LASTSALEPRICE",INDEX(MO_SNA_FPStartDate,0,COLUMN()),INDEX(MO_Common_QEndDate,0,COLUMN())),"N/A")</f>
        <v/>
      </c>
      <c r="G829" s="1874">
        <f>IFERROR(CIQHI(MO.Ticker.CapIQ,"IQ_LASTSALEPRICE",INDEX(MO_SNA_FPStartDate,0,COLUMN()),INDEX(MO_Common_QEndDate,0,COLUMN())),"N/A")</f>
        <v/>
      </c>
      <c r="H829" s="1874">
        <f>IFERROR(CIQHI(MO.Ticker.CapIQ,"IQ_LASTSALEPRICE",INDEX(MO_SNA_FPStartDate,0,COLUMN()),INDEX(MO_Common_QEndDate,0,COLUMN())),"N/A")</f>
        <v/>
      </c>
      <c r="I829" s="1874">
        <f>IFERROR(CIQHI(MO.Ticker.CapIQ,"IQ_LASTSALEPRICE",INDEX(MO_SNA_FPStartDate,0,COLUMN()),INDEX(MO_Common_QEndDate,0,COLUMN())),"N/A")</f>
        <v/>
      </c>
      <c r="J829" s="1874">
        <f>IFERROR(CIQHI(MO.Ticker.CapIQ,"IQ_LASTSALEPRICE",INDEX(MO_SNA_FPStartDate,0,COLUMN()),INDEX(MO_Common_QEndDate,0,COLUMN())),"N/A")</f>
        <v/>
      </c>
      <c r="K829" s="1874">
        <f>IFERROR(CIQHI(MO.Ticker.CapIQ,"IQ_LASTSALEPRICE",INDEX(MO_SNA_FPStartDate,0,COLUMN()),INDEX(MO_Common_QEndDate,0,COLUMN())),"N/A")</f>
        <v/>
      </c>
      <c r="L829" s="1874">
        <f>IFERROR(CIQHI(MO.Ticker.CapIQ,"IQ_LASTSALEPRICE",INDEX(MO_SNA_FPStartDate,0,COLUMN()),INDEX(MO_Common_QEndDate,0,COLUMN())),"N/A")</f>
        <v/>
      </c>
      <c r="M829" s="1874">
        <f>IFERROR(CIQHI(MO.Ticker.CapIQ,"IQ_LASTSALEPRICE",INDEX(MO_SNA_FPStartDate,0,COLUMN()),INDEX(MO_Common_QEndDate,0,COLUMN())),"N/A")</f>
        <v/>
      </c>
      <c r="N829" s="1874">
        <f>IFERROR(CIQHI(MO.Ticker.CapIQ,"IQ_LASTSALEPRICE",INDEX(MO_SNA_FPStartDate,0,COLUMN()),INDEX(MO_Common_QEndDate,0,COLUMN())),"N/A")</f>
        <v/>
      </c>
      <c r="O829" s="1874">
        <f>IFERROR(CIQHI(MO.Ticker.CapIQ,"IQ_LASTSALEPRICE",INDEX(MO_SNA_FPStartDate,0,COLUMN()),INDEX(MO_Common_QEndDate,0,COLUMN())),"N/A")</f>
        <v/>
      </c>
      <c r="P829" s="1874">
        <f>IFERROR(CIQHI(MO.Ticker.CapIQ,"IQ_LASTSALEPRICE",INDEX(MO_SNA_FPStartDate,0,COLUMN()),INDEX(MO_Common_QEndDate,0,COLUMN())),"N/A")</f>
        <v/>
      </c>
      <c r="Q829" s="1874">
        <f>IFERROR(CIQHI(MO.Ticker.CapIQ,"IQ_LASTSALEPRICE",INDEX(MO_SNA_FPStartDate,0,COLUMN()),INDEX(MO_Common_QEndDate,0,COLUMN())),"N/A")</f>
        <v/>
      </c>
      <c r="R829" s="1874">
        <f>IFERROR(CIQHI(MO.Ticker.CapIQ,"IQ_LASTSALEPRICE",INDEX(MO_SNA_FPStartDate,0,COLUMN()),INDEX(MO_Common_QEndDate,0,COLUMN())),"N/A")</f>
        <v/>
      </c>
      <c r="S829" s="1874">
        <f>IFERROR(CIQHI(MO.Ticker.CapIQ,"IQ_LASTSALEPRICE",INDEX(MO_SNA_FPStartDate,0,COLUMN()),INDEX(MO_Common_QEndDate,0,COLUMN())),"N/A")</f>
        <v/>
      </c>
      <c r="T829" s="1874">
        <f>IFERROR(CIQHI(MO.Ticker.CapIQ,"IQ_LASTSALEPRICE",INDEX(MO_SNA_FPStartDate,0,COLUMN()),INDEX(MO_Common_QEndDate,0,COLUMN())),"N/A")</f>
        <v/>
      </c>
      <c r="U829" s="1874">
        <f>IFERROR(CIQHI(MO.Ticker.CapIQ,"IQ_LASTSALEPRICE",INDEX(MO_SNA_FPStartDate,0,COLUMN()),INDEX(MO_Common_QEndDate,0,COLUMN())),"N/A")</f>
        <v/>
      </c>
      <c r="V829" s="1874">
        <f>IFERROR(CIQHI(MO.Ticker.CapIQ,"IQ_LASTSALEPRICE",INDEX(MO_SNA_FPStartDate,0,COLUMN()),INDEX(MO_Common_QEndDate,0,COLUMN())),"N/A")</f>
        <v/>
      </c>
      <c r="W829" s="1874">
        <f>IFERROR(CIQHI(MO.Ticker.CapIQ,"IQ_LASTSALEPRICE",INDEX(MO_SNA_FPStartDate,0,COLUMN()),INDEX(MO_Common_QEndDate,0,COLUMN())),"N/A")</f>
        <v/>
      </c>
      <c r="X829" s="1874">
        <f>IFERROR(CIQHI(MO.Ticker.CapIQ,"IQ_LASTSALEPRICE",INDEX(MO_SNA_FPStartDate,0,COLUMN()),INDEX(MO_Common_QEndDate,0,COLUMN())),"N/A")</f>
        <v/>
      </c>
      <c r="Y829" s="1874">
        <f>IFERROR(CIQHI(MO.Ticker.CapIQ,"IQ_LASTSALEPRICE",INDEX(MO_SNA_FPStartDate,0,COLUMN()),INDEX(MO_Common_QEndDate,0,COLUMN())),"N/A")</f>
        <v/>
      </c>
      <c r="Z829" s="1874">
        <f>IFERROR(CIQHI(MO.Ticker.CapIQ,"IQ_LASTSALEPRICE",INDEX(MO_SNA_FPStartDate,0,COLUMN()),INDEX(MO_Common_QEndDate,0,COLUMN())),"N/A")</f>
        <v/>
      </c>
      <c r="AA829" s="1874">
        <f>IFERROR(CIQHI(MO.Ticker.CapIQ,"IQ_LASTSALEPRICE",INDEX(MO_SNA_FPStartDate,0,COLUMN()),INDEX(MO_Common_QEndDate,0,COLUMN())),"N/A")</f>
        <v/>
      </c>
      <c r="AB829" s="1874">
        <f>IFERROR(CIQHI(MO.Ticker.CapIQ,"IQ_LASTSALEPRICE",INDEX(MO_SNA_FPStartDate,0,COLUMN()),INDEX(MO_Common_QEndDate,0,COLUMN())),"N/A")</f>
        <v/>
      </c>
      <c r="AC829" s="1874">
        <f>IFERROR(CIQHI(MO.Ticker.CapIQ,"IQ_LASTSALEPRICE",INDEX(MO_SNA_FPStartDate,0,COLUMN()),INDEX(MO_Common_QEndDate,0,COLUMN())),"N/A")</f>
        <v/>
      </c>
      <c r="AD829" s="1874">
        <f>IFERROR(CIQHI(MO.Ticker.CapIQ,"IQ_LASTSALEPRICE",INDEX(MO_SNA_FPStartDate,0,COLUMN()),INDEX(MO_Common_QEndDate,0,COLUMN())),"N/A")</f>
        <v/>
      </c>
      <c r="AE829" s="1874">
        <f>IFERROR(CIQHI(MO.Ticker.CapIQ,"IQ_LASTSALEPRICE",INDEX(MO_SNA_FPStartDate,0,COLUMN()),INDEX(MO_Common_QEndDate,0,COLUMN())),"N/A")</f>
        <v/>
      </c>
      <c r="AF829" s="1874">
        <f>IFERROR(CIQHI(MO.Ticker.CapIQ,"IQ_LASTSALEPRICE",INDEX(MO_SNA_FPStartDate,0,COLUMN()),INDEX(MO_Common_QEndDate,0,COLUMN())),"N/A")</f>
        <v/>
      </c>
      <c r="AG829" s="1874">
        <f>IFERROR(CIQHI(MO.Ticker.CapIQ,"IQ_LASTSALEPRICE",INDEX(MO_SNA_FPStartDate,0,COLUMN()),INDEX(MO_Common_QEndDate,0,COLUMN())),"N/A")</f>
        <v/>
      </c>
      <c r="AH829" s="1874">
        <f>IFERROR(CIQHI(MO.Ticker.CapIQ,"IQ_LASTSALEPRICE",INDEX(MO_SNA_FPStartDate,0,COLUMN()),INDEX(MO_Common_QEndDate,0,COLUMN())),"N/A")</f>
        <v/>
      </c>
      <c r="AI829" s="1874">
        <f>IFERROR(CIQHI(MO.Ticker.CapIQ,"IQ_LASTSALEPRICE",INDEX(MO_SNA_FPStartDate,0,COLUMN()),INDEX(MO_Common_QEndDate,0,COLUMN())),"N/A")</f>
        <v/>
      </c>
      <c r="AJ829" s="1874">
        <f>IFERROR(CIQHI(MO.Ticker.CapIQ,"IQ_LASTSALEPRICE",INDEX(MO_SNA_FPStartDate,0,COLUMN()),INDEX(MO_Common_QEndDate,0,COLUMN())),"N/A")</f>
        <v/>
      </c>
      <c r="AK829" s="1969">
        <f>IFERROR(CIQHI(MO.Ticker.CapIQ,"IQ_LASTSALEPRICE",INDEX(MO_SNA_FPStartDate,0,COLUMN()),INDEX(MO_Common_QEndDate,0,COLUMN())),"N/A")</f>
        <v/>
      </c>
      <c r="AL829" s="1967">
        <f>IFERROR(CIQHI(MO.Ticker.CapIQ,"IQ_LASTSALEPRICE",INDEX(MO_SNA_FPStartDate,0,COLUMN()),INDEX(MO_Common_QEndDate,0,COLUMN())),"N/A")</f>
        <v/>
      </c>
      <c r="AM829" s="1967">
        <f>IFERROR(CIQHI(MO.Ticker.CapIQ,"IQ_LASTSALEPRICE",INDEX(MO_SNA_FPStartDate,0,COLUMN()),INDEX(MO_Common_QEndDate,0,COLUMN())),"N/A")</f>
        <v/>
      </c>
      <c r="AN829" s="1967">
        <f>IFERROR(CIQHI(MO.Ticker.CapIQ,"IQ_LASTSALEPRICE",INDEX(MO_SNA_FPStartDate,0,COLUMN()),INDEX(MO_Common_QEndDate,0,COLUMN())),"N/A")</f>
        <v/>
      </c>
      <c r="AO829" s="1967">
        <f>IFERROR(CIQHI(MO.Ticker.CapIQ,"IQ_LASTSALEPRICE",INDEX(MO_SNA_FPStartDate,0,COLUMN()),INDEX(MO_Common_QEndDate,0,COLUMN())),"N/A")</f>
        <v/>
      </c>
      <c r="AP829" s="1967">
        <f>IFERROR(CIQHI(MO.Ticker.CapIQ,"IQ_LASTSALEPRICE",INDEX(MO_SNA_FPStartDate,0,COLUMN()),INDEX(MO_Common_QEndDate,0,COLUMN())),"N/A")</f>
        <v/>
      </c>
      <c r="AQ829" s="1967">
        <f>IFERROR(CIQHI(MO.Ticker.CapIQ,"IQ_LASTSALEPRICE",INDEX(MO_SNA_FPStartDate,0,COLUMN()),INDEX(MO_Common_QEndDate,0,COLUMN())),"N/A")</f>
        <v/>
      </c>
      <c r="AR829" s="1967">
        <f>IFERROR(CIQHI(MO.Ticker.CapIQ,"IQ_LASTSALEPRICE",INDEX(MO_SNA_FPStartDate,0,COLUMN()),INDEX(MO_Common_QEndDate,0,COLUMN())),"N/A")</f>
        <v/>
      </c>
      <c r="AS829" s="1967">
        <f>IFERROR(CIQHI(MO.Ticker.CapIQ,"IQ_LASTSALEPRICE",INDEX(MO_SNA_FPStartDate,0,COLUMN()),INDEX(MO_Common_QEndDate,0,COLUMN())),"N/A")</f>
        <v/>
      </c>
      <c r="AT829" s="1967">
        <f>IFERROR(CIQHI(MO.Ticker.CapIQ,"IQ_LASTSALEPRICE",INDEX(MO_SNA_FPStartDate,0,COLUMN()),INDEX(MO_Common_QEndDate,0,COLUMN())),"N/A")</f>
        <v/>
      </c>
      <c r="AU829" s="1970">
        <f>IFERROR(CIQHI(MO.Ticker.CapIQ,"IQ_LASTSALEPRICE",INDEX(MO_SNA_FPStartDate,0,COLUMN()),INDEX(MO_Common_QEndDate,0,COLUMN())),"N/A")</f>
        <v/>
      </c>
      <c r="AV829" s="1874" t="n"/>
    </row>
    <row r="830" hidden="1" outlineLevel="1" ht="14.4" customFormat="1" customHeight="1" s="1867">
      <c r="A830" s="1971" t="inlineStr">
        <is>
          <t>FactSet</t>
        </is>
      </c>
      <c r="B830" s="1967" t="n"/>
      <c r="C830" s="1968">
        <f>IFERROR(FDS(MO.Ticker.FactSet,"P_PRICE_HIGH"&amp;"("&amp;INDEX(MO_SNA_FPStartDate,0,COLUMN())&amp;","&amp;INDEX(MO_Common_QEndDate,0,COLUMN())&amp;",,,,""PRICE"",""CLOSE"")"),"N/A")</f>
        <v/>
      </c>
      <c r="D830" s="1968">
        <f>IFERROR(FDS(MO.Ticker.FactSet,"P_PRICE_HIGH"&amp;"("&amp;INDEX(MO_SNA_FPStartDate,0,COLUMN())&amp;","&amp;INDEX(MO_Common_QEndDate,0,COLUMN())&amp;",,,,""PRICE"",""CLOSE"")"),"N/A")</f>
        <v/>
      </c>
      <c r="E830" s="1874">
        <f>IFERROR(FDS(MO.Ticker.FactSet,"P_PRICE_HIGH"&amp;"("&amp;INDEX(MO_SNA_FPStartDate,0,COLUMN())&amp;","&amp;INDEX(MO_Common_QEndDate,0,COLUMN())&amp;",,,,""PRICE"",""CLOSE"")"),"N/A")</f>
        <v/>
      </c>
      <c r="F830" s="1874">
        <f>IFERROR(FDS(MO.Ticker.FactSet,"P_PRICE_HIGH"&amp;"("&amp;INDEX(MO_SNA_FPStartDate,0,COLUMN())&amp;","&amp;INDEX(MO_Common_QEndDate,0,COLUMN())&amp;",,,,""PRICE"",""CLOSE"")"),"N/A")</f>
        <v/>
      </c>
      <c r="G830" s="1874">
        <f>IFERROR(FDS(MO.Ticker.FactSet,"P_PRICE_HIGH"&amp;"("&amp;INDEX(MO_SNA_FPStartDate,0,COLUMN())&amp;","&amp;INDEX(MO_Common_QEndDate,0,COLUMN())&amp;",,,,""PRICE"",""CLOSE"")"),"N/A")</f>
        <v/>
      </c>
      <c r="H830" s="1874">
        <f>IFERROR(FDS(MO.Ticker.FactSet,"P_PRICE_HIGH"&amp;"("&amp;INDEX(MO_SNA_FPStartDate,0,COLUMN())&amp;","&amp;INDEX(MO_Common_QEndDate,0,COLUMN())&amp;",,,,""PRICE"",""CLOSE"")"),"N/A")</f>
        <v/>
      </c>
      <c r="I830" s="1874">
        <f>IFERROR(FDS(MO.Ticker.FactSet,"P_PRICE_HIGH"&amp;"("&amp;INDEX(MO_SNA_FPStartDate,0,COLUMN())&amp;","&amp;INDEX(MO_Common_QEndDate,0,COLUMN())&amp;",,,,""PRICE"",""CLOSE"")"),"N/A")</f>
        <v/>
      </c>
      <c r="J830" s="1874">
        <f>IFERROR(FDS(MO.Ticker.FactSet,"P_PRICE_HIGH"&amp;"("&amp;INDEX(MO_SNA_FPStartDate,0,COLUMN())&amp;","&amp;INDEX(MO_Common_QEndDate,0,COLUMN())&amp;",,,,""PRICE"",""CLOSE"")"),"N/A")</f>
        <v/>
      </c>
      <c r="K830" s="1874">
        <f>IFERROR(FDS(MO.Ticker.FactSet,"P_PRICE_HIGH"&amp;"("&amp;INDEX(MO_SNA_FPStartDate,0,COLUMN())&amp;","&amp;INDEX(MO_Common_QEndDate,0,COLUMN())&amp;",,,,""PRICE"",""CLOSE"")"),"N/A")</f>
        <v/>
      </c>
      <c r="L830" s="1874">
        <f>IFERROR(FDS(MO.Ticker.FactSet,"P_PRICE_HIGH"&amp;"("&amp;INDEX(MO_SNA_FPStartDate,0,COLUMN())&amp;","&amp;INDEX(MO_Common_QEndDate,0,COLUMN())&amp;",,,,""PRICE"",""CLOSE"")"),"N/A")</f>
        <v/>
      </c>
      <c r="M830" s="1874">
        <f>IFERROR(FDS(MO.Ticker.FactSet,"P_PRICE_HIGH"&amp;"("&amp;INDEX(MO_SNA_FPStartDate,0,COLUMN())&amp;","&amp;INDEX(MO_Common_QEndDate,0,COLUMN())&amp;",,,,""PRICE"",""CLOSE"")"),"N/A")</f>
        <v/>
      </c>
      <c r="N830" s="1874">
        <f>IFERROR(FDS(MO.Ticker.FactSet,"P_PRICE_HIGH"&amp;"("&amp;INDEX(MO_SNA_FPStartDate,0,COLUMN())&amp;","&amp;INDEX(MO_Common_QEndDate,0,COLUMN())&amp;",,,,""PRICE"",""CLOSE"")"),"N/A")</f>
        <v/>
      </c>
      <c r="O830" s="1874">
        <f>IFERROR(FDS(MO.Ticker.FactSet,"P_PRICE_HIGH"&amp;"("&amp;INDEX(MO_SNA_FPStartDate,0,COLUMN())&amp;","&amp;INDEX(MO_Common_QEndDate,0,COLUMN())&amp;",,,,""PRICE"",""CLOSE"")"),"N/A")</f>
        <v/>
      </c>
      <c r="P830" s="1874">
        <f>IFERROR(FDS(MO.Ticker.FactSet,"P_PRICE_HIGH"&amp;"("&amp;INDEX(MO_SNA_FPStartDate,0,COLUMN())&amp;","&amp;INDEX(MO_Common_QEndDate,0,COLUMN())&amp;",,,,""PRICE"",""CLOSE"")"),"N/A")</f>
        <v/>
      </c>
      <c r="Q830" s="1874">
        <f>IFERROR(FDS(MO.Ticker.FactSet,"P_PRICE_HIGH"&amp;"("&amp;INDEX(MO_SNA_FPStartDate,0,COLUMN())&amp;","&amp;INDEX(MO_Common_QEndDate,0,COLUMN())&amp;",,,,""PRICE"",""CLOSE"")"),"N/A")</f>
        <v/>
      </c>
      <c r="R830" s="1874">
        <f>IFERROR(FDS(MO.Ticker.FactSet,"P_PRICE_HIGH"&amp;"("&amp;INDEX(MO_SNA_FPStartDate,0,COLUMN())&amp;","&amp;INDEX(MO_Common_QEndDate,0,COLUMN())&amp;",,,,""PRICE"",""CLOSE"")"),"N/A")</f>
        <v/>
      </c>
      <c r="S830" s="1874">
        <f>IFERROR(FDS(MO.Ticker.FactSet,"P_PRICE_HIGH"&amp;"("&amp;INDEX(MO_SNA_FPStartDate,0,COLUMN())&amp;","&amp;INDEX(MO_Common_QEndDate,0,COLUMN())&amp;",,,,""PRICE"",""CLOSE"")"),"N/A")</f>
        <v/>
      </c>
      <c r="T830" s="1874">
        <f>IFERROR(FDS(MO.Ticker.FactSet,"P_PRICE_HIGH"&amp;"("&amp;INDEX(MO_SNA_FPStartDate,0,COLUMN())&amp;","&amp;INDEX(MO_Common_QEndDate,0,COLUMN())&amp;",,,,""PRICE"",""CLOSE"")"),"N/A")</f>
        <v/>
      </c>
      <c r="U830" s="1874">
        <f>IFERROR(FDS(MO.Ticker.FactSet,"P_PRICE_HIGH"&amp;"("&amp;INDEX(MO_SNA_FPStartDate,0,COLUMN())&amp;","&amp;INDEX(MO_Common_QEndDate,0,COLUMN())&amp;",,,,""PRICE"",""CLOSE"")"),"N/A")</f>
        <v/>
      </c>
      <c r="V830" s="1874">
        <f>IFERROR(FDS(MO.Ticker.FactSet,"P_PRICE_HIGH"&amp;"("&amp;INDEX(MO_SNA_FPStartDate,0,COLUMN())&amp;","&amp;INDEX(MO_Common_QEndDate,0,COLUMN())&amp;",,,,""PRICE"",""CLOSE"")"),"N/A")</f>
        <v/>
      </c>
      <c r="W830" s="1874">
        <f>IFERROR(FDS(MO.Ticker.FactSet,"P_PRICE_HIGH"&amp;"("&amp;INDEX(MO_SNA_FPStartDate,0,COLUMN())&amp;","&amp;INDEX(MO_Common_QEndDate,0,COLUMN())&amp;",,,,""PRICE"",""CLOSE"")"),"N/A")</f>
        <v/>
      </c>
      <c r="X830" s="1874">
        <f>IFERROR(FDS(MO.Ticker.FactSet,"P_PRICE_HIGH"&amp;"("&amp;INDEX(MO_SNA_FPStartDate,0,COLUMN())&amp;","&amp;INDEX(MO_Common_QEndDate,0,COLUMN())&amp;",,,,""PRICE"",""CLOSE"")"),"N/A")</f>
        <v/>
      </c>
      <c r="Y830" s="1874">
        <f>IFERROR(FDS(MO.Ticker.FactSet,"P_PRICE_HIGH"&amp;"("&amp;INDEX(MO_SNA_FPStartDate,0,COLUMN())&amp;","&amp;INDEX(MO_Common_QEndDate,0,COLUMN())&amp;",,,,""PRICE"",""CLOSE"")"),"N/A")</f>
        <v/>
      </c>
      <c r="Z830" s="1874">
        <f>IFERROR(FDS(MO.Ticker.FactSet,"P_PRICE_HIGH"&amp;"("&amp;INDEX(MO_SNA_FPStartDate,0,COLUMN())&amp;","&amp;INDEX(MO_Common_QEndDate,0,COLUMN())&amp;",,,,""PRICE"",""CLOSE"")"),"N/A")</f>
        <v/>
      </c>
      <c r="AA830" s="1874">
        <f>IFERROR(FDS(MO.Ticker.FactSet,"P_PRICE_HIGH"&amp;"("&amp;INDEX(MO_SNA_FPStartDate,0,COLUMN())&amp;","&amp;INDEX(MO_Common_QEndDate,0,COLUMN())&amp;",,,,""PRICE"",""CLOSE"")"),"N/A")</f>
        <v/>
      </c>
      <c r="AB830" s="1874">
        <f>IFERROR(FDS(MO.Ticker.FactSet,"P_PRICE_HIGH"&amp;"("&amp;INDEX(MO_SNA_FPStartDate,0,COLUMN())&amp;","&amp;INDEX(MO_Common_QEndDate,0,COLUMN())&amp;",,,,""PRICE"",""CLOSE"")"),"N/A")</f>
        <v/>
      </c>
      <c r="AC830" s="1874">
        <f>IFERROR(FDS(MO.Ticker.FactSet,"P_PRICE_HIGH"&amp;"("&amp;INDEX(MO_SNA_FPStartDate,0,COLUMN())&amp;","&amp;INDEX(MO_Common_QEndDate,0,COLUMN())&amp;",,,,""PRICE"",""CLOSE"")"),"N/A")</f>
        <v/>
      </c>
      <c r="AD830" s="1874">
        <f>IFERROR(FDS(MO.Ticker.FactSet,"P_PRICE_HIGH"&amp;"("&amp;INDEX(MO_SNA_FPStartDate,0,COLUMN())&amp;","&amp;INDEX(MO_Common_QEndDate,0,COLUMN())&amp;",,,,""PRICE"",""CLOSE"")"),"N/A")</f>
        <v/>
      </c>
      <c r="AE830" s="1874">
        <f>IFERROR(FDS(MO.Ticker.FactSet,"P_PRICE_HIGH"&amp;"("&amp;INDEX(MO_SNA_FPStartDate,0,COLUMN())&amp;","&amp;INDEX(MO_Common_QEndDate,0,COLUMN())&amp;",,,,""PRICE"",""CLOSE"")"),"N/A")</f>
        <v/>
      </c>
      <c r="AF830" s="1874">
        <f>IFERROR(FDS(MO.Ticker.FactSet,"P_PRICE_HIGH"&amp;"("&amp;INDEX(MO_SNA_FPStartDate,0,COLUMN())&amp;","&amp;INDEX(MO_Common_QEndDate,0,COLUMN())&amp;",,,,""PRICE"",""CLOSE"")"),"N/A")</f>
        <v/>
      </c>
      <c r="AG830" s="1874">
        <f>IFERROR(FDS(MO.Ticker.FactSet,"P_PRICE_HIGH"&amp;"("&amp;INDEX(MO_SNA_FPStartDate,0,COLUMN())&amp;","&amp;INDEX(MO_Common_QEndDate,0,COLUMN())&amp;",,,,""PRICE"",""CLOSE"")"),"N/A")</f>
        <v/>
      </c>
      <c r="AH830" s="1874">
        <f>IFERROR(FDS(MO.Ticker.FactSet,"P_PRICE_HIGH"&amp;"("&amp;INDEX(MO_SNA_FPStartDate,0,COLUMN())&amp;","&amp;INDEX(MO_Common_QEndDate,0,COLUMN())&amp;",,,,""PRICE"",""CLOSE"")"),"N/A")</f>
        <v/>
      </c>
      <c r="AI830" s="1874">
        <f>IFERROR(FDS(MO.Ticker.FactSet,"P_PRICE_HIGH"&amp;"("&amp;INDEX(MO_SNA_FPStartDate,0,COLUMN())&amp;","&amp;INDEX(MO_Common_QEndDate,0,COLUMN())&amp;",,,,""PRICE"",""CLOSE"")"),"N/A")</f>
        <v/>
      </c>
      <c r="AJ830" s="1874">
        <f>IFERROR(FDS(MO.Ticker.FactSet,"P_PRICE_HIGH"&amp;"("&amp;INDEX(MO_SNA_FPStartDate,0,COLUMN())&amp;","&amp;INDEX(MO_Common_QEndDate,0,COLUMN())&amp;",,,,""PRICE"",""CLOSE"")"),"N/A")</f>
        <v/>
      </c>
      <c r="AK830" s="1969">
        <f>IFERROR(FDS(MO.Ticker.FactSet,"P_PRICE_HIGH"&amp;"("&amp;INDEX(MO_SNA_FPStartDate,0,COLUMN())&amp;","&amp;INDEX(MO_Common_QEndDate,0,COLUMN())&amp;",,,,""PRICE"",""CLOSE"")"),"N/A")</f>
        <v/>
      </c>
      <c r="AL830" s="1967">
        <f>IFERROR(FDS(MO.Ticker.FactSet,"P_PRICE_HIGH"&amp;"("&amp;INDEX(MO_SNA_FPStartDate,0,COLUMN())&amp;","&amp;INDEX(MO_Common_QEndDate,0,COLUMN())&amp;",,,,""PRICE"",""CLOSE"")"),"N/A")</f>
        <v/>
      </c>
      <c r="AM830" s="1967">
        <f>IFERROR(FDS(MO.Ticker.FactSet,"P_PRICE_HIGH"&amp;"("&amp;INDEX(MO_SNA_FPStartDate,0,COLUMN())&amp;","&amp;INDEX(MO_Common_QEndDate,0,COLUMN())&amp;",,,,""PRICE"",""CLOSE"")"),"N/A")</f>
        <v/>
      </c>
      <c r="AN830" s="1967">
        <f>IFERROR(FDS(MO.Ticker.FactSet,"P_PRICE_HIGH"&amp;"("&amp;INDEX(MO_SNA_FPStartDate,0,COLUMN())&amp;","&amp;INDEX(MO_Common_QEndDate,0,COLUMN())&amp;",,,,""PRICE"",""CLOSE"")"),"N/A")</f>
        <v/>
      </c>
      <c r="AO830" s="1967">
        <f>IFERROR(FDS(MO.Ticker.FactSet,"P_PRICE_HIGH"&amp;"("&amp;INDEX(MO_SNA_FPStartDate,0,COLUMN())&amp;","&amp;INDEX(MO_Common_QEndDate,0,COLUMN())&amp;",,,,""PRICE"",""CLOSE"")"),"N/A")</f>
        <v/>
      </c>
      <c r="AP830" s="1967">
        <f>IFERROR(FDS(MO.Ticker.FactSet,"P_PRICE_HIGH"&amp;"("&amp;INDEX(MO_SNA_FPStartDate,0,COLUMN())&amp;","&amp;INDEX(MO_Common_QEndDate,0,COLUMN())&amp;",,,,""PRICE"",""CLOSE"")"),"N/A")</f>
        <v/>
      </c>
      <c r="AQ830" s="1967">
        <f>IFERROR(FDS(MO.Ticker.FactSet,"P_PRICE_HIGH"&amp;"("&amp;INDEX(MO_SNA_FPStartDate,0,COLUMN())&amp;","&amp;INDEX(MO_Common_QEndDate,0,COLUMN())&amp;",,,,""PRICE"",""CLOSE"")"),"N/A")</f>
        <v/>
      </c>
      <c r="AR830" s="1967">
        <f>IFERROR(FDS(MO.Ticker.FactSet,"P_PRICE_HIGH"&amp;"("&amp;INDEX(MO_SNA_FPStartDate,0,COLUMN())&amp;","&amp;INDEX(MO_Common_QEndDate,0,COLUMN())&amp;",,,,""PRICE"",""CLOSE"")"),"N/A")</f>
        <v/>
      </c>
      <c r="AS830" s="1967">
        <f>IFERROR(FDS(MO.Ticker.FactSet,"P_PRICE_HIGH"&amp;"("&amp;INDEX(MO_SNA_FPStartDate,0,COLUMN())&amp;","&amp;INDEX(MO_Common_QEndDate,0,COLUMN())&amp;",,,,""PRICE"",""CLOSE"")"),"N/A")</f>
        <v/>
      </c>
      <c r="AT830" s="1967">
        <f>IFERROR(FDS(MO.Ticker.FactSet,"P_PRICE_HIGH"&amp;"("&amp;INDEX(MO_SNA_FPStartDate,0,COLUMN())&amp;","&amp;INDEX(MO_Common_QEndDate,0,COLUMN())&amp;",,,,""PRICE"",""CLOSE"")"),"N/A")</f>
        <v/>
      </c>
      <c r="AU830" s="1970">
        <f>IFERROR(FDS(MO.Ticker.FactSet,"P_PRICE_HIGH"&amp;"("&amp;INDEX(MO_SNA_FPStartDate,0,COLUMN())&amp;","&amp;INDEX(MO_Common_QEndDate,0,COLUMN())&amp;",,,,""PRICE"",""CLOSE"")"),"N/A")</f>
        <v/>
      </c>
      <c r="AV830" s="1874" t="n"/>
    </row>
    <row r="831" hidden="1" outlineLevel="1" ht="14.4" customFormat="1" customHeight="1" s="1867">
      <c r="A831" s="1971" t="inlineStr">
        <is>
          <t>Refinitiv</t>
        </is>
      </c>
      <c r="B831" s="1967" t="n"/>
      <c r="C831" s="1968">
        <f>IFERROR(_xll.TR(MO.Ticker.Thomson,"MAX(TR.Pricehigh)","sdate:#1 edate:#2",,INDEX(MO_SNA_FPStartDate,0,COLUMN()),INDEX(MO_Common_QEndDate,0,COLUMN())),"N/A")</f>
        <v/>
      </c>
      <c r="D831" s="1968">
        <f>IFERROR(_xll.TR(MO.Ticker.Thomson,"MAX(TR.Pricehigh)","sdate:#1 edate:#2",,INDEX(MO_SNA_FPStartDate,0,COLUMN()),INDEX(MO_Common_QEndDate,0,COLUMN())),"N/A")</f>
        <v/>
      </c>
      <c r="E831" s="1874">
        <f>IFERROR(_xll.TR(MO.Ticker.Thomson,"MAX(TR.Pricehigh)","sdate:#1 edate:#2",,INDEX(MO_SNA_FPStartDate,0,COLUMN()),INDEX(MO_Common_QEndDate,0,COLUMN())),"N/A")</f>
        <v/>
      </c>
      <c r="F831" s="1874">
        <f>IFERROR(_xll.TR(MO.Ticker.Thomson,"MAX(TR.Pricehigh)","sdate:#1 edate:#2",,INDEX(MO_SNA_FPStartDate,0,COLUMN()),INDEX(MO_Common_QEndDate,0,COLUMN())),"N/A")</f>
        <v/>
      </c>
      <c r="G831" s="1874">
        <f>IFERROR(_xll.TR(MO.Ticker.Thomson,"MAX(TR.Pricehigh)","sdate:#1 edate:#2",,INDEX(MO_SNA_FPStartDate,0,COLUMN()),INDEX(MO_Common_QEndDate,0,COLUMN())),"N/A")</f>
        <v/>
      </c>
      <c r="H831" s="1874">
        <f>IFERROR(_xll.TR(MO.Ticker.Thomson,"MAX(TR.Pricehigh)","sdate:#1 edate:#2",,INDEX(MO_SNA_FPStartDate,0,COLUMN()),INDEX(MO_Common_QEndDate,0,COLUMN())),"N/A")</f>
        <v/>
      </c>
      <c r="I831" s="1874">
        <f>IFERROR(_xll.TR(MO.Ticker.Thomson,"MAX(TR.Pricehigh)","sdate:#1 edate:#2",,INDEX(MO_SNA_FPStartDate,0,COLUMN()),INDEX(MO_Common_QEndDate,0,COLUMN())),"N/A")</f>
        <v/>
      </c>
      <c r="J831" s="1874">
        <f>IFERROR(_xll.TR(MO.Ticker.Thomson,"MAX(TR.Pricehigh)","sdate:#1 edate:#2",,INDEX(MO_SNA_FPStartDate,0,COLUMN()),INDEX(MO_Common_QEndDate,0,COLUMN())),"N/A")</f>
        <v/>
      </c>
      <c r="K831" s="1874">
        <f>IFERROR(_xll.TR(MO.Ticker.Thomson,"MAX(TR.Pricehigh)","sdate:#1 edate:#2",,INDEX(MO_SNA_FPStartDate,0,COLUMN()),INDEX(MO_Common_QEndDate,0,COLUMN())),"N/A")</f>
        <v/>
      </c>
      <c r="L831" s="1874">
        <f>IFERROR(_xll.TR(MO.Ticker.Thomson,"MAX(TR.Pricehigh)","sdate:#1 edate:#2",,INDEX(MO_SNA_FPStartDate,0,COLUMN()),INDEX(MO_Common_QEndDate,0,COLUMN())),"N/A")</f>
        <v/>
      </c>
      <c r="M831" s="1874">
        <f>IFERROR(_xll.TR(MO.Ticker.Thomson,"MAX(TR.Pricehigh)","sdate:#1 edate:#2",,INDEX(MO_SNA_FPStartDate,0,COLUMN()),INDEX(MO_Common_QEndDate,0,COLUMN())),"N/A")</f>
        <v/>
      </c>
      <c r="N831" s="1874">
        <f>IFERROR(_xll.TR(MO.Ticker.Thomson,"MAX(TR.Pricehigh)","sdate:#1 edate:#2",,INDEX(MO_SNA_FPStartDate,0,COLUMN()),INDEX(MO_Common_QEndDate,0,COLUMN())),"N/A")</f>
        <v/>
      </c>
      <c r="O831" s="1874">
        <f>IFERROR(_xll.TR(MO.Ticker.Thomson,"MAX(TR.Pricehigh)","sdate:#1 edate:#2",,INDEX(MO_SNA_FPStartDate,0,COLUMN()),INDEX(MO_Common_QEndDate,0,COLUMN())),"N/A")</f>
        <v/>
      </c>
      <c r="P831" s="1874">
        <f>IFERROR(_xll.TR(MO.Ticker.Thomson,"MAX(TR.Pricehigh)","sdate:#1 edate:#2",,INDEX(MO_SNA_FPStartDate,0,COLUMN()),INDEX(MO_Common_QEndDate,0,COLUMN())),"N/A")</f>
        <v/>
      </c>
      <c r="Q831" s="1874">
        <f>IFERROR(_xll.TR(MO.Ticker.Thomson,"MAX(TR.Pricehigh)","sdate:#1 edate:#2",,INDEX(MO_SNA_FPStartDate,0,COLUMN()),INDEX(MO_Common_QEndDate,0,COLUMN())),"N/A")</f>
        <v/>
      </c>
      <c r="R831" s="1874">
        <f>IFERROR(_xll.TR(MO.Ticker.Thomson,"MAX(TR.Pricehigh)","sdate:#1 edate:#2",,INDEX(MO_SNA_FPStartDate,0,COLUMN()),INDEX(MO_Common_QEndDate,0,COLUMN())),"N/A")</f>
        <v/>
      </c>
      <c r="S831" s="1874">
        <f>IFERROR(_xll.TR(MO.Ticker.Thomson,"MAX(TR.Pricehigh)","sdate:#1 edate:#2",,INDEX(MO_SNA_FPStartDate,0,COLUMN()),INDEX(MO_Common_QEndDate,0,COLUMN())),"N/A")</f>
        <v/>
      </c>
      <c r="T831" s="1874">
        <f>IFERROR(_xll.TR(MO.Ticker.Thomson,"MAX(TR.Pricehigh)","sdate:#1 edate:#2",,INDEX(MO_SNA_FPStartDate,0,COLUMN()),INDEX(MO_Common_QEndDate,0,COLUMN())),"N/A")</f>
        <v/>
      </c>
      <c r="U831" s="1874">
        <f>IFERROR(_xll.TR(MO.Ticker.Thomson,"MAX(TR.Pricehigh)","sdate:#1 edate:#2",,INDEX(MO_SNA_FPStartDate,0,COLUMN()),INDEX(MO_Common_QEndDate,0,COLUMN())),"N/A")</f>
        <v/>
      </c>
      <c r="V831" s="1874">
        <f>IFERROR(_xll.TR(MO.Ticker.Thomson,"MAX(TR.Pricehigh)","sdate:#1 edate:#2",,INDEX(MO_SNA_FPStartDate,0,COLUMN()),INDEX(MO_Common_QEndDate,0,COLUMN())),"N/A")</f>
        <v/>
      </c>
      <c r="W831" s="1874">
        <f>IFERROR(_xll.TR(MO.Ticker.Thomson,"MAX(TR.Pricehigh)","sdate:#1 edate:#2",,INDEX(MO_SNA_FPStartDate,0,COLUMN()),INDEX(MO_Common_QEndDate,0,COLUMN())),"N/A")</f>
        <v/>
      </c>
      <c r="X831" s="1874">
        <f>IFERROR(_xll.TR(MO.Ticker.Thomson,"MAX(TR.Pricehigh)","sdate:#1 edate:#2",,INDEX(MO_SNA_FPStartDate,0,COLUMN()),INDEX(MO_Common_QEndDate,0,COLUMN())),"N/A")</f>
        <v/>
      </c>
      <c r="Y831" s="1874">
        <f>IFERROR(_xll.TR(MO.Ticker.Thomson,"MAX(TR.Pricehigh)","sdate:#1 edate:#2",,INDEX(MO_SNA_FPStartDate,0,COLUMN()),INDEX(MO_Common_QEndDate,0,COLUMN())),"N/A")</f>
        <v/>
      </c>
      <c r="Z831" s="1874">
        <f>IFERROR(_xll.TR(MO.Ticker.Thomson,"MAX(TR.Pricehigh)","sdate:#1 edate:#2",,INDEX(MO_SNA_FPStartDate,0,COLUMN()),INDEX(MO_Common_QEndDate,0,COLUMN())),"N/A")</f>
        <v/>
      </c>
      <c r="AA831" s="1874">
        <f>IFERROR(_xll.TR(MO.Ticker.Thomson,"MAX(TR.Pricehigh)","sdate:#1 edate:#2",,INDEX(MO_SNA_FPStartDate,0,COLUMN()),INDEX(MO_Common_QEndDate,0,COLUMN())),"N/A")</f>
        <v/>
      </c>
      <c r="AB831" s="1874">
        <f>IFERROR(_xll.TR(MO.Ticker.Thomson,"MAX(TR.Pricehigh)","sdate:#1 edate:#2",,INDEX(MO_SNA_FPStartDate,0,COLUMN()),INDEX(MO_Common_QEndDate,0,COLUMN())),"N/A")</f>
        <v/>
      </c>
      <c r="AC831" s="1874">
        <f>IFERROR(_xll.TR(MO.Ticker.Thomson,"MAX(TR.Pricehigh)","sdate:#1 edate:#2",,INDEX(MO_SNA_FPStartDate,0,COLUMN()),INDEX(MO_Common_QEndDate,0,COLUMN())),"N/A")</f>
        <v/>
      </c>
      <c r="AD831" s="1874">
        <f>IFERROR(_xll.TR(MO.Ticker.Thomson,"MAX(TR.Pricehigh)","sdate:#1 edate:#2",,INDEX(MO_SNA_FPStartDate,0,COLUMN()),INDEX(MO_Common_QEndDate,0,COLUMN())),"N/A")</f>
        <v/>
      </c>
      <c r="AE831" s="1874">
        <f>IFERROR(_xll.TR(MO.Ticker.Thomson,"MAX(TR.Pricehigh)","sdate:#1 edate:#2",,INDEX(MO_SNA_FPStartDate,0,COLUMN()),INDEX(MO_Common_QEndDate,0,COLUMN())),"N/A")</f>
        <v/>
      </c>
      <c r="AF831" s="1874">
        <f>IFERROR(_xll.TR(MO.Ticker.Thomson,"MAX(TR.Pricehigh)","sdate:#1 edate:#2",,INDEX(MO_SNA_FPStartDate,0,COLUMN()),INDEX(MO_Common_QEndDate,0,COLUMN())),"N/A")</f>
        <v/>
      </c>
      <c r="AG831" s="1874">
        <f>IFERROR(_xll.TR(MO.Ticker.Thomson,"MAX(TR.Pricehigh)","sdate:#1 edate:#2",,INDEX(MO_SNA_FPStartDate,0,COLUMN()),INDEX(MO_Common_QEndDate,0,COLUMN())),"N/A")</f>
        <v/>
      </c>
      <c r="AH831" s="1874">
        <f>IFERROR(_xll.TR(MO.Ticker.Thomson,"MAX(TR.Pricehigh)","sdate:#1 edate:#2",,INDEX(MO_SNA_FPStartDate,0,COLUMN()),INDEX(MO_Common_QEndDate,0,COLUMN())),"N/A")</f>
        <v/>
      </c>
      <c r="AI831" s="1874">
        <f>IFERROR(_xll.TR(MO.Ticker.Thomson,"MAX(TR.Pricehigh)","sdate:#1 edate:#2",,INDEX(MO_SNA_FPStartDate,0,COLUMN()),INDEX(MO_Common_QEndDate,0,COLUMN())),"N/A")</f>
        <v/>
      </c>
      <c r="AJ831" s="1874">
        <f>IFERROR(_xll.TR(MO.Ticker.Thomson,"MAX(TR.Pricehigh)","sdate:#1 edate:#2",,INDEX(MO_SNA_FPStartDate,0,COLUMN()),INDEX(MO_Common_QEndDate,0,COLUMN())),"N/A")</f>
        <v/>
      </c>
      <c r="AK831" s="1969">
        <f>IFERROR(_xll.TR(MO.Ticker.Thomson,"MAX(TR.Pricehigh)","sdate:#1 edate:#2",,INDEX(MO_SNA_FPStartDate,0,COLUMN()),INDEX(MO_Common_QEndDate,0,COLUMN())),"N/A")</f>
        <v/>
      </c>
      <c r="AL831" s="1967">
        <f>IFERROR(_xll.TR(MO.Ticker.Thomson,"MAX(TR.Pricehigh)","sdate:#1 edate:#2",,INDEX(MO_SNA_FPStartDate,0,COLUMN()),INDEX(MO_Common_QEndDate,0,COLUMN())),"N/A")</f>
        <v/>
      </c>
      <c r="AM831" s="1967">
        <f>IFERROR(_xll.TR(MO.Ticker.Thomson,"MAX(TR.Pricehigh)","sdate:#1 edate:#2",,INDEX(MO_SNA_FPStartDate,0,COLUMN()),INDEX(MO_Common_QEndDate,0,COLUMN())),"N/A")</f>
        <v/>
      </c>
      <c r="AN831" s="1967">
        <f>IFERROR(_xll.TR(MO.Ticker.Thomson,"MAX(TR.Pricehigh)","sdate:#1 edate:#2",,INDEX(MO_SNA_FPStartDate,0,COLUMN()),INDEX(MO_Common_QEndDate,0,COLUMN())),"N/A")</f>
        <v/>
      </c>
      <c r="AO831" s="1967">
        <f>IFERROR(_xll.TR(MO.Ticker.Thomson,"MAX(TR.Pricehigh)","sdate:#1 edate:#2",,INDEX(MO_SNA_FPStartDate,0,COLUMN()),INDEX(MO_Common_QEndDate,0,COLUMN())),"N/A")</f>
        <v/>
      </c>
      <c r="AP831" s="1967">
        <f>IFERROR(_xll.TR(MO.Ticker.Thomson,"MAX(TR.Pricehigh)","sdate:#1 edate:#2",,INDEX(MO_SNA_FPStartDate,0,COLUMN()),INDEX(MO_Common_QEndDate,0,COLUMN())),"N/A")</f>
        <v/>
      </c>
      <c r="AQ831" s="1967">
        <f>IFERROR(_xll.TR(MO.Ticker.Thomson,"MAX(TR.Pricehigh)","sdate:#1 edate:#2",,INDEX(MO_SNA_FPStartDate,0,COLUMN()),INDEX(MO_Common_QEndDate,0,COLUMN())),"N/A")</f>
        <v/>
      </c>
      <c r="AR831" s="1967">
        <f>IFERROR(_xll.TR(MO.Ticker.Thomson,"MAX(TR.Pricehigh)","sdate:#1 edate:#2",,INDEX(MO_SNA_FPStartDate,0,COLUMN()),INDEX(MO_Common_QEndDate,0,COLUMN())),"N/A")</f>
        <v/>
      </c>
      <c r="AS831" s="1967">
        <f>IFERROR(_xll.TR(MO.Ticker.Thomson,"MAX(TR.Pricehigh)","sdate:#1 edate:#2",,INDEX(MO_SNA_FPStartDate,0,COLUMN()),INDEX(MO_Common_QEndDate,0,COLUMN())),"N/A")</f>
        <v/>
      </c>
      <c r="AT831" s="1967">
        <f>IFERROR(_xll.TR(MO.Ticker.Thomson,"MAX(TR.Pricehigh)","sdate:#1 edate:#2",,INDEX(MO_SNA_FPStartDate,0,COLUMN()),INDEX(MO_Common_QEndDate,0,COLUMN())),"N/A")</f>
        <v/>
      </c>
      <c r="AU831" s="1970">
        <f>IFERROR(_xll.TR(MO.Ticker.Thomson,"MAX(TR.Pricehigh)","sdate:#1 edate:#2",,INDEX(MO_SNA_FPStartDate,0,COLUMN()),INDEX(MO_Common_QEndDate,0,COLUMN())),"N/A")</f>
        <v/>
      </c>
      <c r="AV831" s="1874" t="n"/>
    </row>
    <row r="832" hidden="1" outlineLevel="1" ht="14.4" customFormat="1" customHeight="1" s="1418">
      <c r="A832" s="1975" t="n"/>
      <c r="B832" s="1420" t="n"/>
      <c r="C832" s="1919" t="n"/>
      <c r="D832" s="1919" t="n"/>
      <c r="E832" s="1420" t="n"/>
      <c r="F832" s="1420" t="n"/>
      <c r="G832" s="1420" t="n"/>
      <c r="H832" s="1420" t="n"/>
      <c r="I832" s="1420" t="n"/>
      <c r="J832" s="1420" t="n"/>
      <c r="K832" s="1420" t="n"/>
      <c r="L832" s="1420" t="n"/>
      <c r="M832" s="1420" t="n"/>
      <c r="N832" s="1420" t="n"/>
      <c r="O832" s="1420" t="n"/>
      <c r="P832" s="1420" t="n"/>
      <c r="Q832" s="1420" t="n"/>
      <c r="R832" s="1420" t="n"/>
      <c r="S832" s="1420" t="n"/>
      <c r="T832" s="1420" t="n"/>
      <c r="U832" s="1420" t="n"/>
      <c r="V832" s="1420" t="n"/>
      <c r="W832" s="1420" t="n"/>
      <c r="X832" s="1420" t="n"/>
      <c r="Y832" s="1420" t="n"/>
      <c r="Z832" s="1420" t="n"/>
      <c r="AA832" s="1420" t="n"/>
      <c r="AB832" s="1420" t="n"/>
      <c r="AC832" s="1420" t="n"/>
      <c r="AD832" s="1420" t="n"/>
      <c r="AE832" s="1420" t="n"/>
      <c r="AF832" s="1420" t="n"/>
      <c r="AG832" s="1420" t="n"/>
      <c r="AH832" s="1420" t="n"/>
      <c r="AI832" s="1420" t="n"/>
      <c r="AJ832" s="1420" t="n"/>
      <c r="AK832" s="1421" t="n"/>
      <c r="AL832" s="1420" t="n"/>
      <c r="AM832" s="1420" t="n"/>
      <c r="AN832" s="1420" t="n"/>
      <c r="AO832" s="1420" t="n"/>
      <c r="AP832" s="1420" t="n"/>
      <c r="AQ832" s="1420" t="n"/>
      <c r="AR832" s="1420" t="n"/>
      <c r="AS832" s="1420" t="n"/>
      <c r="AT832" s="1420" t="n"/>
      <c r="AU832" s="1976" t="n"/>
      <c r="AV832" s="1422" t="n"/>
    </row>
    <row r="833" collapsed="1" ht="14.4" customFormat="1" customHeight="1" s="1867">
      <c r="A833" s="1966">
        <f>"Stock Low: "&amp;IF(OR(MO.RealTimeStockPriceToggle=FALSE,VLOOKUP(MO.DataSourceName,MO_SPT_StockLow_Sources,COLUMN()+2,FALSE)="N/A"),"Real-Time Off Source",MO.DataSourceName)</f>
        <v/>
      </c>
      <c r="B833" s="1967" t="n"/>
      <c r="C833" s="1968">
        <f>IF(OR(MO.RealTimeStockPriceToggle=FALSE,VLOOKUP(MO.DataSourceName,MO_SPT_StockLow_Sources,COLUMN(),FALSE)="N/A"),VLOOKUP("Real-Time Off Source",MO_SPT_StockLow_Sources,COLUMN(),FALSE),VLOOKUP(MO.DataSourceName,MO_SPT_StockLow_Sources,COLUMN(),FALSE))</f>
        <v/>
      </c>
      <c r="D833" s="1968">
        <f>IF(OR(MO.RealTimeStockPriceToggle=FALSE,VLOOKUP(MO.DataSourceName,MO_SPT_StockLow_Sources,COLUMN(),FALSE)="N/A"),VLOOKUP("Real-Time Off Source",MO_SPT_StockLow_Sources,COLUMN(),FALSE),VLOOKUP(MO.DataSourceName,MO_SPT_StockLow_Sources,COLUMN(),FALSE))</f>
        <v/>
      </c>
      <c r="E833" s="1874">
        <f>IF(OR(MO.RealTimeStockPriceToggle=FALSE,VLOOKUP(MO.DataSourceName,MO_SPT_StockLow_Sources,COLUMN(),FALSE)="N/A"),VLOOKUP("Real-Time Off Source",MO_SPT_StockLow_Sources,COLUMN(),FALSE),VLOOKUP(MO.DataSourceName,MO_SPT_StockLow_Sources,COLUMN(),FALSE))</f>
        <v/>
      </c>
      <c r="F833" s="1874">
        <f>IF(OR(MO.RealTimeStockPriceToggle=FALSE,VLOOKUP(MO.DataSourceName,MO_SPT_StockLow_Sources,COLUMN(),FALSE)="N/A"),VLOOKUP("Real-Time Off Source",MO_SPT_StockLow_Sources,COLUMN(),FALSE),VLOOKUP(MO.DataSourceName,MO_SPT_StockLow_Sources,COLUMN(),FALSE))</f>
        <v/>
      </c>
      <c r="G833" s="1874">
        <f>IF(OR(MO.RealTimeStockPriceToggle=FALSE,VLOOKUP(MO.DataSourceName,MO_SPT_StockLow_Sources,COLUMN(),FALSE)="N/A"),VLOOKUP("Real-Time Off Source",MO_SPT_StockLow_Sources,COLUMN(),FALSE),VLOOKUP(MO.DataSourceName,MO_SPT_StockLow_Sources,COLUMN(),FALSE))</f>
        <v/>
      </c>
      <c r="H833" s="1874">
        <f>IF(OR(MO.RealTimeStockPriceToggle=FALSE,VLOOKUP(MO.DataSourceName,MO_SPT_StockLow_Sources,COLUMN(),FALSE)="N/A"),VLOOKUP("Real-Time Off Source",MO_SPT_StockLow_Sources,COLUMN(),FALSE),VLOOKUP(MO.DataSourceName,MO_SPT_StockLow_Sources,COLUMN(),FALSE))</f>
        <v/>
      </c>
      <c r="I833" s="1874">
        <f>IF(OR(MO.RealTimeStockPriceToggle=FALSE,VLOOKUP(MO.DataSourceName,MO_SPT_StockLow_Sources,COLUMN(),FALSE)="N/A"),VLOOKUP("Real-Time Off Source",MO_SPT_StockLow_Sources,COLUMN(),FALSE),VLOOKUP(MO.DataSourceName,MO_SPT_StockLow_Sources,COLUMN(),FALSE))</f>
        <v/>
      </c>
      <c r="J833" s="1874">
        <f>IF(OR(MO.RealTimeStockPriceToggle=FALSE,VLOOKUP(MO.DataSourceName,MO_SPT_StockLow_Sources,COLUMN(),FALSE)="N/A"),VLOOKUP("Real-Time Off Source",MO_SPT_StockLow_Sources,COLUMN(),FALSE),VLOOKUP(MO.DataSourceName,MO_SPT_StockLow_Sources,COLUMN(),FALSE))</f>
        <v/>
      </c>
      <c r="K833" s="1874">
        <f>IF(OR(MO.RealTimeStockPriceToggle=FALSE,VLOOKUP(MO.DataSourceName,MO_SPT_StockLow_Sources,COLUMN(),FALSE)="N/A"),VLOOKUP("Real-Time Off Source",MO_SPT_StockLow_Sources,COLUMN(),FALSE),VLOOKUP(MO.DataSourceName,MO_SPT_StockLow_Sources,COLUMN(),FALSE))</f>
        <v/>
      </c>
      <c r="L833" s="1874">
        <f>IF(OR(MO.RealTimeStockPriceToggle=FALSE,VLOOKUP(MO.DataSourceName,MO_SPT_StockLow_Sources,COLUMN(),FALSE)="N/A"),VLOOKUP("Real-Time Off Source",MO_SPT_StockLow_Sources,COLUMN(),FALSE),VLOOKUP(MO.DataSourceName,MO_SPT_StockLow_Sources,COLUMN(),FALSE))</f>
        <v/>
      </c>
      <c r="M833" s="1874">
        <f>IF(OR(MO.RealTimeStockPriceToggle=FALSE,VLOOKUP(MO.DataSourceName,MO_SPT_StockLow_Sources,COLUMN(),FALSE)="N/A"),VLOOKUP("Real-Time Off Source",MO_SPT_StockLow_Sources,COLUMN(),FALSE),VLOOKUP(MO.DataSourceName,MO_SPT_StockLow_Sources,COLUMN(),FALSE))</f>
        <v/>
      </c>
      <c r="N833" s="1874">
        <f>IF(OR(MO.RealTimeStockPriceToggle=FALSE,VLOOKUP(MO.DataSourceName,MO_SPT_StockLow_Sources,COLUMN(),FALSE)="N/A"),VLOOKUP("Real-Time Off Source",MO_SPT_StockLow_Sources,COLUMN(),FALSE),VLOOKUP(MO.DataSourceName,MO_SPT_StockLow_Sources,COLUMN(),FALSE))</f>
        <v/>
      </c>
      <c r="O833" s="1874">
        <f>IF(OR(MO.RealTimeStockPriceToggle=FALSE,VLOOKUP(MO.DataSourceName,MO_SPT_StockLow_Sources,COLUMN(),FALSE)="N/A"),VLOOKUP("Real-Time Off Source",MO_SPT_StockLow_Sources,COLUMN(),FALSE),VLOOKUP(MO.DataSourceName,MO_SPT_StockLow_Sources,COLUMN(),FALSE))</f>
        <v/>
      </c>
      <c r="P833" s="1874">
        <f>IF(OR(MO.RealTimeStockPriceToggle=FALSE,VLOOKUP(MO.DataSourceName,MO_SPT_StockLow_Sources,COLUMN(),FALSE)="N/A"),VLOOKUP("Real-Time Off Source",MO_SPT_StockLow_Sources,COLUMN(),FALSE),VLOOKUP(MO.DataSourceName,MO_SPT_StockLow_Sources,COLUMN(),FALSE))</f>
        <v/>
      </c>
      <c r="Q833" s="1874">
        <f>IF(OR(MO.RealTimeStockPriceToggle=FALSE,VLOOKUP(MO.DataSourceName,MO_SPT_StockLow_Sources,COLUMN(),FALSE)="N/A"),VLOOKUP("Real-Time Off Source",MO_SPT_StockLow_Sources,COLUMN(),FALSE),VLOOKUP(MO.DataSourceName,MO_SPT_StockLow_Sources,COLUMN(),FALSE))</f>
        <v/>
      </c>
      <c r="R833" s="1874">
        <f>IF(OR(MO.RealTimeStockPriceToggle=FALSE,VLOOKUP(MO.DataSourceName,MO_SPT_StockLow_Sources,COLUMN(),FALSE)="N/A"),VLOOKUP("Real-Time Off Source",MO_SPT_StockLow_Sources,COLUMN(),FALSE),VLOOKUP(MO.DataSourceName,MO_SPT_StockLow_Sources,COLUMN(),FALSE))</f>
        <v/>
      </c>
      <c r="S833" s="1874">
        <f>IF(OR(MO.RealTimeStockPriceToggle=FALSE,VLOOKUP(MO.DataSourceName,MO_SPT_StockLow_Sources,COLUMN(),FALSE)="N/A"),VLOOKUP("Real-Time Off Source",MO_SPT_StockLow_Sources,COLUMN(),FALSE),VLOOKUP(MO.DataSourceName,MO_SPT_StockLow_Sources,COLUMN(),FALSE))</f>
        <v/>
      </c>
      <c r="T833" s="1874">
        <f>IF(OR(MO.RealTimeStockPriceToggle=FALSE,VLOOKUP(MO.DataSourceName,MO_SPT_StockLow_Sources,COLUMN(),FALSE)="N/A"),VLOOKUP("Real-Time Off Source",MO_SPT_StockLow_Sources,COLUMN(),FALSE),VLOOKUP(MO.DataSourceName,MO_SPT_StockLow_Sources,COLUMN(),FALSE))</f>
        <v/>
      </c>
      <c r="U833" s="1874">
        <f>IF(OR(MO.RealTimeStockPriceToggle=FALSE,VLOOKUP(MO.DataSourceName,MO_SPT_StockLow_Sources,COLUMN(),FALSE)="N/A"),VLOOKUP("Real-Time Off Source",MO_SPT_StockLow_Sources,COLUMN(),FALSE),VLOOKUP(MO.DataSourceName,MO_SPT_StockLow_Sources,COLUMN(),FALSE))</f>
        <v/>
      </c>
      <c r="V833" s="1874">
        <f>IF(OR(MO.RealTimeStockPriceToggle=FALSE,VLOOKUP(MO.DataSourceName,MO_SPT_StockLow_Sources,COLUMN(),FALSE)="N/A"),VLOOKUP("Real-Time Off Source",MO_SPT_StockLow_Sources,COLUMN(),FALSE),VLOOKUP(MO.DataSourceName,MO_SPT_StockLow_Sources,COLUMN(),FALSE))</f>
        <v/>
      </c>
      <c r="W833" s="1874">
        <f>IF(OR(MO.RealTimeStockPriceToggle=FALSE,VLOOKUP(MO.DataSourceName,MO_SPT_StockLow_Sources,COLUMN(),FALSE)="N/A"),VLOOKUP("Real-Time Off Source",MO_SPT_StockLow_Sources,COLUMN(),FALSE),VLOOKUP(MO.DataSourceName,MO_SPT_StockLow_Sources,COLUMN(),FALSE))</f>
        <v/>
      </c>
      <c r="X833" s="1874">
        <f>IF(OR(MO.RealTimeStockPriceToggle=FALSE,VLOOKUP(MO.DataSourceName,MO_SPT_StockLow_Sources,COLUMN(),FALSE)="N/A"),VLOOKUP("Real-Time Off Source",MO_SPT_StockLow_Sources,COLUMN(),FALSE),VLOOKUP(MO.DataSourceName,MO_SPT_StockLow_Sources,COLUMN(),FALSE))</f>
        <v/>
      </c>
      <c r="Y833" s="1874">
        <f>IF(OR(MO.RealTimeStockPriceToggle=FALSE,VLOOKUP(MO.DataSourceName,MO_SPT_StockLow_Sources,COLUMN(),FALSE)="N/A"),VLOOKUP("Real-Time Off Source",MO_SPT_StockLow_Sources,COLUMN(),FALSE),VLOOKUP(MO.DataSourceName,MO_SPT_StockLow_Sources,COLUMN(),FALSE))</f>
        <v/>
      </c>
      <c r="Z833" s="1874">
        <f>IF(OR(MO.RealTimeStockPriceToggle=FALSE,VLOOKUP(MO.DataSourceName,MO_SPT_StockLow_Sources,COLUMN(),FALSE)="N/A"),VLOOKUP("Real-Time Off Source",MO_SPT_StockLow_Sources,COLUMN(),FALSE),VLOOKUP(MO.DataSourceName,MO_SPT_StockLow_Sources,COLUMN(),FALSE))</f>
        <v/>
      </c>
      <c r="AA833" s="1874">
        <f>IF(OR(MO.RealTimeStockPriceToggle=FALSE,VLOOKUP(MO.DataSourceName,MO_SPT_StockLow_Sources,COLUMN(),FALSE)="N/A"),VLOOKUP("Real-Time Off Source",MO_SPT_StockLow_Sources,COLUMN(),FALSE),VLOOKUP(MO.DataSourceName,MO_SPT_StockLow_Sources,COLUMN(),FALSE))</f>
        <v/>
      </c>
      <c r="AB833" s="1874">
        <f>IF(OR(MO.RealTimeStockPriceToggle=FALSE,VLOOKUP(MO.DataSourceName,MO_SPT_StockLow_Sources,COLUMN(),FALSE)="N/A"),VLOOKUP("Real-Time Off Source",MO_SPT_StockLow_Sources,COLUMN(),FALSE),VLOOKUP(MO.DataSourceName,MO_SPT_StockLow_Sources,COLUMN(),FALSE))</f>
        <v/>
      </c>
      <c r="AC833" s="1874">
        <f>IF(OR(MO.RealTimeStockPriceToggle=FALSE,VLOOKUP(MO.DataSourceName,MO_SPT_StockLow_Sources,COLUMN(),FALSE)="N/A"),VLOOKUP("Real-Time Off Source",MO_SPT_StockLow_Sources,COLUMN(),FALSE),VLOOKUP(MO.DataSourceName,MO_SPT_StockLow_Sources,COLUMN(),FALSE))</f>
        <v/>
      </c>
      <c r="AD833" s="1874">
        <f>IF(OR(MO.RealTimeStockPriceToggle=FALSE,VLOOKUP(MO.DataSourceName,MO_SPT_StockLow_Sources,COLUMN(),FALSE)="N/A"),VLOOKUP("Real-Time Off Source",MO_SPT_StockLow_Sources,COLUMN(),FALSE),VLOOKUP(MO.DataSourceName,MO_SPT_StockLow_Sources,COLUMN(),FALSE))</f>
        <v/>
      </c>
      <c r="AE833" s="1874">
        <f>IF(OR(MO.RealTimeStockPriceToggle=FALSE,VLOOKUP(MO.DataSourceName,MO_SPT_StockLow_Sources,COLUMN(),FALSE)="N/A"),VLOOKUP("Real-Time Off Source",MO_SPT_StockLow_Sources,COLUMN(),FALSE),VLOOKUP(MO.DataSourceName,MO_SPT_StockLow_Sources,COLUMN(),FALSE))</f>
        <v/>
      </c>
      <c r="AF833" s="1874">
        <f>IF(OR(MO.RealTimeStockPriceToggle=FALSE,VLOOKUP(MO.DataSourceName,MO_SPT_StockLow_Sources,COLUMN(),FALSE)="N/A"),VLOOKUP("Real-Time Off Source",MO_SPT_StockLow_Sources,COLUMN(),FALSE),VLOOKUP(MO.DataSourceName,MO_SPT_StockLow_Sources,COLUMN(),FALSE))</f>
        <v/>
      </c>
      <c r="AG833" s="1874">
        <f>IF(OR(MO.RealTimeStockPriceToggle=FALSE,VLOOKUP(MO.DataSourceName,MO_SPT_StockLow_Sources,COLUMN(),FALSE)="N/A"),VLOOKUP("Real-Time Off Source",MO_SPT_StockLow_Sources,COLUMN(),FALSE),VLOOKUP(MO.DataSourceName,MO_SPT_StockLow_Sources,COLUMN(),FALSE))</f>
        <v/>
      </c>
      <c r="AH833" s="1874">
        <f>IF(OR(MO.RealTimeStockPriceToggle=FALSE,VLOOKUP(MO.DataSourceName,MO_SPT_StockLow_Sources,COLUMN(),FALSE)="N/A"),VLOOKUP("Real-Time Off Source",MO_SPT_StockLow_Sources,COLUMN(),FALSE),VLOOKUP(MO.DataSourceName,MO_SPT_StockLow_Sources,COLUMN(),FALSE))</f>
        <v/>
      </c>
      <c r="AI833" s="1874">
        <f>IF(OR(MO.RealTimeStockPriceToggle=FALSE,VLOOKUP(MO.DataSourceName,MO_SPT_StockLow_Sources,COLUMN(),FALSE)="N/A"),VLOOKUP("Real-Time Off Source",MO_SPT_StockLow_Sources,COLUMN(),FALSE),VLOOKUP(MO.DataSourceName,MO_SPT_StockLow_Sources,COLUMN(),FALSE))</f>
        <v/>
      </c>
      <c r="AJ833" s="1874">
        <f>IF(OR(MO.RealTimeStockPriceToggle=FALSE,VLOOKUP(MO.DataSourceName,MO_SPT_StockLow_Sources,COLUMN(),FALSE)="N/A"),VLOOKUP("Real-Time Off Source",MO_SPT_StockLow_Sources,COLUMN(),FALSE),VLOOKUP(MO.DataSourceName,MO_SPT_StockLow_Sources,COLUMN(),FALSE))</f>
        <v/>
      </c>
      <c r="AK833" s="1969">
        <f>IF(OR(MO.RealTimeStockPriceToggle=FALSE,VLOOKUP(MO.DataSourceName,MO_SPT_StockLow_Sources,COLUMN(),FALSE)="N/A"),VLOOKUP("Real-Time Off Source",MO_SPT_StockLow_Sources,COLUMN(),FALSE),VLOOKUP(MO.DataSourceName,MO_SPT_StockLow_Sources,COLUMN(),FALSE))</f>
        <v/>
      </c>
      <c r="AL833" s="1967">
        <f>IF(OR(MO.RealTimeStockPriceToggle=FALSE,VLOOKUP(MO.DataSourceName,MO_SPT_StockLow_Sources,COLUMN(),FALSE)="N/A"),VLOOKUP("Real-Time Off Source",MO_SPT_StockLow_Sources,COLUMN(),FALSE),VLOOKUP(MO.DataSourceName,MO_SPT_StockLow_Sources,COLUMN(),FALSE))</f>
        <v/>
      </c>
      <c r="AM833" s="1967">
        <f>IF(OR(MO.RealTimeStockPriceToggle=FALSE,VLOOKUP(MO.DataSourceName,MO_SPT_StockLow_Sources,COLUMN(),FALSE)="N/A"),VLOOKUP("Real-Time Off Source",MO_SPT_StockLow_Sources,COLUMN(),FALSE),VLOOKUP(MO.DataSourceName,MO_SPT_StockLow_Sources,COLUMN(),FALSE))</f>
        <v/>
      </c>
      <c r="AN833" s="1967">
        <f>IF(OR(MO.RealTimeStockPriceToggle=FALSE,VLOOKUP(MO.DataSourceName,MO_SPT_StockLow_Sources,COLUMN(),FALSE)="N/A"),VLOOKUP("Real-Time Off Source",MO_SPT_StockLow_Sources,COLUMN(),FALSE),VLOOKUP(MO.DataSourceName,MO_SPT_StockLow_Sources,COLUMN(),FALSE))</f>
        <v/>
      </c>
      <c r="AO833" s="1967">
        <f>IF(OR(MO.RealTimeStockPriceToggle=FALSE,VLOOKUP(MO.DataSourceName,MO_SPT_StockLow_Sources,COLUMN(),FALSE)="N/A"),VLOOKUP("Real-Time Off Source",MO_SPT_StockLow_Sources,COLUMN(),FALSE),VLOOKUP(MO.DataSourceName,MO_SPT_StockLow_Sources,COLUMN(),FALSE))</f>
        <v/>
      </c>
      <c r="AP833" s="1967">
        <f>IF(OR(MO.RealTimeStockPriceToggle=FALSE,VLOOKUP(MO.DataSourceName,MO_SPT_StockLow_Sources,COLUMN(),FALSE)="N/A"),VLOOKUP("Real-Time Off Source",MO_SPT_StockLow_Sources,COLUMN(),FALSE),VLOOKUP(MO.DataSourceName,MO_SPT_StockLow_Sources,COLUMN(),FALSE))</f>
        <v/>
      </c>
      <c r="AQ833" s="1967">
        <f>IF(OR(MO.RealTimeStockPriceToggle=FALSE,VLOOKUP(MO.DataSourceName,MO_SPT_StockLow_Sources,COLUMN(),FALSE)="N/A"),VLOOKUP("Real-Time Off Source",MO_SPT_StockLow_Sources,COLUMN(),FALSE),VLOOKUP(MO.DataSourceName,MO_SPT_StockLow_Sources,COLUMN(),FALSE))</f>
        <v/>
      </c>
      <c r="AR833" s="1967">
        <f>IF(OR(MO.RealTimeStockPriceToggle=FALSE,VLOOKUP(MO.DataSourceName,MO_SPT_StockLow_Sources,COLUMN(),FALSE)="N/A"),VLOOKUP("Real-Time Off Source",MO_SPT_StockLow_Sources,COLUMN(),FALSE),VLOOKUP(MO.DataSourceName,MO_SPT_StockLow_Sources,COLUMN(),FALSE))</f>
        <v/>
      </c>
      <c r="AS833" s="1967">
        <f>IF(OR(MO.RealTimeStockPriceToggle=FALSE,VLOOKUP(MO.DataSourceName,MO_SPT_StockLow_Sources,COLUMN(),FALSE)="N/A"),VLOOKUP("Real-Time Off Source",MO_SPT_StockLow_Sources,COLUMN(),FALSE),VLOOKUP(MO.DataSourceName,MO_SPT_StockLow_Sources,COLUMN(),FALSE))</f>
        <v/>
      </c>
      <c r="AT833" s="1967">
        <f>IF(OR(MO.RealTimeStockPriceToggle=FALSE,VLOOKUP(MO.DataSourceName,MO_SPT_StockLow_Sources,COLUMN(),FALSE)="N/A"),VLOOKUP("Real-Time Off Source",MO_SPT_StockLow_Sources,COLUMN(),FALSE),VLOOKUP(MO.DataSourceName,MO_SPT_StockLow_Sources,COLUMN(),FALSE))</f>
        <v/>
      </c>
      <c r="AU833" s="1970">
        <f>IF(OR(MO.RealTimeStockPriceToggle=FALSE,VLOOKUP(MO.DataSourceName,MO_SPT_StockLow_Sources,COLUMN(),FALSE)="N/A"),VLOOKUP("Real-Time Off Source",MO_SPT_StockLow_Sources,COLUMN(),FALSE),VLOOKUP(MO.DataSourceName,MO_SPT_StockLow_Sources,COLUMN(),FALSE))</f>
        <v/>
      </c>
      <c r="AV833" s="1874" t="n"/>
    </row>
    <row r="834" hidden="1" outlineLevel="1" ht="14.4" customFormat="1" customHeight="1" s="1867">
      <c r="A834" s="1971" t="inlineStr">
        <is>
          <t>Real-Time Off Source</t>
        </is>
      </c>
      <c r="B834" s="1967" t="n"/>
      <c r="C834" s="1972" t="n">
        <v>0</v>
      </c>
      <c r="D834" s="1972" t="n">
        <v>0</v>
      </c>
      <c r="E834" s="1973" t="n">
        <v>0</v>
      </c>
      <c r="F834" s="1973" t="n">
        <v>0</v>
      </c>
      <c r="G834" s="1973" t="n">
        <v>0</v>
      </c>
      <c r="H834" s="1973" t="n">
        <v>0</v>
      </c>
      <c r="I834" s="1973" t="n">
        <v>0</v>
      </c>
      <c r="J834" s="1973" t="n">
        <v>0</v>
      </c>
      <c r="K834" s="1973" t="n">
        <v>0</v>
      </c>
      <c r="L834" s="1973" t="n">
        <v>0</v>
      </c>
      <c r="M834" s="1973" t="n">
        <v>0</v>
      </c>
      <c r="N834" s="1973" t="n">
        <v>0</v>
      </c>
      <c r="O834" s="1973" t="n">
        <v>0</v>
      </c>
      <c r="P834" s="1973" t="n">
        <v>0</v>
      </c>
      <c r="Q834" s="1973" t="n">
        <v>0</v>
      </c>
      <c r="R834" s="1973" t="n">
        <v>0</v>
      </c>
      <c r="S834" s="1973" t="n">
        <v>0</v>
      </c>
      <c r="T834" s="1973" t="n">
        <v>0</v>
      </c>
      <c r="U834" s="1973" t="n">
        <v>0</v>
      </c>
      <c r="V834" s="1973" t="n">
        <v>0</v>
      </c>
      <c r="W834" s="1973" t="n">
        <v>0</v>
      </c>
      <c r="X834" s="1973" t="n">
        <v>0</v>
      </c>
      <c r="Y834" s="1973" t="n">
        <v>0</v>
      </c>
      <c r="Z834" s="1973" t="n">
        <v>0</v>
      </c>
      <c r="AA834" s="1973" t="n">
        <v>0</v>
      </c>
      <c r="AB834" s="1973" t="n">
        <v>0</v>
      </c>
      <c r="AC834" s="1973" t="n">
        <v>0</v>
      </c>
      <c r="AD834" s="1973" t="n">
        <v>0</v>
      </c>
      <c r="AE834" s="1973" t="n">
        <v>0</v>
      </c>
      <c r="AF834" s="1973" t="n">
        <v>0</v>
      </c>
      <c r="AG834" s="1973" t="n">
        <v>0</v>
      </c>
      <c r="AH834" s="1973" t="n">
        <v>0</v>
      </c>
      <c r="AI834" s="1973" t="n">
        <v>37.08</v>
      </c>
      <c r="AJ834" s="1973" t="n">
        <v>35.415</v>
      </c>
      <c r="AK834" s="1974" t="n">
        <v>87.48</v>
      </c>
      <c r="AL834" s="1967" t="n"/>
      <c r="AM834" s="1967" t="n"/>
      <c r="AN834" s="1967" t="n"/>
      <c r="AO834" s="1967" t="n"/>
      <c r="AP834" s="1967" t="n"/>
      <c r="AQ834" s="1967" t="n"/>
      <c r="AR834" s="1967" t="n"/>
      <c r="AS834" s="1967" t="n"/>
      <c r="AT834" s="1967" t="n"/>
      <c r="AU834" s="1970" t="n"/>
      <c r="AV834" s="1874" t="n"/>
    </row>
    <row r="835" hidden="1" outlineLevel="1" ht="14.4" customFormat="1" customHeight="1" s="1867">
      <c r="A835" s="1971" t="inlineStr">
        <is>
          <t>Bloomberg</t>
        </is>
      </c>
      <c r="B835" s="1967" t="n"/>
      <c r="C835" s="1968">
        <f>IFERROR(BDP(MO.Ticker.Bloomberg&amp;" Equity","INTERVAL_LOW","MARKET_DATA_OVERRIDE=PX_LAST","START_DATE_OVERRIDE",TEXT(INDEX(MO_SNA_FPStartDate,0,COLUMN()),"YYYYMMDD"),"END_DATE_OVERRIDE",TEXT(INDEX(MO_Common_QEndDate,0,COLUMN()),"YYYYMMDD")),"N/A")</f>
        <v/>
      </c>
      <c r="D835" s="1968">
        <f>IFERROR(BDP(MO.Ticker.Bloomberg&amp;" Equity","INTERVAL_LOW","MARKET_DATA_OVERRIDE=PX_LAST","START_DATE_OVERRIDE",TEXT(INDEX(MO_SNA_FPStartDate,0,COLUMN()),"YYYYMMDD"),"END_DATE_OVERRIDE",TEXT(INDEX(MO_Common_QEndDate,0,COLUMN()),"YYYYMMDD")),"N/A")</f>
        <v/>
      </c>
      <c r="E835" s="1874">
        <f>IFERROR(BDP(MO.Ticker.Bloomberg&amp;" Equity","INTERVAL_LOW","MARKET_DATA_OVERRIDE=PX_LAST","START_DATE_OVERRIDE",TEXT(INDEX(MO_SNA_FPStartDate,0,COLUMN()),"YYYYMMDD"),"END_DATE_OVERRIDE",TEXT(INDEX(MO_Common_QEndDate,0,COLUMN()),"YYYYMMDD")),"N/A")</f>
        <v/>
      </c>
      <c r="F835" s="1874">
        <f>IFERROR(BDP(MO.Ticker.Bloomberg&amp;" Equity","INTERVAL_LOW","MARKET_DATA_OVERRIDE=PX_LAST","START_DATE_OVERRIDE",TEXT(INDEX(MO_SNA_FPStartDate,0,COLUMN()),"YYYYMMDD"),"END_DATE_OVERRIDE",TEXT(INDEX(MO_Common_QEndDate,0,COLUMN()),"YYYYMMDD")),"N/A")</f>
        <v/>
      </c>
      <c r="G835" s="1874">
        <f>IFERROR(BDP(MO.Ticker.Bloomberg&amp;" Equity","INTERVAL_LOW","MARKET_DATA_OVERRIDE=PX_LAST","START_DATE_OVERRIDE",TEXT(INDEX(MO_SNA_FPStartDate,0,COLUMN()),"YYYYMMDD"),"END_DATE_OVERRIDE",TEXT(INDEX(MO_Common_QEndDate,0,COLUMN()),"YYYYMMDD")),"N/A")</f>
        <v/>
      </c>
      <c r="H835" s="1874">
        <f>IFERROR(BDP(MO.Ticker.Bloomberg&amp;" Equity","INTERVAL_LOW","MARKET_DATA_OVERRIDE=PX_LAST","START_DATE_OVERRIDE",TEXT(INDEX(MO_SNA_FPStartDate,0,COLUMN()),"YYYYMMDD"),"END_DATE_OVERRIDE",TEXT(INDEX(MO_Common_QEndDate,0,COLUMN()),"YYYYMMDD")),"N/A")</f>
        <v/>
      </c>
      <c r="I835" s="1874">
        <f>IFERROR(BDP(MO.Ticker.Bloomberg&amp;" Equity","INTERVAL_LOW","MARKET_DATA_OVERRIDE=PX_LAST","START_DATE_OVERRIDE",TEXT(INDEX(MO_SNA_FPStartDate,0,COLUMN()),"YYYYMMDD"),"END_DATE_OVERRIDE",TEXT(INDEX(MO_Common_QEndDate,0,COLUMN()),"YYYYMMDD")),"N/A")</f>
        <v/>
      </c>
      <c r="J835" s="1874">
        <f>IFERROR(BDP(MO.Ticker.Bloomberg&amp;" Equity","INTERVAL_LOW","MARKET_DATA_OVERRIDE=PX_LAST","START_DATE_OVERRIDE",TEXT(INDEX(MO_SNA_FPStartDate,0,COLUMN()),"YYYYMMDD"),"END_DATE_OVERRIDE",TEXT(INDEX(MO_Common_QEndDate,0,COLUMN()),"YYYYMMDD")),"N/A")</f>
        <v/>
      </c>
      <c r="K835" s="1874">
        <f>IFERROR(BDP(MO.Ticker.Bloomberg&amp;" Equity","INTERVAL_LOW","MARKET_DATA_OVERRIDE=PX_LAST","START_DATE_OVERRIDE",TEXT(INDEX(MO_SNA_FPStartDate,0,COLUMN()),"YYYYMMDD"),"END_DATE_OVERRIDE",TEXT(INDEX(MO_Common_QEndDate,0,COLUMN()),"YYYYMMDD")),"N/A")</f>
        <v/>
      </c>
      <c r="L835" s="1874">
        <f>IFERROR(BDP(MO.Ticker.Bloomberg&amp;" Equity","INTERVAL_LOW","MARKET_DATA_OVERRIDE=PX_LAST","START_DATE_OVERRIDE",TEXT(INDEX(MO_SNA_FPStartDate,0,COLUMN()),"YYYYMMDD"),"END_DATE_OVERRIDE",TEXT(INDEX(MO_Common_QEndDate,0,COLUMN()),"YYYYMMDD")),"N/A")</f>
        <v/>
      </c>
      <c r="M835" s="1874">
        <f>IFERROR(BDP(MO.Ticker.Bloomberg&amp;" Equity","INTERVAL_LOW","MARKET_DATA_OVERRIDE=PX_LAST","START_DATE_OVERRIDE",TEXT(INDEX(MO_SNA_FPStartDate,0,COLUMN()),"YYYYMMDD"),"END_DATE_OVERRIDE",TEXT(INDEX(MO_Common_QEndDate,0,COLUMN()),"YYYYMMDD")),"N/A")</f>
        <v/>
      </c>
      <c r="N835" s="1874">
        <f>IFERROR(BDP(MO.Ticker.Bloomberg&amp;" Equity","INTERVAL_LOW","MARKET_DATA_OVERRIDE=PX_LAST","START_DATE_OVERRIDE",TEXT(INDEX(MO_SNA_FPStartDate,0,COLUMN()),"YYYYMMDD"),"END_DATE_OVERRIDE",TEXT(INDEX(MO_Common_QEndDate,0,COLUMN()),"YYYYMMDD")),"N/A")</f>
        <v/>
      </c>
      <c r="O835" s="1874">
        <f>IFERROR(BDP(MO.Ticker.Bloomberg&amp;" Equity","INTERVAL_LOW","MARKET_DATA_OVERRIDE=PX_LAST","START_DATE_OVERRIDE",TEXT(INDEX(MO_SNA_FPStartDate,0,COLUMN()),"YYYYMMDD"),"END_DATE_OVERRIDE",TEXT(INDEX(MO_Common_QEndDate,0,COLUMN()),"YYYYMMDD")),"N/A")</f>
        <v/>
      </c>
      <c r="P835" s="1874">
        <f>IFERROR(BDP(MO.Ticker.Bloomberg&amp;" Equity","INTERVAL_LOW","MARKET_DATA_OVERRIDE=PX_LAST","START_DATE_OVERRIDE",TEXT(INDEX(MO_SNA_FPStartDate,0,COLUMN()),"YYYYMMDD"),"END_DATE_OVERRIDE",TEXT(INDEX(MO_Common_QEndDate,0,COLUMN()),"YYYYMMDD")),"N/A")</f>
        <v/>
      </c>
      <c r="Q835" s="1874">
        <f>IFERROR(BDP(MO.Ticker.Bloomberg&amp;" Equity","INTERVAL_LOW","MARKET_DATA_OVERRIDE=PX_LAST","START_DATE_OVERRIDE",TEXT(INDEX(MO_SNA_FPStartDate,0,COLUMN()),"YYYYMMDD"),"END_DATE_OVERRIDE",TEXT(INDEX(MO_Common_QEndDate,0,COLUMN()),"YYYYMMDD")),"N/A")</f>
        <v/>
      </c>
      <c r="R835" s="1874">
        <f>IFERROR(BDP(MO.Ticker.Bloomberg&amp;" Equity","INTERVAL_LOW","MARKET_DATA_OVERRIDE=PX_LAST","START_DATE_OVERRIDE",TEXT(INDEX(MO_SNA_FPStartDate,0,COLUMN()),"YYYYMMDD"),"END_DATE_OVERRIDE",TEXT(INDEX(MO_Common_QEndDate,0,COLUMN()),"YYYYMMDD")),"N/A")</f>
        <v/>
      </c>
      <c r="S835" s="1874">
        <f>IFERROR(BDP(MO.Ticker.Bloomberg&amp;" Equity","INTERVAL_LOW","MARKET_DATA_OVERRIDE=PX_LAST","START_DATE_OVERRIDE",TEXT(INDEX(MO_SNA_FPStartDate,0,COLUMN()),"YYYYMMDD"),"END_DATE_OVERRIDE",TEXT(INDEX(MO_Common_QEndDate,0,COLUMN()),"YYYYMMDD")),"N/A")</f>
        <v/>
      </c>
      <c r="T835" s="1874">
        <f>IFERROR(BDP(MO.Ticker.Bloomberg&amp;" Equity","INTERVAL_LOW","MARKET_DATA_OVERRIDE=PX_LAST","START_DATE_OVERRIDE",TEXT(INDEX(MO_SNA_FPStartDate,0,COLUMN()),"YYYYMMDD"),"END_DATE_OVERRIDE",TEXT(INDEX(MO_Common_QEndDate,0,COLUMN()),"YYYYMMDD")),"N/A")</f>
        <v/>
      </c>
      <c r="U835" s="1874">
        <f>IFERROR(BDP(MO.Ticker.Bloomberg&amp;" Equity","INTERVAL_LOW","MARKET_DATA_OVERRIDE=PX_LAST","START_DATE_OVERRIDE",TEXT(INDEX(MO_SNA_FPStartDate,0,COLUMN()),"YYYYMMDD"),"END_DATE_OVERRIDE",TEXT(INDEX(MO_Common_QEndDate,0,COLUMN()),"YYYYMMDD")),"N/A")</f>
        <v/>
      </c>
      <c r="V835" s="1874">
        <f>IFERROR(BDP(MO.Ticker.Bloomberg&amp;" Equity","INTERVAL_LOW","MARKET_DATA_OVERRIDE=PX_LAST","START_DATE_OVERRIDE",TEXT(INDEX(MO_SNA_FPStartDate,0,COLUMN()),"YYYYMMDD"),"END_DATE_OVERRIDE",TEXT(INDEX(MO_Common_QEndDate,0,COLUMN()),"YYYYMMDD")),"N/A")</f>
        <v/>
      </c>
      <c r="W835" s="1874">
        <f>IFERROR(BDP(MO.Ticker.Bloomberg&amp;" Equity","INTERVAL_LOW","MARKET_DATA_OVERRIDE=PX_LAST","START_DATE_OVERRIDE",TEXT(INDEX(MO_SNA_FPStartDate,0,COLUMN()),"YYYYMMDD"),"END_DATE_OVERRIDE",TEXT(INDEX(MO_Common_QEndDate,0,COLUMN()),"YYYYMMDD")),"N/A")</f>
        <v/>
      </c>
      <c r="X835" s="1874">
        <f>IFERROR(BDP(MO.Ticker.Bloomberg&amp;" Equity","INTERVAL_LOW","MARKET_DATA_OVERRIDE=PX_LAST","START_DATE_OVERRIDE",TEXT(INDEX(MO_SNA_FPStartDate,0,COLUMN()),"YYYYMMDD"),"END_DATE_OVERRIDE",TEXT(INDEX(MO_Common_QEndDate,0,COLUMN()),"YYYYMMDD")),"N/A")</f>
        <v/>
      </c>
      <c r="Y835" s="1874">
        <f>IFERROR(BDP(MO.Ticker.Bloomberg&amp;" Equity","INTERVAL_LOW","MARKET_DATA_OVERRIDE=PX_LAST","START_DATE_OVERRIDE",TEXT(INDEX(MO_SNA_FPStartDate,0,COLUMN()),"YYYYMMDD"),"END_DATE_OVERRIDE",TEXT(INDEX(MO_Common_QEndDate,0,COLUMN()),"YYYYMMDD")),"N/A")</f>
        <v/>
      </c>
      <c r="Z835" s="1874">
        <f>IFERROR(BDP(MO.Ticker.Bloomberg&amp;" Equity","INTERVAL_LOW","MARKET_DATA_OVERRIDE=PX_LAST","START_DATE_OVERRIDE",TEXT(INDEX(MO_SNA_FPStartDate,0,COLUMN()),"YYYYMMDD"),"END_DATE_OVERRIDE",TEXT(INDEX(MO_Common_QEndDate,0,COLUMN()),"YYYYMMDD")),"N/A")</f>
        <v/>
      </c>
      <c r="AA835" s="1874">
        <f>IFERROR(BDP(MO.Ticker.Bloomberg&amp;" Equity","INTERVAL_LOW","MARKET_DATA_OVERRIDE=PX_LAST","START_DATE_OVERRIDE",TEXT(INDEX(MO_SNA_FPStartDate,0,COLUMN()),"YYYYMMDD"),"END_DATE_OVERRIDE",TEXT(INDEX(MO_Common_QEndDate,0,COLUMN()),"YYYYMMDD")),"N/A")</f>
        <v/>
      </c>
      <c r="AB835" s="1874">
        <f>IFERROR(BDP(MO.Ticker.Bloomberg&amp;" Equity","INTERVAL_LOW","MARKET_DATA_OVERRIDE=PX_LAST","START_DATE_OVERRIDE",TEXT(INDEX(MO_SNA_FPStartDate,0,COLUMN()),"YYYYMMDD"),"END_DATE_OVERRIDE",TEXT(INDEX(MO_Common_QEndDate,0,COLUMN()),"YYYYMMDD")),"N/A")</f>
        <v/>
      </c>
      <c r="AC835" s="1874">
        <f>IFERROR(BDP(MO.Ticker.Bloomberg&amp;" Equity","INTERVAL_LOW","MARKET_DATA_OVERRIDE=PX_LAST","START_DATE_OVERRIDE",TEXT(INDEX(MO_SNA_FPStartDate,0,COLUMN()),"YYYYMMDD"),"END_DATE_OVERRIDE",TEXT(INDEX(MO_Common_QEndDate,0,COLUMN()),"YYYYMMDD")),"N/A")</f>
        <v/>
      </c>
      <c r="AD835" s="1874">
        <f>IFERROR(BDP(MO.Ticker.Bloomberg&amp;" Equity","INTERVAL_LOW","MARKET_DATA_OVERRIDE=PX_LAST","START_DATE_OVERRIDE",TEXT(INDEX(MO_SNA_FPStartDate,0,COLUMN()),"YYYYMMDD"),"END_DATE_OVERRIDE",TEXT(INDEX(MO_Common_QEndDate,0,COLUMN()),"YYYYMMDD")),"N/A")</f>
        <v/>
      </c>
      <c r="AE835" s="1874">
        <f>IFERROR(BDP(MO.Ticker.Bloomberg&amp;" Equity","INTERVAL_LOW","MARKET_DATA_OVERRIDE=PX_LAST","START_DATE_OVERRIDE",TEXT(INDEX(MO_SNA_FPStartDate,0,COLUMN()),"YYYYMMDD"),"END_DATE_OVERRIDE",TEXT(INDEX(MO_Common_QEndDate,0,COLUMN()),"YYYYMMDD")),"N/A")</f>
        <v/>
      </c>
      <c r="AF835" s="1874">
        <f>IFERROR(BDP(MO.Ticker.Bloomberg&amp;" Equity","INTERVAL_LOW","MARKET_DATA_OVERRIDE=PX_LAST","START_DATE_OVERRIDE",TEXT(INDEX(MO_SNA_FPStartDate,0,COLUMN()),"YYYYMMDD"),"END_DATE_OVERRIDE",TEXT(INDEX(MO_Common_QEndDate,0,COLUMN()),"YYYYMMDD")),"N/A")</f>
        <v/>
      </c>
      <c r="AG835" s="1874">
        <f>IFERROR(BDP(MO.Ticker.Bloomberg&amp;" Equity","INTERVAL_LOW","MARKET_DATA_OVERRIDE=PX_LAST","START_DATE_OVERRIDE",TEXT(INDEX(MO_SNA_FPStartDate,0,COLUMN()),"YYYYMMDD"),"END_DATE_OVERRIDE",TEXT(INDEX(MO_Common_QEndDate,0,COLUMN()),"YYYYMMDD")),"N/A")</f>
        <v/>
      </c>
      <c r="AH835" s="1874">
        <f>IFERROR(BDP(MO.Ticker.Bloomberg&amp;" Equity","INTERVAL_LOW","MARKET_DATA_OVERRIDE=PX_LAST","START_DATE_OVERRIDE",TEXT(INDEX(MO_SNA_FPStartDate,0,COLUMN()),"YYYYMMDD"),"END_DATE_OVERRIDE",TEXT(INDEX(MO_Common_QEndDate,0,COLUMN()),"YYYYMMDD")),"N/A")</f>
        <v/>
      </c>
      <c r="AI835" s="1874">
        <f>IFERROR(BDP(MO.Ticker.Bloomberg&amp;" Equity","INTERVAL_LOW","MARKET_DATA_OVERRIDE=PX_LAST","START_DATE_OVERRIDE",TEXT(INDEX(MO_SNA_FPStartDate,0,COLUMN()),"YYYYMMDD"),"END_DATE_OVERRIDE",TEXT(INDEX(MO_Common_QEndDate,0,COLUMN()),"YYYYMMDD")),"N/A")</f>
        <v/>
      </c>
      <c r="AJ835" s="1874">
        <f>IFERROR(BDP(MO.Ticker.Bloomberg&amp;" Equity","INTERVAL_LOW","MARKET_DATA_OVERRIDE=PX_LAST","START_DATE_OVERRIDE",TEXT(INDEX(MO_SNA_FPStartDate,0,COLUMN()),"YYYYMMDD"),"END_DATE_OVERRIDE",TEXT(INDEX(MO_Common_QEndDate,0,COLUMN()),"YYYYMMDD")),"N/A")</f>
        <v/>
      </c>
      <c r="AK835" s="1969">
        <f>IFERROR(BDP(MO.Ticker.Bloomberg&amp;" Equity","INTERVAL_LOW","MARKET_DATA_OVERRIDE=PX_LAST","START_DATE_OVERRIDE",TEXT(INDEX(MO_SNA_FPStartDate,0,COLUMN()),"YYYYMMDD"),"END_DATE_OVERRIDE",TEXT(INDEX(MO_Common_QEndDate,0,COLUMN()),"YYYYMMDD")),"N/A")</f>
        <v/>
      </c>
      <c r="AL835" s="1967">
        <f>IFERROR(BDP(MO.Ticker.Bloomberg&amp;" Equity","INTERVAL_LOW","MARKET_DATA_OVERRIDE=PX_LAST","START_DATE_OVERRIDE",TEXT(INDEX(MO_SNA_FPStartDate,0,COLUMN()),"YYYYMMDD"),"END_DATE_OVERRIDE",TEXT(INDEX(MO_Common_QEndDate,0,COLUMN()),"YYYYMMDD")),"N/A")</f>
        <v/>
      </c>
      <c r="AM835" s="1967">
        <f>IFERROR(BDP(MO.Ticker.Bloomberg&amp;" Equity","INTERVAL_LOW","MARKET_DATA_OVERRIDE=PX_LAST","START_DATE_OVERRIDE",TEXT(INDEX(MO_SNA_FPStartDate,0,COLUMN()),"YYYYMMDD"),"END_DATE_OVERRIDE",TEXT(INDEX(MO_Common_QEndDate,0,COLUMN()),"YYYYMMDD")),"N/A")</f>
        <v/>
      </c>
      <c r="AN835" s="1967">
        <f>IFERROR(BDP(MO.Ticker.Bloomberg&amp;" Equity","INTERVAL_LOW","MARKET_DATA_OVERRIDE=PX_LAST","START_DATE_OVERRIDE",TEXT(INDEX(MO_SNA_FPStartDate,0,COLUMN()),"YYYYMMDD"),"END_DATE_OVERRIDE",TEXT(INDEX(MO_Common_QEndDate,0,COLUMN()),"YYYYMMDD")),"N/A")</f>
        <v/>
      </c>
      <c r="AO835" s="1967">
        <f>IFERROR(BDP(MO.Ticker.Bloomberg&amp;" Equity","INTERVAL_LOW","MARKET_DATA_OVERRIDE=PX_LAST","START_DATE_OVERRIDE",TEXT(INDEX(MO_SNA_FPStartDate,0,COLUMN()),"YYYYMMDD"),"END_DATE_OVERRIDE",TEXT(INDEX(MO_Common_QEndDate,0,COLUMN()),"YYYYMMDD")),"N/A")</f>
        <v/>
      </c>
      <c r="AP835" s="1967">
        <f>IFERROR(BDP(MO.Ticker.Bloomberg&amp;" Equity","INTERVAL_LOW","MARKET_DATA_OVERRIDE=PX_LAST","START_DATE_OVERRIDE",TEXT(INDEX(MO_SNA_FPStartDate,0,COLUMN()),"YYYYMMDD"),"END_DATE_OVERRIDE",TEXT(INDEX(MO_Common_QEndDate,0,COLUMN()),"YYYYMMDD")),"N/A")</f>
        <v/>
      </c>
      <c r="AQ835" s="1967">
        <f>IFERROR(BDP(MO.Ticker.Bloomberg&amp;" Equity","INTERVAL_LOW","MARKET_DATA_OVERRIDE=PX_LAST","START_DATE_OVERRIDE",TEXT(INDEX(MO_SNA_FPStartDate,0,COLUMN()),"YYYYMMDD"),"END_DATE_OVERRIDE",TEXT(INDEX(MO_Common_QEndDate,0,COLUMN()),"YYYYMMDD")),"N/A")</f>
        <v/>
      </c>
      <c r="AR835" s="1967">
        <f>IFERROR(BDP(MO.Ticker.Bloomberg&amp;" Equity","INTERVAL_LOW","MARKET_DATA_OVERRIDE=PX_LAST","START_DATE_OVERRIDE",TEXT(INDEX(MO_SNA_FPStartDate,0,COLUMN()),"YYYYMMDD"),"END_DATE_OVERRIDE",TEXT(INDEX(MO_Common_QEndDate,0,COLUMN()),"YYYYMMDD")),"N/A")</f>
        <v/>
      </c>
      <c r="AS835" s="1967">
        <f>IFERROR(BDP(MO.Ticker.Bloomberg&amp;" Equity","INTERVAL_LOW","MARKET_DATA_OVERRIDE=PX_LAST","START_DATE_OVERRIDE",TEXT(INDEX(MO_SNA_FPStartDate,0,COLUMN()),"YYYYMMDD"),"END_DATE_OVERRIDE",TEXT(INDEX(MO_Common_QEndDate,0,COLUMN()),"YYYYMMDD")),"N/A")</f>
        <v/>
      </c>
      <c r="AT835" s="1967">
        <f>IFERROR(BDP(MO.Ticker.Bloomberg&amp;" Equity","INTERVAL_LOW","MARKET_DATA_OVERRIDE=PX_LAST","START_DATE_OVERRIDE",TEXT(INDEX(MO_SNA_FPStartDate,0,COLUMN()),"YYYYMMDD"),"END_DATE_OVERRIDE",TEXT(INDEX(MO_Common_QEndDate,0,COLUMN()),"YYYYMMDD")),"N/A")</f>
        <v/>
      </c>
      <c r="AU835" s="1970">
        <f>IFERROR(BDP(MO.Ticker.Bloomberg&amp;" Equity","INTERVAL_LOW","MARKET_DATA_OVERRIDE=PX_LAST","START_DATE_OVERRIDE",TEXT(INDEX(MO_SNA_FPStartDate,0,COLUMN()),"YYYYMMDD"),"END_DATE_OVERRIDE",TEXT(INDEX(MO_Common_QEndDate,0,COLUMN()),"YYYYMMDD")),"N/A")</f>
        <v/>
      </c>
      <c r="AV835" s="1874" t="n"/>
    </row>
    <row r="836" hidden="1" outlineLevel="1" ht="14.4" customFormat="1" customHeight="1" s="1867">
      <c r="A836" s="1971" t="inlineStr">
        <is>
          <t>Capital IQ</t>
        </is>
      </c>
      <c r="B836" s="1967" t="n"/>
      <c r="C836" s="1968">
        <f>IFERROR(CIQLO(MO.Ticker.CapIQ,"IQ_LASTSALEPRICE",INDEX(MO_SNA_FPStartDate,0,COLUMN()),INDEX(MO_Common_QEndDate,0,COLUMN())),"N/A")</f>
        <v/>
      </c>
      <c r="D836" s="1968">
        <f>IFERROR(CIQLO(MO.Ticker.CapIQ,"IQ_LASTSALEPRICE",INDEX(MO_SNA_FPStartDate,0,COLUMN()),INDEX(MO_Common_QEndDate,0,COLUMN())),"N/A")</f>
        <v/>
      </c>
      <c r="E836" s="1874">
        <f>IFERROR(CIQLO(MO.Ticker.CapIQ,"IQ_LASTSALEPRICE",INDEX(MO_SNA_FPStartDate,0,COLUMN()),INDEX(MO_Common_QEndDate,0,COLUMN())),"N/A")</f>
        <v/>
      </c>
      <c r="F836" s="1874">
        <f>IFERROR(CIQLO(MO.Ticker.CapIQ,"IQ_LASTSALEPRICE",INDEX(MO_SNA_FPStartDate,0,COLUMN()),INDEX(MO_Common_QEndDate,0,COLUMN())),"N/A")</f>
        <v/>
      </c>
      <c r="G836" s="1874">
        <f>IFERROR(CIQLO(MO.Ticker.CapIQ,"IQ_LASTSALEPRICE",INDEX(MO_SNA_FPStartDate,0,COLUMN()),INDEX(MO_Common_QEndDate,0,COLUMN())),"N/A")</f>
        <v/>
      </c>
      <c r="H836" s="1874">
        <f>IFERROR(CIQLO(MO.Ticker.CapIQ,"IQ_LASTSALEPRICE",INDEX(MO_SNA_FPStartDate,0,COLUMN()),INDEX(MO_Common_QEndDate,0,COLUMN())),"N/A")</f>
        <v/>
      </c>
      <c r="I836" s="1874">
        <f>IFERROR(CIQLO(MO.Ticker.CapIQ,"IQ_LASTSALEPRICE",INDEX(MO_SNA_FPStartDate,0,COLUMN()),INDEX(MO_Common_QEndDate,0,COLUMN())),"N/A")</f>
        <v/>
      </c>
      <c r="J836" s="1874">
        <f>IFERROR(CIQLO(MO.Ticker.CapIQ,"IQ_LASTSALEPRICE",INDEX(MO_SNA_FPStartDate,0,COLUMN()),INDEX(MO_Common_QEndDate,0,COLUMN())),"N/A")</f>
        <v/>
      </c>
      <c r="K836" s="1874">
        <f>IFERROR(CIQLO(MO.Ticker.CapIQ,"IQ_LASTSALEPRICE",INDEX(MO_SNA_FPStartDate,0,COLUMN()),INDEX(MO_Common_QEndDate,0,COLUMN())),"N/A")</f>
        <v/>
      </c>
      <c r="L836" s="1874">
        <f>IFERROR(CIQLO(MO.Ticker.CapIQ,"IQ_LASTSALEPRICE",INDEX(MO_SNA_FPStartDate,0,COLUMN()),INDEX(MO_Common_QEndDate,0,COLUMN())),"N/A")</f>
        <v/>
      </c>
      <c r="M836" s="1874">
        <f>IFERROR(CIQLO(MO.Ticker.CapIQ,"IQ_LASTSALEPRICE",INDEX(MO_SNA_FPStartDate,0,COLUMN()),INDEX(MO_Common_QEndDate,0,COLUMN())),"N/A")</f>
        <v/>
      </c>
      <c r="N836" s="1874">
        <f>IFERROR(CIQLO(MO.Ticker.CapIQ,"IQ_LASTSALEPRICE",INDEX(MO_SNA_FPStartDate,0,COLUMN()),INDEX(MO_Common_QEndDate,0,COLUMN())),"N/A")</f>
        <v/>
      </c>
      <c r="O836" s="1874">
        <f>IFERROR(CIQLO(MO.Ticker.CapIQ,"IQ_LASTSALEPRICE",INDEX(MO_SNA_FPStartDate,0,COLUMN()),INDEX(MO_Common_QEndDate,0,COLUMN())),"N/A")</f>
        <v/>
      </c>
      <c r="P836" s="1874">
        <f>IFERROR(CIQLO(MO.Ticker.CapIQ,"IQ_LASTSALEPRICE",INDEX(MO_SNA_FPStartDate,0,COLUMN()),INDEX(MO_Common_QEndDate,0,COLUMN())),"N/A")</f>
        <v/>
      </c>
      <c r="Q836" s="1874">
        <f>IFERROR(CIQLO(MO.Ticker.CapIQ,"IQ_LASTSALEPRICE",INDEX(MO_SNA_FPStartDate,0,COLUMN()),INDEX(MO_Common_QEndDate,0,COLUMN())),"N/A")</f>
        <v/>
      </c>
      <c r="R836" s="1874">
        <f>IFERROR(CIQLO(MO.Ticker.CapIQ,"IQ_LASTSALEPRICE",INDEX(MO_SNA_FPStartDate,0,COLUMN()),INDEX(MO_Common_QEndDate,0,COLUMN())),"N/A")</f>
        <v/>
      </c>
      <c r="S836" s="1874">
        <f>IFERROR(CIQLO(MO.Ticker.CapIQ,"IQ_LASTSALEPRICE",INDEX(MO_SNA_FPStartDate,0,COLUMN()),INDEX(MO_Common_QEndDate,0,COLUMN())),"N/A")</f>
        <v/>
      </c>
      <c r="T836" s="1874">
        <f>IFERROR(CIQLO(MO.Ticker.CapIQ,"IQ_LASTSALEPRICE",INDEX(MO_SNA_FPStartDate,0,COLUMN()),INDEX(MO_Common_QEndDate,0,COLUMN())),"N/A")</f>
        <v/>
      </c>
      <c r="U836" s="1874">
        <f>IFERROR(CIQLO(MO.Ticker.CapIQ,"IQ_LASTSALEPRICE",INDEX(MO_SNA_FPStartDate,0,COLUMN()),INDEX(MO_Common_QEndDate,0,COLUMN())),"N/A")</f>
        <v/>
      </c>
      <c r="V836" s="1874">
        <f>IFERROR(CIQLO(MO.Ticker.CapIQ,"IQ_LASTSALEPRICE",INDEX(MO_SNA_FPStartDate,0,COLUMN()),INDEX(MO_Common_QEndDate,0,COLUMN())),"N/A")</f>
        <v/>
      </c>
      <c r="W836" s="1874">
        <f>IFERROR(CIQLO(MO.Ticker.CapIQ,"IQ_LASTSALEPRICE",INDEX(MO_SNA_FPStartDate,0,COLUMN()),INDEX(MO_Common_QEndDate,0,COLUMN())),"N/A")</f>
        <v/>
      </c>
      <c r="X836" s="1874">
        <f>IFERROR(CIQLO(MO.Ticker.CapIQ,"IQ_LASTSALEPRICE",INDEX(MO_SNA_FPStartDate,0,COLUMN()),INDEX(MO_Common_QEndDate,0,COLUMN())),"N/A")</f>
        <v/>
      </c>
      <c r="Y836" s="1874">
        <f>IFERROR(CIQLO(MO.Ticker.CapIQ,"IQ_LASTSALEPRICE",INDEX(MO_SNA_FPStartDate,0,COLUMN()),INDEX(MO_Common_QEndDate,0,COLUMN())),"N/A")</f>
        <v/>
      </c>
      <c r="Z836" s="1874">
        <f>IFERROR(CIQLO(MO.Ticker.CapIQ,"IQ_LASTSALEPRICE",INDEX(MO_SNA_FPStartDate,0,COLUMN()),INDEX(MO_Common_QEndDate,0,COLUMN())),"N/A")</f>
        <v/>
      </c>
      <c r="AA836" s="1874">
        <f>IFERROR(CIQLO(MO.Ticker.CapIQ,"IQ_LASTSALEPRICE",INDEX(MO_SNA_FPStartDate,0,COLUMN()),INDEX(MO_Common_QEndDate,0,COLUMN())),"N/A")</f>
        <v/>
      </c>
      <c r="AB836" s="1874">
        <f>IFERROR(CIQLO(MO.Ticker.CapIQ,"IQ_LASTSALEPRICE",INDEX(MO_SNA_FPStartDate,0,COLUMN()),INDEX(MO_Common_QEndDate,0,COLUMN())),"N/A")</f>
        <v/>
      </c>
      <c r="AC836" s="1874">
        <f>IFERROR(CIQLO(MO.Ticker.CapIQ,"IQ_LASTSALEPRICE",INDEX(MO_SNA_FPStartDate,0,COLUMN()),INDEX(MO_Common_QEndDate,0,COLUMN())),"N/A")</f>
        <v/>
      </c>
      <c r="AD836" s="1874">
        <f>IFERROR(CIQLO(MO.Ticker.CapIQ,"IQ_LASTSALEPRICE",INDEX(MO_SNA_FPStartDate,0,COLUMN()),INDEX(MO_Common_QEndDate,0,COLUMN())),"N/A")</f>
        <v/>
      </c>
      <c r="AE836" s="1874">
        <f>IFERROR(CIQLO(MO.Ticker.CapIQ,"IQ_LASTSALEPRICE",INDEX(MO_SNA_FPStartDate,0,COLUMN()),INDEX(MO_Common_QEndDate,0,COLUMN())),"N/A")</f>
        <v/>
      </c>
      <c r="AF836" s="1874">
        <f>IFERROR(CIQLO(MO.Ticker.CapIQ,"IQ_LASTSALEPRICE",INDEX(MO_SNA_FPStartDate,0,COLUMN()),INDEX(MO_Common_QEndDate,0,COLUMN())),"N/A")</f>
        <v/>
      </c>
      <c r="AG836" s="1874">
        <f>IFERROR(CIQLO(MO.Ticker.CapIQ,"IQ_LASTSALEPRICE",INDEX(MO_SNA_FPStartDate,0,COLUMN()),INDEX(MO_Common_QEndDate,0,COLUMN())),"N/A")</f>
        <v/>
      </c>
      <c r="AH836" s="1874">
        <f>IFERROR(CIQLO(MO.Ticker.CapIQ,"IQ_LASTSALEPRICE",INDEX(MO_SNA_FPStartDate,0,COLUMN()),INDEX(MO_Common_QEndDate,0,COLUMN())),"N/A")</f>
        <v/>
      </c>
      <c r="AI836" s="1874">
        <f>IFERROR(CIQLO(MO.Ticker.CapIQ,"IQ_LASTSALEPRICE",INDEX(MO_SNA_FPStartDate,0,COLUMN()),INDEX(MO_Common_QEndDate,0,COLUMN())),"N/A")</f>
        <v/>
      </c>
      <c r="AJ836" s="1874">
        <f>IFERROR(CIQLO(MO.Ticker.CapIQ,"IQ_LASTSALEPRICE",INDEX(MO_SNA_FPStartDate,0,COLUMN()),INDEX(MO_Common_QEndDate,0,COLUMN())),"N/A")</f>
        <v/>
      </c>
      <c r="AK836" s="1969">
        <f>IFERROR(CIQLO(MO.Ticker.CapIQ,"IQ_LASTSALEPRICE",INDEX(MO_SNA_FPStartDate,0,COLUMN()),INDEX(MO_Common_QEndDate,0,COLUMN())),"N/A")</f>
        <v/>
      </c>
      <c r="AL836" s="1967">
        <f>IFERROR(CIQLO(MO.Ticker.CapIQ,"IQ_LASTSALEPRICE",INDEX(MO_SNA_FPStartDate,0,COLUMN()),INDEX(MO_Common_QEndDate,0,COLUMN())),"N/A")</f>
        <v/>
      </c>
      <c r="AM836" s="1967">
        <f>IFERROR(CIQLO(MO.Ticker.CapIQ,"IQ_LASTSALEPRICE",INDEX(MO_SNA_FPStartDate,0,COLUMN()),INDEX(MO_Common_QEndDate,0,COLUMN())),"N/A")</f>
        <v/>
      </c>
      <c r="AN836" s="1967">
        <f>IFERROR(CIQLO(MO.Ticker.CapIQ,"IQ_LASTSALEPRICE",INDEX(MO_SNA_FPStartDate,0,COLUMN()),INDEX(MO_Common_QEndDate,0,COLUMN())),"N/A")</f>
        <v/>
      </c>
      <c r="AO836" s="1967">
        <f>IFERROR(CIQLO(MO.Ticker.CapIQ,"IQ_LASTSALEPRICE",INDEX(MO_SNA_FPStartDate,0,COLUMN()),INDEX(MO_Common_QEndDate,0,COLUMN())),"N/A")</f>
        <v/>
      </c>
      <c r="AP836" s="1967">
        <f>IFERROR(CIQLO(MO.Ticker.CapIQ,"IQ_LASTSALEPRICE",INDEX(MO_SNA_FPStartDate,0,COLUMN()),INDEX(MO_Common_QEndDate,0,COLUMN())),"N/A")</f>
        <v/>
      </c>
      <c r="AQ836" s="1967">
        <f>IFERROR(CIQLO(MO.Ticker.CapIQ,"IQ_LASTSALEPRICE",INDEX(MO_SNA_FPStartDate,0,COLUMN()),INDEX(MO_Common_QEndDate,0,COLUMN())),"N/A")</f>
        <v/>
      </c>
      <c r="AR836" s="1967">
        <f>IFERROR(CIQLO(MO.Ticker.CapIQ,"IQ_LASTSALEPRICE",INDEX(MO_SNA_FPStartDate,0,COLUMN()),INDEX(MO_Common_QEndDate,0,COLUMN())),"N/A")</f>
        <v/>
      </c>
      <c r="AS836" s="1967">
        <f>IFERROR(CIQLO(MO.Ticker.CapIQ,"IQ_LASTSALEPRICE",INDEX(MO_SNA_FPStartDate,0,COLUMN()),INDEX(MO_Common_QEndDate,0,COLUMN())),"N/A")</f>
        <v/>
      </c>
      <c r="AT836" s="1967">
        <f>IFERROR(CIQLO(MO.Ticker.CapIQ,"IQ_LASTSALEPRICE",INDEX(MO_SNA_FPStartDate,0,COLUMN()),INDEX(MO_Common_QEndDate,0,COLUMN())),"N/A")</f>
        <v/>
      </c>
      <c r="AU836" s="1970">
        <f>IFERROR(CIQLO(MO.Ticker.CapIQ,"IQ_LASTSALEPRICE",INDEX(MO_SNA_FPStartDate,0,COLUMN()),INDEX(MO_Common_QEndDate,0,COLUMN())),"N/A")</f>
        <v/>
      </c>
      <c r="AV836" s="1874" t="n"/>
    </row>
    <row r="837" hidden="1" outlineLevel="1" ht="14.4" customFormat="1" customHeight="1" s="1867">
      <c r="A837" s="1971" t="inlineStr">
        <is>
          <t>FactSet</t>
        </is>
      </c>
      <c r="B837" s="1967" t="n"/>
      <c r="C837" s="1968">
        <f>IFERROR(FDS(MO.Ticker.FactSet,"P_PRICE_LOW"&amp;"("&amp;INDEX(MO_SNA_FPStartDate,0,COLUMN())&amp;","&amp;INDEX(MO_Common_QEndDate,0,COLUMN())&amp;",,,,""PRICE"",""CLOSE"")"),"N/A")</f>
        <v/>
      </c>
      <c r="D837" s="1968">
        <f>IFERROR(FDS(MO.Ticker.FactSet,"P_PRICE_LOW"&amp;"("&amp;INDEX(MO_SNA_FPStartDate,0,COLUMN())&amp;","&amp;INDEX(MO_Common_QEndDate,0,COLUMN())&amp;",,,,""PRICE"",""CLOSE"")"),"N/A")</f>
        <v/>
      </c>
      <c r="E837" s="1874">
        <f>IFERROR(FDS(MO.Ticker.FactSet,"P_PRICE_LOW"&amp;"("&amp;INDEX(MO_SNA_FPStartDate,0,COLUMN())&amp;","&amp;INDEX(MO_Common_QEndDate,0,COLUMN())&amp;",,,,""PRICE"",""CLOSE"")"),"N/A")</f>
        <v/>
      </c>
      <c r="F837" s="1874">
        <f>IFERROR(FDS(MO.Ticker.FactSet,"P_PRICE_LOW"&amp;"("&amp;INDEX(MO_SNA_FPStartDate,0,COLUMN())&amp;","&amp;INDEX(MO_Common_QEndDate,0,COLUMN())&amp;",,,,""PRICE"",""CLOSE"")"),"N/A")</f>
        <v/>
      </c>
      <c r="G837" s="1874">
        <f>IFERROR(FDS(MO.Ticker.FactSet,"P_PRICE_LOW"&amp;"("&amp;INDEX(MO_SNA_FPStartDate,0,COLUMN())&amp;","&amp;INDEX(MO_Common_QEndDate,0,COLUMN())&amp;",,,,""PRICE"",""CLOSE"")"),"N/A")</f>
        <v/>
      </c>
      <c r="H837" s="1874">
        <f>IFERROR(FDS(MO.Ticker.FactSet,"P_PRICE_LOW"&amp;"("&amp;INDEX(MO_SNA_FPStartDate,0,COLUMN())&amp;","&amp;INDEX(MO_Common_QEndDate,0,COLUMN())&amp;",,,,""PRICE"",""CLOSE"")"),"N/A")</f>
        <v/>
      </c>
      <c r="I837" s="1874">
        <f>IFERROR(FDS(MO.Ticker.FactSet,"P_PRICE_LOW"&amp;"("&amp;INDEX(MO_SNA_FPStartDate,0,COLUMN())&amp;","&amp;INDEX(MO_Common_QEndDate,0,COLUMN())&amp;",,,,""PRICE"",""CLOSE"")"),"N/A")</f>
        <v/>
      </c>
      <c r="J837" s="1874">
        <f>IFERROR(FDS(MO.Ticker.FactSet,"P_PRICE_LOW"&amp;"("&amp;INDEX(MO_SNA_FPStartDate,0,COLUMN())&amp;","&amp;INDEX(MO_Common_QEndDate,0,COLUMN())&amp;",,,,""PRICE"",""CLOSE"")"),"N/A")</f>
        <v/>
      </c>
      <c r="K837" s="1874">
        <f>IFERROR(FDS(MO.Ticker.FactSet,"P_PRICE_LOW"&amp;"("&amp;INDEX(MO_SNA_FPStartDate,0,COLUMN())&amp;","&amp;INDEX(MO_Common_QEndDate,0,COLUMN())&amp;",,,,""PRICE"",""CLOSE"")"),"N/A")</f>
        <v/>
      </c>
      <c r="L837" s="1874">
        <f>IFERROR(FDS(MO.Ticker.FactSet,"P_PRICE_LOW"&amp;"("&amp;INDEX(MO_SNA_FPStartDate,0,COLUMN())&amp;","&amp;INDEX(MO_Common_QEndDate,0,COLUMN())&amp;",,,,""PRICE"",""CLOSE"")"),"N/A")</f>
        <v/>
      </c>
      <c r="M837" s="1874">
        <f>IFERROR(FDS(MO.Ticker.FactSet,"P_PRICE_LOW"&amp;"("&amp;INDEX(MO_SNA_FPStartDate,0,COLUMN())&amp;","&amp;INDEX(MO_Common_QEndDate,0,COLUMN())&amp;",,,,""PRICE"",""CLOSE"")"),"N/A")</f>
        <v/>
      </c>
      <c r="N837" s="1874">
        <f>IFERROR(FDS(MO.Ticker.FactSet,"P_PRICE_LOW"&amp;"("&amp;INDEX(MO_SNA_FPStartDate,0,COLUMN())&amp;","&amp;INDEX(MO_Common_QEndDate,0,COLUMN())&amp;",,,,""PRICE"",""CLOSE"")"),"N/A")</f>
        <v/>
      </c>
      <c r="O837" s="1874">
        <f>IFERROR(FDS(MO.Ticker.FactSet,"P_PRICE_LOW"&amp;"("&amp;INDEX(MO_SNA_FPStartDate,0,COLUMN())&amp;","&amp;INDEX(MO_Common_QEndDate,0,COLUMN())&amp;",,,,""PRICE"",""CLOSE"")"),"N/A")</f>
        <v/>
      </c>
      <c r="P837" s="1874">
        <f>IFERROR(FDS(MO.Ticker.FactSet,"P_PRICE_LOW"&amp;"("&amp;INDEX(MO_SNA_FPStartDate,0,COLUMN())&amp;","&amp;INDEX(MO_Common_QEndDate,0,COLUMN())&amp;",,,,""PRICE"",""CLOSE"")"),"N/A")</f>
        <v/>
      </c>
      <c r="Q837" s="1874">
        <f>IFERROR(FDS(MO.Ticker.FactSet,"P_PRICE_LOW"&amp;"("&amp;INDEX(MO_SNA_FPStartDate,0,COLUMN())&amp;","&amp;INDEX(MO_Common_QEndDate,0,COLUMN())&amp;",,,,""PRICE"",""CLOSE"")"),"N/A")</f>
        <v/>
      </c>
      <c r="R837" s="1874">
        <f>IFERROR(FDS(MO.Ticker.FactSet,"P_PRICE_LOW"&amp;"("&amp;INDEX(MO_SNA_FPStartDate,0,COLUMN())&amp;","&amp;INDEX(MO_Common_QEndDate,0,COLUMN())&amp;",,,,""PRICE"",""CLOSE"")"),"N/A")</f>
        <v/>
      </c>
      <c r="S837" s="1874">
        <f>IFERROR(FDS(MO.Ticker.FactSet,"P_PRICE_LOW"&amp;"("&amp;INDEX(MO_SNA_FPStartDate,0,COLUMN())&amp;","&amp;INDEX(MO_Common_QEndDate,0,COLUMN())&amp;",,,,""PRICE"",""CLOSE"")"),"N/A")</f>
        <v/>
      </c>
      <c r="T837" s="1874">
        <f>IFERROR(FDS(MO.Ticker.FactSet,"P_PRICE_LOW"&amp;"("&amp;INDEX(MO_SNA_FPStartDate,0,COLUMN())&amp;","&amp;INDEX(MO_Common_QEndDate,0,COLUMN())&amp;",,,,""PRICE"",""CLOSE"")"),"N/A")</f>
        <v/>
      </c>
      <c r="U837" s="1874">
        <f>IFERROR(FDS(MO.Ticker.FactSet,"P_PRICE_LOW"&amp;"("&amp;INDEX(MO_SNA_FPStartDate,0,COLUMN())&amp;","&amp;INDEX(MO_Common_QEndDate,0,COLUMN())&amp;",,,,""PRICE"",""CLOSE"")"),"N/A")</f>
        <v/>
      </c>
      <c r="V837" s="1874">
        <f>IFERROR(FDS(MO.Ticker.FactSet,"P_PRICE_LOW"&amp;"("&amp;INDEX(MO_SNA_FPStartDate,0,COLUMN())&amp;","&amp;INDEX(MO_Common_QEndDate,0,COLUMN())&amp;",,,,""PRICE"",""CLOSE"")"),"N/A")</f>
        <v/>
      </c>
      <c r="W837" s="1874">
        <f>IFERROR(FDS(MO.Ticker.FactSet,"P_PRICE_LOW"&amp;"("&amp;INDEX(MO_SNA_FPStartDate,0,COLUMN())&amp;","&amp;INDEX(MO_Common_QEndDate,0,COLUMN())&amp;",,,,""PRICE"",""CLOSE"")"),"N/A")</f>
        <v/>
      </c>
      <c r="X837" s="1874">
        <f>IFERROR(FDS(MO.Ticker.FactSet,"P_PRICE_LOW"&amp;"("&amp;INDEX(MO_SNA_FPStartDate,0,COLUMN())&amp;","&amp;INDEX(MO_Common_QEndDate,0,COLUMN())&amp;",,,,""PRICE"",""CLOSE"")"),"N/A")</f>
        <v/>
      </c>
      <c r="Y837" s="1874">
        <f>IFERROR(FDS(MO.Ticker.FactSet,"P_PRICE_LOW"&amp;"("&amp;INDEX(MO_SNA_FPStartDate,0,COLUMN())&amp;","&amp;INDEX(MO_Common_QEndDate,0,COLUMN())&amp;",,,,""PRICE"",""CLOSE"")"),"N/A")</f>
        <v/>
      </c>
      <c r="Z837" s="1874">
        <f>IFERROR(FDS(MO.Ticker.FactSet,"P_PRICE_LOW"&amp;"("&amp;INDEX(MO_SNA_FPStartDate,0,COLUMN())&amp;","&amp;INDEX(MO_Common_QEndDate,0,COLUMN())&amp;",,,,""PRICE"",""CLOSE"")"),"N/A")</f>
        <v/>
      </c>
      <c r="AA837" s="1874">
        <f>IFERROR(FDS(MO.Ticker.FactSet,"P_PRICE_LOW"&amp;"("&amp;INDEX(MO_SNA_FPStartDate,0,COLUMN())&amp;","&amp;INDEX(MO_Common_QEndDate,0,COLUMN())&amp;",,,,""PRICE"",""CLOSE"")"),"N/A")</f>
        <v/>
      </c>
      <c r="AB837" s="1874">
        <f>IFERROR(FDS(MO.Ticker.FactSet,"P_PRICE_LOW"&amp;"("&amp;INDEX(MO_SNA_FPStartDate,0,COLUMN())&amp;","&amp;INDEX(MO_Common_QEndDate,0,COLUMN())&amp;",,,,""PRICE"",""CLOSE"")"),"N/A")</f>
        <v/>
      </c>
      <c r="AC837" s="1874">
        <f>IFERROR(FDS(MO.Ticker.FactSet,"P_PRICE_LOW"&amp;"("&amp;INDEX(MO_SNA_FPStartDate,0,COLUMN())&amp;","&amp;INDEX(MO_Common_QEndDate,0,COLUMN())&amp;",,,,""PRICE"",""CLOSE"")"),"N/A")</f>
        <v/>
      </c>
      <c r="AD837" s="1874">
        <f>IFERROR(FDS(MO.Ticker.FactSet,"P_PRICE_LOW"&amp;"("&amp;INDEX(MO_SNA_FPStartDate,0,COLUMN())&amp;","&amp;INDEX(MO_Common_QEndDate,0,COLUMN())&amp;",,,,""PRICE"",""CLOSE"")"),"N/A")</f>
        <v/>
      </c>
      <c r="AE837" s="1874">
        <f>IFERROR(FDS(MO.Ticker.FactSet,"P_PRICE_LOW"&amp;"("&amp;INDEX(MO_SNA_FPStartDate,0,COLUMN())&amp;","&amp;INDEX(MO_Common_QEndDate,0,COLUMN())&amp;",,,,""PRICE"",""CLOSE"")"),"N/A")</f>
        <v/>
      </c>
      <c r="AF837" s="1874">
        <f>IFERROR(FDS(MO.Ticker.FactSet,"P_PRICE_LOW"&amp;"("&amp;INDEX(MO_SNA_FPStartDate,0,COLUMN())&amp;","&amp;INDEX(MO_Common_QEndDate,0,COLUMN())&amp;",,,,""PRICE"",""CLOSE"")"),"N/A")</f>
        <v/>
      </c>
      <c r="AG837" s="1874">
        <f>IFERROR(FDS(MO.Ticker.FactSet,"P_PRICE_LOW"&amp;"("&amp;INDEX(MO_SNA_FPStartDate,0,COLUMN())&amp;","&amp;INDEX(MO_Common_QEndDate,0,COLUMN())&amp;",,,,""PRICE"",""CLOSE"")"),"N/A")</f>
        <v/>
      </c>
      <c r="AH837" s="1874">
        <f>IFERROR(FDS(MO.Ticker.FactSet,"P_PRICE_LOW"&amp;"("&amp;INDEX(MO_SNA_FPStartDate,0,COLUMN())&amp;","&amp;INDEX(MO_Common_QEndDate,0,COLUMN())&amp;",,,,""PRICE"",""CLOSE"")"),"N/A")</f>
        <v/>
      </c>
      <c r="AI837" s="1874">
        <f>IFERROR(FDS(MO.Ticker.FactSet,"P_PRICE_LOW"&amp;"("&amp;INDEX(MO_SNA_FPStartDate,0,COLUMN())&amp;","&amp;INDEX(MO_Common_QEndDate,0,COLUMN())&amp;",,,,""PRICE"",""CLOSE"")"),"N/A")</f>
        <v/>
      </c>
      <c r="AJ837" s="1874">
        <f>IFERROR(FDS(MO.Ticker.FactSet,"P_PRICE_LOW"&amp;"("&amp;INDEX(MO_SNA_FPStartDate,0,COLUMN())&amp;","&amp;INDEX(MO_Common_QEndDate,0,COLUMN())&amp;",,,,""PRICE"",""CLOSE"")"),"N/A")</f>
        <v/>
      </c>
      <c r="AK837" s="1969">
        <f>IFERROR(FDS(MO.Ticker.FactSet,"P_PRICE_LOW"&amp;"("&amp;INDEX(MO_SNA_FPStartDate,0,COLUMN())&amp;","&amp;INDEX(MO_Common_QEndDate,0,COLUMN())&amp;",,,,""PRICE"",""CLOSE"")"),"N/A")</f>
        <v/>
      </c>
      <c r="AL837" s="1967">
        <f>IFERROR(FDS(MO.Ticker.FactSet,"P_PRICE_LOW"&amp;"("&amp;INDEX(MO_SNA_FPStartDate,0,COLUMN())&amp;","&amp;INDEX(MO_Common_QEndDate,0,COLUMN())&amp;",,,,""PRICE"",""CLOSE"")"),"N/A")</f>
        <v/>
      </c>
      <c r="AM837" s="1967">
        <f>IFERROR(FDS(MO.Ticker.FactSet,"P_PRICE_LOW"&amp;"("&amp;INDEX(MO_SNA_FPStartDate,0,COLUMN())&amp;","&amp;INDEX(MO_Common_QEndDate,0,COLUMN())&amp;",,,,""PRICE"",""CLOSE"")"),"N/A")</f>
        <v/>
      </c>
      <c r="AN837" s="1967">
        <f>IFERROR(FDS(MO.Ticker.FactSet,"P_PRICE_LOW"&amp;"("&amp;INDEX(MO_SNA_FPStartDate,0,COLUMN())&amp;","&amp;INDEX(MO_Common_QEndDate,0,COLUMN())&amp;",,,,""PRICE"",""CLOSE"")"),"N/A")</f>
        <v/>
      </c>
      <c r="AO837" s="1967">
        <f>IFERROR(FDS(MO.Ticker.FactSet,"P_PRICE_LOW"&amp;"("&amp;INDEX(MO_SNA_FPStartDate,0,COLUMN())&amp;","&amp;INDEX(MO_Common_QEndDate,0,COLUMN())&amp;",,,,""PRICE"",""CLOSE"")"),"N/A")</f>
        <v/>
      </c>
      <c r="AP837" s="1967">
        <f>IFERROR(FDS(MO.Ticker.FactSet,"P_PRICE_LOW"&amp;"("&amp;INDEX(MO_SNA_FPStartDate,0,COLUMN())&amp;","&amp;INDEX(MO_Common_QEndDate,0,COLUMN())&amp;",,,,""PRICE"",""CLOSE"")"),"N/A")</f>
        <v/>
      </c>
      <c r="AQ837" s="1967">
        <f>IFERROR(FDS(MO.Ticker.FactSet,"P_PRICE_LOW"&amp;"("&amp;INDEX(MO_SNA_FPStartDate,0,COLUMN())&amp;","&amp;INDEX(MO_Common_QEndDate,0,COLUMN())&amp;",,,,""PRICE"",""CLOSE"")"),"N/A")</f>
        <v/>
      </c>
      <c r="AR837" s="1967">
        <f>IFERROR(FDS(MO.Ticker.FactSet,"P_PRICE_LOW"&amp;"("&amp;INDEX(MO_SNA_FPStartDate,0,COLUMN())&amp;","&amp;INDEX(MO_Common_QEndDate,0,COLUMN())&amp;",,,,""PRICE"",""CLOSE"")"),"N/A")</f>
        <v/>
      </c>
      <c r="AS837" s="1967">
        <f>IFERROR(FDS(MO.Ticker.FactSet,"P_PRICE_LOW"&amp;"("&amp;INDEX(MO_SNA_FPStartDate,0,COLUMN())&amp;","&amp;INDEX(MO_Common_QEndDate,0,COLUMN())&amp;",,,,""PRICE"",""CLOSE"")"),"N/A")</f>
        <v/>
      </c>
      <c r="AT837" s="1967">
        <f>IFERROR(FDS(MO.Ticker.FactSet,"P_PRICE_LOW"&amp;"("&amp;INDEX(MO_SNA_FPStartDate,0,COLUMN())&amp;","&amp;INDEX(MO_Common_QEndDate,0,COLUMN())&amp;",,,,""PRICE"",""CLOSE"")"),"N/A")</f>
        <v/>
      </c>
      <c r="AU837" s="1970">
        <f>IFERROR(FDS(MO.Ticker.FactSet,"P_PRICE_LOW"&amp;"("&amp;INDEX(MO_SNA_FPStartDate,0,COLUMN())&amp;","&amp;INDEX(MO_Common_QEndDate,0,COLUMN())&amp;",,,,""PRICE"",""CLOSE"")"),"N/A")</f>
        <v/>
      </c>
      <c r="AV837" s="1874" t="n"/>
    </row>
    <row r="838" hidden="1" outlineLevel="1" ht="14.4" customFormat="1" customHeight="1" s="1867">
      <c r="A838" s="1971" t="inlineStr">
        <is>
          <t>Refinitiv</t>
        </is>
      </c>
      <c r="B838" s="1967" t="n"/>
      <c r="C838" s="1968">
        <f>IFERROR(_xll.TR(MO.Ticker.Thomson,"Min(TR.PriceLow)","sdate:#1 edate:#2",,INDEX(MO_SNA_FPStartDate,0,COLUMN()),INDEX(MO_Common_QEndDate,0,COLUMN())),"N/A")</f>
        <v/>
      </c>
      <c r="D838" s="1968">
        <f>IFERROR(_xll.TR(MO.Ticker.Thomson,"Min(TR.PriceLow)","sdate:#1 edate:#2",,INDEX(MO_SNA_FPStartDate,0,COLUMN()),INDEX(MO_Common_QEndDate,0,COLUMN())),"N/A")</f>
        <v/>
      </c>
      <c r="E838" s="1874">
        <f>IFERROR(_xll.TR(MO.Ticker.Thomson,"Min(TR.PriceLow)","sdate:#1 edate:#2",,INDEX(MO_SNA_FPStartDate,0,COLUMN()),INDEX(MO_Common_QEndDate,0,COLUMN())),"N/A")</f>
        <v/>
      </c>
      <c r="F838" s="1874">
        <f>IFERROR(_xll.TR(MO.Ticker.Thomson,"Min(TR.PriceLow)","sdate:#1 edate:#2",,INDEX(MO_SNA_FPStartDate,0,COLUMN()),INDEX(MO_Common_QEndDate,0,COLUMN())),"N/A")</f>
        <v/>
      </c>
      <c r="G838" s="1874">
        <f>IFERROR(_xll.TR(MO.Ticker.Thomson,"Min(TR.PriceLow)","sdate:#1 edate:#2",,INDEX(MO_SNA_FPStartDate,0,COLUMN()),INDEX(MO_Common_QEndDate,0,COLUMN())),"N/A")</f>
        <v/>
      </c>
      <c r="H838" s="1874">
        <f>IFERROR(_xll.TR(MO.Ticker.Thomson,"Min(TR.PriceLow)","sdate:#1 edate:#2",,INDEX(MO_SNA_FPStartDate,0,COLUMN()),INDEX(MO_Common_QEndDate,0,COLUMN())),"N/A")</f>
        <v/>
      </c>
      <c r="I838" s="1874">
        <f>IFERROR(_xll.TR(MO.Ticker.Thomson,"Min(TR.PriceLow)","sdate:#1 edate:#2",,INDEX(MO_SNA_FPStartDate,0,COLUMN()),INDEX(MO_Common_QEndDate,0,COLUMN())),"N/A")</f>
        <v/>
      </c>
      <c r="J838" s="1874">
        <f>IFERROR(_xll.TR(MO.Ticker.Thomson,"Min(TR.PriceLow)","sdate:#1 edate:#2",,INDEX(MO_SNA_FPStartDate,0,COLUMN()),INDEX(MO_Common_QEndDate,0,COLUMN())),"N/A")</f>
        <v/>
      </c>
      <c r="K838" s="1874">
        <f>IFERROR(_xll.TR(MO.Ticker.Thomson,"Min(TR.PriceLow)","sdate:#1 edate:#2",,INDEX(MO_SNA_FPStartDate,0,COLUMN()),INDEX(MO_Common_QEndDate,0,COLUMN())),"N/A")</f>
        <v/>
      </c>
      <c r="L838" s="1874">
        <f>IFERROR(_xll.TR(MO.Ticker.Thomson,"Min(TR.PriceLow)","sdate:#1 edate:#2",,INDEX(MO_SNA_FPStartDate,0,COLUMN()),INDEX(MO_Common_QEndDate,0,COLUMN())),"N/A")</f>
        <v/>
      </c>
      <c r="M838" s="1874">
        <f>IFERROR(_xll.TR(MO.Ticker.Thomson,"Min(TR.PriceLow)","sdate:#1 edate:#2",,INDEX(MO_SNA_FPStartDate,0,COLUMN()),INDEX(MO_Common_QEndDate,0,COLUMN())),"N/A")</f>
        <v/>
      </c>
      <c r="N838" s="1874">
        <f>IFERROR(_xll.TR(MO.Ticker.Thomson,"Min(TR.PriceLow)","sdate:#1 edate:#2",,INDEX(MO_SNA_FPStartDate,0,COLUMN()),INDEX(MO_Common_QEndDate,0,COLUMN())),"N/A")</f>
        <v/>
      </c>
      <c r="O838" s="1874">
        <f>IFERROR(_xll.TR(MO.Ticker.Thomson,"Min(TR.PriceLow)","sdate:#1 edate:#2",,INDEX(MO_SNA_FPStartDate,0,COLUMN()),INDEX(MO_Common_QEndDate,0,COLUMN())),"N/A")</f>
        <v/>
      </c>
      <c r="P838" s="1874">
        <f>IFERROR(_xll.TR(MO.Ticker.Thomson,"Min(TR.PriceLow)","sdate:#1 edate:#2",,INDEX(MO_SNA_FPStartDate,0,COLUMN()),INDEX(MO_Common_QEndDate,0,COLUMN())),"N/A")</f>
        <v/>
      </c>
      <c r="Q838" s="1874">
        <f>IFERROR(_xll.TR(MO.Ticker.Thomson,"Min(TR.PriceLow)","sdate:#1 edate:#2",,INDEX(MO_SNA_FPStartDate,0,COLUMN()),INDEX(MO_Common_QEndDate,0,COLUMN())),"N/A")</f>
        <v/>
      </c>
      <c r="R838" s="1874">
        <f>IFERROR(_xll.TR(MO.Ticker.Thomson,"Min(TR.PriceLow)","sdate:#1 edate:#2",,INDEX(MO_SNA_FPStartDate,0,COLUMN()),INDEX(MO_Common_QEndDate,0,COLUMN())),"N/A")</f>
        <v/>
      </c>
      <c r="S838" s="1874">
        <f>IFERROR(_xll.TR(MO.Ticker.Thomson,"Min(TR.PriceLow)","sdate:#1 edate:#2",,INDEX(MO_SNA_FPStartDate,0,COLUMN()),INDEX(MO_Common_QEndDate,0,COLUMN())),"N/A")</f>
        <v/>
      </c>
      <c r="T838" s="1874">
        <f>IFERROR(_xll.TR(MO.Ticker.Thomson,"Min(TR.PriceLow)","sdate:#1 edate:#2",,INDEX(MO_SNA_FPStartDate,0,COLUMN()),INDEX(MO_Common_QEndDate,0,COLUMN())),"N/A")</f>
        <v/>
      </c>
      <c r="U838" s="1874">
        <f>IFERROR(_xll.TR(MO.Ticker.Thomson,"Min(TR.PriceLow)","sdate:#1 edate:#2",,INDEX(MO_SNA_FPStartDate,0,COLUMN()),INDEX(MO_Common_QEndDate,0,COLUMN())),"N/A")</f>
        <v/>
      </c>
      <c r="V838" s="1874">
        <f>IFERROR(_xll.TR(MO.Ticker.Thomson,"Min(TR.PriceLow)","sdate:#1 edate:#2",,INDEX(MO_SNA_FPStartDate,0,COLUMN()),INDEX(MO_Common_QEndDate,0,COLUMN())),"N/A")</f>
        <v/>
      </c>
      <c r="W838" s="1874">
        <f>IFERROR(_xll.TR(MO.Ticker.Thomson,"Min(TR.PriceLow)","sdate:#1 edate:#2",,INDEX(MO_SNA_FPStartDate,0,COLUMN()),INDEX(MO_Common_QEndDate,0,COLUMN())),"N/A")</f>
        <v/>
      </c>
      <c r="X838" s="1874">
        <f>IFERROR(_xll.TR(MO.Ticker.Thomson,"Min(TR.PriceLow)","sdate:#1 edate:#2",,INDEX(MO_SNA_FPStartDate,0,COLUMN()),INDEX(MO_Common_QEndDate,0,COLUMN())),"N/A")</f>
        <v/>
      </c>
      <c r="Y838" s="1874">
        <f>IFERROR(_xll.TR(MO.Ticker.Thomson,"Min(TR.PriceLow)","sdate:#1 edate:#2",,INDEX(MO_SNA_FPStartDate,0,COLUMN()),INDEX(MO_Common_QEndDate,0,COLUMN())),"N/A")</f>
        <v/>
      </c>
      <c r="Z838" s="1874">
        <f>IFERROR(_xll.TR(MO.Ticker.Thomson,"Min(TR.PriceLow)","sdate:#1 edate:#2",,INDEX(MO_SNA_FPStartDate,0,COLUMN()),INDEX(MO_Common_QEndDate,0,COLUMN())),"N/A")</f>
        <v/>
      </c>
      <c r="AA838" s="1874">
        <f>IFERROR(_xll.TR(MO.Ticker.Thomson,"Min(TR.PriceLow)","sdate:#1 edate:#2",,INDEX(MO_SNA_FPStartDate,0,COLUMN()),INDEX(MO_Common_QEndDate,0,COLUMN())),"N/A")</f>
        <v/>
      </c>
      <c r="AB838" s="1874">
        <f>IFERROR(_xll.TR(MO.Ticker.Thomson,"Min(TR.PriceLow)","sdate:#1 edate:#2",,INDEX(MO_SNA_FPStartDate,0,COLUMN()),INDEX(MO_Common_QEndDate,0,COLUMN())),"N/A")</f>
        <v/>
      </c>
      <c r="AC838" s="1874">
        <f>IFERROR(_xll.TR(MO.Ticker.Thomson,"Min(TR.PriceLow)","sdate:#1 edate:#2",,INDEX(MO_SNA_FPStartDate,0,COLUMN()),INDEX(MO_Common_QEndDate,0,COLUMN())),"N/A")</f>
        <v/>
      </c>
      <c r="AD838" s="1874">
        <f>IFERROR(_xll.TR(MO.Ticker.Thomson,"Min(TR.PriceLow)","sdate:#1 edate:#2",,INDEX(MO_SNA_FPStartDate,0,COLUMN()),INDEX(MO_Common_QEndDate,0,COLUMN())),"N/A")</f>
        <v/>
      </c>
      <c r="AE838" s="1874">
        <f>IFERROR(_xll.TR(MO.Ticker.Thomson,"Min(TR.PriceLow)","sdate:#1 edate:#2",,INDEX(MO_SNA_FPStartDate,0,COLUMN()),INDEX(MO_Common_QEndDate,0,COLUMN())),"N/A")</f>
        <v/>
      </c>
      <c r="AF838" s="1874">
        <f>IFERROR(_xll.TR(MO.Ticker.Thomson,"Min(TR.PriceLow)","sdate:#1 edate:#2",,INDEX(MO_SNA_FPStartDate,0,COLUMN()),INDEX(MO_Common_QEndDate,0,COLUMN())),"N/A")</f>
        <v/>
      </c>
      <c r="AG838" s="1874">
        <f>IFERROR(_xll.TR(MO.Ticker.Thomson,"Min(TR.PriceLow)","sdate:#1 edate:#2",,INDEX(MO_SNA_FPStartDate,0,COLUMN()),INDEX(MO_Common_QEndDate,0,COLUMN())),"N/A")</f>
        <v/>
      </c>
      <c r="AH838" s="1874">
        <f>IFERROR(_xll.TR(MO.Ticker.Thomson,"Min(TR.PriceLow)","sdate:#1 edate:#2",,INDEX(MO_SNA_FPStartDate,0,COLUMN()),INDEX(MO_Common_QEndDate,0,COLUMN())),"N/A")</f>
        <v/>
      </c>
      <c r="AI838" s="1874">
        <f>IFERROR(_xll.TR(MO.Ticker.Thomson,"Min(TR.PriceLow)","sdate:#1 edate:#2",,INDEX(MO_SNA_FPStartDate,0,COLUMN()),INDEX(MO_Common_QEndDate,0,COLUMN())),"N/A")</f>
        <v/>
      </c>
      <c r="AJ838" s="1874">
        <f>IFERROR(_xll.TR(MO.Ticker.Thomson,"Min(TR.PriceLow)","sdate:#1 edate:#2",,INDEX(MO_SNA_FPStartDate,0,COLUMN()),INDEX(MO_Common_QEndDate,0,COLUMN())),"N/A")</f>
        <v/>
      </c>
      <c r="AK838" s="1969">
        <f>IFERROR(_xll.TR(MO.Ticker.Thomson,"Min(TR.PriceLow)","sdate:#1 edate:#2",,INDEX(MO_SNA_FPStartDate,0,COLUMN()),INDEX(MO_Common_QEndDate,0,COLUMN())),"N/A")</f>
        <v/>
      </c>
      <c r="AL838" s="1967">
        <f>IFERROR(_xll.TR(MO.Ticker.Thomson,"Min(TR.PriceLow)","sdate:#1 edate:#2",,INDEX(MO_SNA_FPStartDate,0,COLUMN()),INDEX(MO_Common_QEndDate,0,COLUMN())),"N/A")</f>
        <v/>
      </c>
      <c r="AM838" s="1967">
        <f>IFERROR(_xll.TR(MO.Ticker.Thomson,"Min(TR.PriceLow)","sdate:#1 edate:#2",,INDEX(MO_SNA_FPStartDate,0,COLUMN()),INDEX(MO_Common_QEndDate,0,COLUMN())),"N/A")</f>
        <v/>
      </c>
      <c r="AN838" s="1967">
        <f>IFERROR(_xll.TR(MO.Ticker.Thomson,"Min(TR.PriceLow)","sdate:#1 edate:#2",,INDEX(MO_SNA_FPStartDate,0,COLUMN()),INDEX(MO_Common_QEndDate,0,COLUMN())),"N/A")</f>
        <v/>
      </c>
      <c r="AO838" s="1967">
        <f>IFERROR(_xll.TR(MO.Ticker.Thomson,"Min(TR.PriceLow)","sdate:#1 edate:#2",,INDEX(MO_SNA_FPStartDate,0,COLUMN()),INDEX(MO_Common_QEndDate,0,COLUMN())),"N/A")</f>
        <v/>
      </c>
      <c r="AP838" s="1967">
        <f>IFERROR(_xll.TR(MO.Ticker.Thomson,"Min(TR.PriceLow)","sdate:#1 edate:#2",,INDEX(MO_SNA_FPStartDate,0,COLUMN()),INDEX(MO_Common_QEndDate,0,COLUMN())),"N/A")</f>
        <v/>
      </c>
      <c r="AQ838" s="1967">
        <f>IFERROR(_xll.TR(MO.Ticker.Thomson,"Min(TR.PriceLow)","sdate:#1 edate:#2",,INDEX(MO_SNA_FPStartDate,0,COLUMN()),INDEX(MO_Common_QEndDate,0,COLUMN())),"N/A")</f>
        <v/>
      </c>
      <c r="AR838" s="1967">
        <f>IFERROR(_xll.TR(MO.Ticker.Thomson,"Min(TR.PriceLow)","sdate:#1 edate:#2",,INDEX(MO_SNA_FPStartDate,0,COLUMN()),INDEX(MO_Common_QEndDate,0,COLUMN())),"N/A")</f>
        <v/>
      </c>
      <c r="AS838" s="1967">
        <f>IFERROR(_xll.TR(MO.Ticker.Thomson,"Min(TR.PriceLow)","sdate:#1 edate:#2",,INDEX(MO_SNA_FPStartDate,0,COLUMN()),INDEX(MO_Common_QEndDate,0,COLUMN())),"N/A")</f>
        <v/>
      </c>
      <c r="AT838" s="1967">
        <f>IFERROR(_xll.TR(MO.Ticker.Thomson,"Min(TR.PriceLow)","sdate:#1 edate:#2",,INDEX(MO_SNA_FPStartDate,0,COLUMN()),INDEX(MO_Common_QEndDate,0,COLUMN())),"N/A")</f>
        <v/>
      </c>
      <c r="AU838" s="1970">
        <f>IFERROR(_xll.TR(MO.Ticker.Thomson,"Min(TR.PriceLow)","sdate:#1 edate:#2",,INDEX(MO_SNA_FPStartDate,0,COLUMN()),INDEX(MO_Common_QEndDate,0,COLUMN())),"N/A")</f>
        <v/>
      </c>
      <c r="AV838" s="1874" t="n"/>
    </row>
    <row r="839" hidden="1" outlineLevel="1" ht="14.4" customFormat="1" customHeight="1" s="1418">
      <c r="A839" s="1975" t="n"/>
      <c r="B839" s="1420" t="n"/>
      <c r="C839" s="1919" t="n"/>
      <c r="D839" s="1919" t="n"/>
      <c r="E839" s="1420" t="n"/>
      <c r="F839" s="1420" t="n"/>
      <c r="G839" s="1420" t="n"/>
      <c r="H839" s="1420" t="n"/>
      <c r="I839" s="1420" t="n"/>
      <c r="J839" s="1420" t="n"/>
      <c r="K839" s="1420" t="n"/>
      <c r="L839" s="1420" t="n"/>
      <c r="M839" s="1420" t="n"/>
      <c r="N839" s="1420" t="n"/>
      <c r="O839" s="1420" t="n"/>
      <c r="P839" s="1420" t="n"/>
      <c r="Q839" s="1420" t="n"/>
      <c r="R839" s="1420" t="n"/>
      <c r="S839" s="1420" t="n"/>
      <c r="T839" s="1420" t="n"/>
      <c r="U839" s="1420" t="n"/>
      <c r="V839" s="1420" t="n"/>
      <c r="W839" s="1420" t="n"/>
      <c r="X839" s="1420" t="n"/>
      <c r="Y839" s="1420" t="n"/>
      <c r="Z839" s="1420" t="n"/>
      <c r="AA839" s="1420" t="n"/>
      <c r="AB839" s="1420" t="n"/>
      <c r="AC839" s="1420" t="n"/>
      <c r="AD839" s="1420" t="n"/>
      <c r="AE839" s="1420" t="n"/>
      <c r="AF839" s="1420" t="n"/>
      <c r="AG839" s="1420" t="n"/>
      <c r="AH839" s="1420" t="n"/>
      <c r="AI839" s="1420" t="n"/>
      <c r="AJ839" s="1420" t="n"/>
      <c r="AK839" s="1421" t="n"/>
      <c r="AL839" s="1420" t="n"/>
      <c r="AM839" s="1420" t="n"/>
      <c r="AN839" s="1420" t="n"/>
      <c r="AO839" s="1420" t="n"/>
      <c r="AP839" s="1420" t="n"/>
      <c r="AQ839" s="1420" t="n"/>
      <c r="AR839" s="1420" t="n"/>
      <c r="AS839" s="1420" t="n"/>
      <c r="AT839" s="1420" t="n"/>
      <c r="AU839" s="1976" t="n"/>
      <c r="AV839" s="1422" t="n"/>
    </row>
    <row r="840" collapsed="1" ht="14.4" customFormat="1" customHeight="1" s="1867">
      <c r="A840" s="1966">
        <f>"Stock Average: "&amp;IF(OR(MO.RealTimeStockPriceToggle=FALSE,VLOOKUP(MO.DataSourceName,MO_SPT_StockAverage_Sources,COLUMN()+2,FALSE)="N/A"),"Real-Time Off Source",MO.DataSourceName)</f>
        <v/>
      </c>
      <c r="B840" s="1967" t="n"/>
      <c r="C840" s="1968">
        <f>IF(OR(MO.RealTimeStockPriceToggle=FALSE,VLOOKUP(MO.DataSourceName,MO_SPT_StockAverage_Sources,COLUMN(),FALSE)="N/A"),VLOOKUP("Real-Time Off Source",MO_SPT_StockAverage_Sources,COLUMN(),FALSE),VLOOKUP(MO.DataSourceName,MO_SPT_StockAverage_Sources,COLUMN(),FALSE))</f>
        <v/>
      </c>
      <c r="D840" s="1968">
        <f>IF(OR(MO.RealTimeStockPriceToggle=FALSE,VLOOKUP(MO.DataSourceName,MO_SPT_StockAverage_Sources,COLUMN(),FALSE)="N/A"),VLOOKUP("Real-Time Off Source",MO_SPT_StockAverage_Sources,COLUMN(),FALSE),VLOOKUP(MO.DataSourceName,MO_SPT_StockAverage_Sources,COLUMN(),FALSE))</f>
        <v/>
      </c>
      <c r="E840" s="1874">
        <f>IF(OR(MO.RealTimeStockPriceToggle=FALSE,VLOOKUP(MO.DataSourceName,MO_SPT_StockAverage_Sources,COLUMN(),FALSE)="N/A"),VLOOKUP("Real-Time Off Source",MO_SPT_StockAverage_Sources,COLUMN(),FALSE),VLOOKUP(MO.DataSourceName,MO_SPT_StockAverage_Sources,COLUMN(),FALSE))</f>
        <v/>
      </c>
      <c r="F840" s="1874">
        <f>IF(OR(MO.RealTimeStockPriceToggle=FALSE,VLOOKUP(MO.DataSourceName,MO_SPT_StockAverage_Sources,COLUMN(),FALSE)="N/A"),VLOOKUP("Real-Time Off Source",MO_SPT_StockAverage_Sources,COLUMN(),FALSE),VLOOKUP(MO.DataSourceName,MO_SPT_StockAverage_Sources,COLUMN(),FALSE))</f>
        <v/>
      </c>
      <c r="G840" s="1874">
        <f>IF(OR(MO.RealTimeStockPriceToggle=FALSE,VLOOKUP(MO.DataSourceName,MO_SPT_StockAverage_Sources,COLUMN(),FALSE)="N/A"),VLOOKUP("Real-Time Off Source",MO_SPT_StockAverage_Sources,COLUMN(),FALSE),VLOOKUP(MO.DataSourceName,MO_SPT_StockAverage_Sources,COLUMN(),FALSE))</f>
        <v/>
      </c>
      <c r="H840" s="1874">
        <f>IF(OR(MO.RealTimeStockPriceToggle=FALSE,VLOOKUP(MO.DataSourceName,MO_SPT_StockAverage_Sources,COLUMN(),FALSE)="N/A"),VLOOKUP("Real-Time Off Source",MO_SPT_StockAverage_Sources,COLUMN(),FALSE),VLOOKUP(MO.DataSourceName,MO_SPT_StockAverage_Sources,COLUMN(),FALSE))</f>
        <v/>
      </c>
      <c r="I840" s="1874">
        <f>IF(OR(MO.RealTimeStockPriceToggle=FALSE,VLOOKUP(MO.DataSourceName,MO_SPT_StockAverage_Sources,COLUMN(),FALSE)="N/A"),VLOOKUP("Real-Time Off Source",MO_SPT_StockAverage_Sources,COLUMN(),FALSE),VLOOKUP(MO.DataSourceName,MO_SPT_StockAverage_Sources,COLUMN(),FALSE))</f>
        <v/>
      </c>
      <c r="J840" s="1874">
        <f>IF(OR(MO.RealTimeStockPriceToggle=FALSE,VLOOKUP(MO.DataSourceName,MO_SPT_StockAverage_Sources,COLUMN(),FALSE)="N/A"),VLOOKUP("Real-Time Off Source",MO_SPT_StockAverage_Sources,COLUMN(),FALSE),VLOOKUP(MO.DataSourceName,MO_SPT_StockAverage_Sources,COLUMN(),FALSE))</f>
        <v/>
      </c>
      <c r="K840" s="1874">
        <f>IF(OR(MO.RealTimeStockPriceToggle=FALSE,VLOOKUP(MO.DataSourceName,MO_SPT_StockAverage_Sources,COLUMN(),FALSE)="N/A"),VLOOKUP("Real-Time Off Source",MO_SPT_StockAverage_Sources,COLUMN(),FALSE),VLOOKUP(MO.DataSourceName,MO_SPT_StockAverage_Sources,COLUMN(),FALSE))</f>
        <v/>
      </c>
      <c r="L840" s="1874">
        <f>IF(OR(MO.RealTimeStockPriceToggle=FALSE,VLOOKUP(MO.DataSourceName,MO_SPT_StockAverage_Sources,COLUMN(),FALSE)="N/A"),VLOOKUP("Real-Time Off Source",MO_SPT_StockAverage_Sources,COLUMN(),FALSE),VLOOKUP(MO.DataSourceName,MO_SPT_StockAverage_Sources,COLUMN(),FALSE))</f>
        <v/>
      </c>
      <c r="M840" s="1874">
        <f>IF(OR(MO.RealTimeStockPriceToggle=FALSE,VLOOKUP(MO.DataSourceName,MO_SPT_StockAverage_Sources,COLUMN(),FALSE)="N/A"),VLOOKUP("Real-Time Off Source",MO_SPT_StockAverage_Sources,COLUMN(),FALSE),VLOOKUP(MO.DataSourceName,MO_SPT_StockAverage_Sources,COLUMN(),FALSE))</f>
        <v/>
      </c>
      <c r="N840" s="1874">
        <f>IF(OR(MO.RealTimeStockPriceToggle=FALSE,VLOOKUP(MO.DataSourceName,MO_SPT_StockAverage_Sources,COLUMN(),FALSE)="N/A"),VLOOKUP("Real-Time Off Source",MO_SPT_StockAverage_Sources,COLUMN(),FALSE),VLOOKUP(MO.DataSourceName,MO_SPT_StockAverage_Sources,COLUMN(),FALSE))</f>
        <v/>
      </c>
      <c r="O840" s="1874">
        <f>IF(OR(MO.RealTimeStockPriceToggle=FALSE,VLOOKUP(MO.DataSourceName,MO_SPT_StockAverage_Sources,COLUMN(),FALSE)="N/A"),VLOOKUP("Real-Time Off Source",MO_SPT_StockAverage_Sources,COLUMN(),FALSE),VLOOKUP(MO.DataSourceName,MO_SPT_StockAverage_Sources,COLUMN(),FALSE))</f>
        <v/>
      </c>
      <c r="P840" s="1874">
        <f>IF(OR(MO.RealTimeStockPriceToggle=FALSE,VLOOKUP(MO.DataSourceName,MO_SPT_StockAverage_Sources,COLUMN(),FALSE)="N/A"),VLOOKUP("Real-Time Off Source",MO_SPT_StockAverage_Sources,COLUMN(),FALSE),VLOOKUP(MO.DataSourceName,MO_SPT_StockAverage_Sources,COLUMN(),FALSE))</f>
        <v/>
      </c>
      <c r="Q840" s="1874">
        <f>IF(OR(MO.RealTimeStockPriceToggle=FALSE,VLOOKUP(MO.DataSourceName,MO_SPT_StockAverage_Sources,COLUMN(),FALSE)="N/A"),VLOOKUP("Real-Time Off Source",MO_SPT_StockAverage_Sources,COLUMN(),FALSE),VLOOKUP(MO.DataSourceName,MO_SPT_StockAverage_Sources,COLUMN(),FALSE))</f>
        <v/>
      </c>
      <c r="R840" s="1874">
        <f>IF(OR(MO.RealTimeStockPriceToggle=FALSE,VLOOKUP(MO.DataSourceName,MO_SPT_StockAverage_Sources,COLUMN(),FALSE)="N/A"),VLOOKUP("Real-Time Off Source",MO_SPT_StockAverage_Sources,COLUMN(),FALSE),VLOOKUP(MO.DataSourceName,MO_SPT_StockAverage_Sources,COLUMN(),FALSE))</f>
        <v/>
      </c>
      <c r="S840" s="1874">
        <f>IF(OR(MO.RealTimeStockPriceToggle=FALSE,VLOOKUP(MO.DataSourceName,MO_SPT_StockAverage_Sources,COLUMN(),FALSE)="N/A"),VLOOKUP("Real-Time Off Source",MO_SPT_StockAverage_Sources,COLUMN(),FALSE),VLOOKUP(MO.DataSourceName,MO_SPT_StockAverage_Sources,COLUMN(),FALSE))</f>
        <v/>
      </c>
      <c r="T840" s="1874">
        <f>IF(OR(MO.RealTimeStockPriceToggle=FALSE,VLOOKUP(MO.DataSourceName,MO_SPT_StockAverage_Sources,COLUMN(),FALSE)="N/A"),VLOOKUP("Real-Time Off Source",MO_SPT_StockAverage_Sources,COLUMN(),FALSE),VLOOKUP(MO.DataSourceName,MO_SPT_StockAverage_Sources,COLUMN(),FALSE))</f>
        <v/>
      </c>
      <c r="U840" s="1874">
        <f>IF(OR(MO.RealTimeStockPriceToggle=FALSE,VLOOKUP(MO.DataSourceName,MO_SPT_StockAverage_Sources,COLUMN(),FALSE)="N/A"),VLOOKUP("Real-Time Off Source",MO_SPT_StockAverage_Sources,COLUMN(),FALSE),VLOOKUP(MO.DataSourceName,MO_SPT_StockAverage_Sources,COLUMN(),FALSE))</f>
        <v/>
      </c>
      <c r="V840" s="1874">
        <f>IF(OR(MO.RealTimeStockPriceToggle=FALSE,VLOOKUP(MO.DataSourceName,MO_SPT_StockAverage_Sources,COLUMN(),FALSE)="N/A"),VLOOKUP("Real-Time Off Source",MO_SPT_StockAverage_Sources,COLUMN(),FALSE),VLOOKUP(MO.DataSourceName,MO_SPT_StockAverage_Sources,COLUMN(),FALSE))</f>
        <v/>
      </c>
      <c r="W840" s="1874">
        <f>IF(OR(MO.RealTimeStockPriceToggle=FALSE,VLOOKUP(MO.DataSourceName,MO_SPT_StockAverage_Sources,COLUMN(),FALSE)="N/A"),VLOOKUP("Real-Time Off Source",MO_SPT_StockAverage_Sources,COLUMN(),FALSE),VLOOKUP(MO.DataSourceName,MO_SPT_StockAverage_Sources,COLUMN(),FALSE))</f>
        <v/>
      </c>
      <c r="X840" s="1874">
        <f>IF(OR(MO.RealTimeStockPriceToggle=FALSE,VLOOKUP(MO.DataSourceName,MO_SPT_StockAverage_Sources,COLUMN(),FALSE)="N/A"),VLOOKUP("Real-Time Off Source",MO_SPT_StockAverage_Sources,COLUMN(),FALSE),VLOOKUP(MO.DataSourceName,MO_SPT_StockAverage_Sources,COLUMN(),FALSE))</f>
        <v/>
      </c>
      <c r="Y840" s="1874">
        <f>IF(OR(MO.RealTimeStockPriceToggle=FALSE,VLOOKUP(MO.DataSourceName,MO_SPT_StockAverage_Sources,COLUMN(),FALSE)="N/A"),VLOOKUP("Real-Time Off Source",MO_SPT_StockAverage_Sources,COLUMN(),FALSE),VLOOKUP(MO.DataSourceName,MO_SPT_StockAverage_Sources,COLUMN(),FALSE))</f>
        <v/>
      </c>
      <c r="Z840" s="1874">
        <f>IF(OR(MO.RealTimeStockPriceToggle=FALSE,VLOOKUP(MO.DataSourceName,MO_SPT_StockAverage_Sources,COLUMN(),FALSE)="N/A"),VLOOKUP("Real-Time Off Source",MO_SPT_StockAverage_Sources,COLUMN(),FALSE),VLOOKUP(MO.DataSourceName,MO_SPT_StockAverage_Sources,COLUMN(),FALSE))</f>
        <v/>
      </c>
      <c r="AA840" s="1874">
        <f>IF(OR(MO.RealTimeStockPriceToggle=FALSE,VLOOKUP(MO.DataSourceName,MO_SPT_StockAverage_Sources,COLUMN(),FALSE)="N/A"),VLOOKUP("Real-Time Off Source",MO_SPT_StockAverage_Sources,COLUMN(),FALSE),VLOOKUP(MO.DataSourceName,MO_SPT_StockAverage_Sources,COLUMN(),FALSE))</f>
        <v/>
      </c>
      <c r="AB840" s="1874">
        <f>IF(OR(MO.RealTimeStockPriceToggle=FALSE,VLOOKUP(MO.DataSourceName,MO_SPT_StockAverage_Sources,COLUMN(),FALSE)="N/A"),VLOOKUP("Real-Time Off Source",MO_SPT_StockAverage_Sources,COLUMN(),FALSE),VLOOKUP(MO.DataSourceName,MO_SPT_StockAverage_Sources,COLUMN(),FALSE))</f>
        <v/>
      </c>
      <c r="AC840" s="1874">
        <f>IF(OR(MO.RealTimeStockPriceToggle=FALSE,VLOOKUP(MO.DataSourceName,MO_SPT_StockAverage_Sources,COLUMN(),FALSE)="N/A"),VLOOKUP("Real-Time Off Source",MO_SPT_StockAverage_Sources,COLUMN(),FALSE),VLOOKUP(MO.DataSourceName,MO_SPT_StockAverage_Sources,COLUMN(),FALSE))</f>
        <v/>
      </c>
      <c r="AD840" s="1874">
        <f>IF(OR(MO.RealTimeStockPriceToggle=FALSE,VLOOKUP(MO.DataSourceName,MO_SPT_StockAverage_Sources,COLUMN(),FALSE)="N/A"),VLOOKUP("Real-Time Off Source",MO_SPT_StockAverage_Sources,COLUMN(),FALSE),VLOOKUP(MO.DataSourceName,MO_SPT_StockAverage_Sources,COLUMN(),FALSE))</f>
        <v/>
      </c>
      <c r="AE840" s="1874">
        <f>IF(OR(MO.RealTimeStockPriceToggle=FALSE,VLOOKUP(MO.DataSourceName,MO_SPT_StockAverage_Sources,COLUMN(),FALSE)="N/A"),VLOOKUP("Real-Time Off Source",MO_SPT_StockAverage_Sources,COLUMN(),FALSE),VLOOKUP(MO.DataSourceName,MO_SPT_StockAverage_Sources,COLUMN(),FALSE))</f>
        <v/>
      </c>
      <c r="AF840" s="1874">
        <f>IF(OR(MO.RealTimeStockPriceToggle=FALSE,VLOOKUP(MO.DataSourceName,MO_SPT_StockAverage_Sources,COLUMN(),FALSE)="N/A"),VLOOKUP("Real-Time Off Source",MO_SPT_StockAverage_Sources,COLUMN(),FALSE),VLOOKUP(MO.DataSourceName,MO_SPT_StockAverage_Sources,COLUMN(),FALSE))</f>
        <v/>
      </c>
      <c r="AG840" s="1874">
        <f>IF(OR(MO.RealTimeStockPriceToggle=FALSE,VLOOKUP(MO.DataSourceName,MO_SPT_StockAverage_Sources,COLUMN(),FALSE)="N/A"),VLOOKUP("Real-Time Off Source",MO_SPT_StockAverage_Sources,COLUMN(),FALSE),VLOOKUP(MO.DataSourceName,MO_SPT_StockAverage_Sources,COLUMN(),FALSE))</f>
        <v/>
      </c>
      <c r="AH840" s="1874">
        <f>IF(OR(MO.RealTimeStockPriceToggle=FALSE,VLOOKUP(MO.DataSourceName,MO_SPT_StockAverage_Sources,COLUMN(),FALSE)="N/A"),VLOOKUP("Real-Time Off Source",MO_SPT_StockAverage_Sources,COLUMN(),FALSE),VLOOKUP(MO.DataSourceName,MO_SPT_StockAverage_Sources,COLUMN(),FALSE))</f>
        <v/>
      </c>
      <c r="AI840" s="1874">
        <f>IF(OR(MO.RealTimeStockPriceToggle=FALSE,VLOOKUP(MO.DataSourceName,MO_SPT_StockAverage_Sources,COLUMN(),FALSE)="N/A"),VLOOKUP("Real-Time Off Source",MO_SPT_StockAverage_Sources,COLUMN(),FALSE),VLOOKUP(MO.DataSourceName,MO_SPT_StockAverage_Sources,COLUMN(),FALSE))</f>
        <v/>
      </c>
      <c r="AJ840" s="1874">
        <f>IF(OR(MO.RealTimeStockPriceToggle=FALSE,VLOOKUP(MO.DataSourceName,MO_SPT_StockAverage_Sources,COLUMN(),FALSE)="N/A"),VLOOKUP("Real-Time Off Source",MO_SPT_StockAverage_Sources,COLUMN(),FALSE),VLOOKUP(MO.DataSourceName,MO_SPT_StockAverage_Sources,COLUMN(),FALSE))</f>
        <v/>
      </c>
      <c r="AK840" s="1969">
        <f>IF(OR(MO.RealTimeStockPriceToggle=FALSE,VLOOKUP(MO.DataSourceName,MO_SPT_StockAverage_Sources,COLUMN(),FALSE)="N/A"),VLOOKUP("Real-Time Off Source",MO_SPT_StockAverage_Sources,COLUMN(),FALSE),VLOOKUP(MO.DataSourceName,MO_SPT_StockAverage_Sources,COLUMN(),FALSE))</f>
        <v/>
      </c>
      <c r="AL840" s="1967">
        <f>IF(OR(MO.RealTimeStockPriceToggle=FALSE,VLOOKUP(MO.DataSourceName,MO_SPT_StockAverage_Sources,COLUMN(),FALSE)="N/A"),VLOOKUP("Real-Time Off Source",MO_SPT_StockAverage_Sources,COLUMN(),FALSE),VLOOKUP(MO.DataSourceName,MO_SPT_StockAverage_Sources,COLUMN(),FALSE))</f>
        <v/>
      </c>
      <c r="AM840" s="1967">
        <f>IF(OR(MO.RealTimeStockPriceToggle=FALSE,VLOOKUP(MO.DataSourceName,MO_SPT_StockAverage_Sources,COLUMN(),FALSE)="N/A"),VLOOKUP("Real-Time Off Source",MO_SPT_StockAverage_Sources,COLUMN(),FALSE),VLOOKUP(MO.DataSourceName,MO_SPT_StockAverage_Sources,COLUMN(),FALSE))</f>
        <v/>
      </c>
      <c r="AN840" s="1967">
        <f>IF(OR(MO.RealTimeStockPriceToggle=FALSE,VLOOKUP(MO.DataSourceName,MO_SPT_StockAverage_Sources,COLUMN(),FALSE)="N/A"),VLOOKUP("Real-Time Off Source",MO_SPT_StockAverage_Sources,COLUMN(),FALSE),VLOOKUP(MO.DataSourceName,MO_SPT_StockAverage_Sources,COLUMN(),FALSE))</f>
        <v/>
      </c>
      <c r="AO840" s="1967">
        <f>IF(OR(MO.RealTimeStockPriceToggle=FALSE,VLOOKUP(MO.DataSourceName,MO_SPT_StockAverage_Sources,COLUMN(),FALSE)="N/A"),VLOOKUP("Real-Time Off Source",MO_SPT_StockAverage_Sources,COLUMN(),FALSE),VLOOKUP(MO.DataSourceName,MO_SPT_StockAverage_Sources,COLUMN(),FALSE))</f>
        <v/>
      </c>
      <c r="AP840" s="1967">
        <f>IF(OR(MO.RealTimeStockPriceToggle=FALSE,VLOOKUP(MO.DataSourceName,MO_SPT_StockAverage_Sources,COLUMN(),FALSE)="N/A"),VLOOKUP("Real-Time Off Source",MO_SPT_StockAverage_Sources,COLUMN(),FALSE),VLOOKUP(MO.DataSourceName,MO_SPT_StockAverage_Sources,COLUMN(),FALSE))</f>
        <v/>
      </c>
      <c r="AQ840" s="1967">
        <f>IF(OR(MO.RealTimeStockPriceToggle=FALSE,VLOOKUP(MO.DataSourceName,MO_SPT_StockAverage_Sources,COLUMN(),FALSE)="N/A"),VLOOKUP("Real-Time Off Source",MO_SPT_StockAverage_Sources,COLUMN(),FALSE),VLOOKUP(MO.DataSourceName,MO_SPT_StockAverage_Sources,COLUMN(),FALSE))</f>
        <v/>
      </c>
      <c r="AR840" s="1967">
        <f>IF(OR(MO.RealTimeStockPriceToggle=FALSE,VLOOKUP(MO.DataSourceName,MO_SPT_StockAverage_Sources,COLUMN(),FALSE)="N/A"),VLOOKUP("Real-Time Off Source",MO_SPT_StockAverage_Sources,COLUMN(),FALSE),VLOOKUP(MO.DataSourceName,MO_SPT_StockAverage_Sources,COLUMN(),FALSE))</f>
        <v/>
      </c>
      <c r="AS840" s="1967">
        <f>IF(OR(MO.RealTimeStockPriceToggle=FALSE,VLOOKUP(MO.DataSourceName,MO_SPT_StockAverage_Sources,COLUMN(),FALSE)="N/A"),VLOOKUP("Real-Time Off Source",MO_SPT_StockAverage_Sources,COLUMN(),FALSE),VLOOKUP(MO.DataSourceName,MO_SPT_StockAverage_Sources,COLUMN(),FALSE))</f>
        <v/>
      </c>
      <c r="AT840" s="1967">
        <f>IF(OR(MO.RealTimeStockPriceToggle=FALSE,VLOOKUP(MO.DataSourceName,MO_SPT_StockAverage_Sources,COLUMN(),FALSE)="N/A"),VLOOKUP("Real-Time Off Source",MO_SPT_StockAverage_Sources,COLUMN(),FALSE),VLOOKUP(MO.DataSourceName,MO_SPT_StockAverage_Sources,COLUMN(),FALSE))</f>
        <v/>
      </c>
      <c r="AU840" s="1970">
        <f>IF(OR(MO.RealTimeStockPriceToggle=FALSE,VLOOKUP(MO.DataSourceName,MO_SPT_StockAverage_Sources,COLUMN(),FALSE)="N/A"),VLOOKUP("Real-Time Off Source",MO_SPT_StockAverage_Sources,COLUMN(),FALSE),VLOOKUP(MO.DataSourceName,MO_SPT_StockAverage_Sources,COLUMN(),FALSE))</f>
        <v/>
      </c>
      <c r="AV840" s="1874" t="n"/>
    </row>
    <row r="841" hidden="1" outlineLevel="1" ht="14.4" customFormat="1" customHeight="1" s="1867">
      <c r="A841" s="1971" t="inlineStr">
        <is>
          <t>Real-Time Off Source</t>
        </is>
      </c>
      <c r="B841" s="1967" t="n"/>
      <c r="C841" s="1972" t="n">
        <v>0</v>
      </c>
      <c r="D841" s="1972" t="n">
        <v>0</v>
      </c>
      <c r="E841" s="1973" t="n">
        <v>0</v>
      </c>
      <c r="F841" s="1973" t="n">
        <v>0</v>
      </c>
      <c r="G841" s="1973" t="n">
        <v>0</v>
      </c>
      <c r="H841" s="1973" t="n">
        <v>0</v>
      </c>
      <c r="I841" s="1973" t="n">
        <v>0</v>
      </c>
      <c r="J841" s="1973" t="n">
        <v>0</v>
      </c>
      <c r="K841" s="1973" t="n">
        <v>0</v>
      </c>
      <c r="L841" s="1973" t="n">
        <v>0</v>
      </c>
      <c r="M841" s="1973" t="n">
        <v>0</v>
      </c>
      <c r="N841" s="1973" t="n">
        <v>0</v>
      </c>
      <c r="O841" s="1973" t="n">
        <v>0</v>
      </c>
      <c r="P841" s="1973" t="n">
        <v>0</v>
      </c>
      <c r="Q841" s="1973" t="n">
        <v>0</v>
      </c>
      <c r="R841" s="1973" t="n">
        <v>0</v>
      </c>
      <c r="S841" s="1973" t="n">
        <v>0</v>
      </c>
      <c r="T841" s="1973" t="n">
        <v>0</v>
      </c>
      <c r="U841" s="1973" t="n">
        <v>0</v>
      </c>
      <c r="V841" s="1973" t="n">
        <v>0</v>
      </c>
      <c r="W841" s="1973" t="n">
        <v>0</v>
      </c>
      <c r="X841" s="1973" t="n">
        <v>0</v>
      </c>
      <c r="Y841" s="1973" t="n">
        <v>0</v>
      </c>
      <c r="Z841" s="1973" t="n">
        <v>0</v>
      </c>
      <c r="AA841" s="1973" t="n">
        <v>0</v>
      </c>
      <c r="AB841" s="1973" t="n">
        <v>0</v>
      </c>
      <c r="AC841" s="1973" t="n">
        <v>0</v>
      </c>
      <c r="AD841" s="1973" t="n">
        <v>0</v>
      </c>
      <c r="AE841" s="1973" t="n">
        <v>0</v>
      </c>
      <c r="AF841" s="1973" t="n">
        <v>0</v>
      </c>
      <c r="AG841" s="1973" t="n">
        <v>0</v>
      </c>
      <c r="AH841" s="1973" t="n">
        <v>0</v>
      </c>
      <c r="AI841" s="1973" t="n">
        <v>39.0266666666667</v>
      </c>
      <c r="AJ841" s="1973" t="n">
        <v>92.1979032258064</v>
      </c>
      <c r="AK841" s="1974" t="n">
        <v>118.3059375</v>
      </c>
      <c r="AL841" s="1967" t="n"/>
      <c r="AM841" s="1967" t="n"/>
      <c r="AN841" s="1967" t="n"/>
      <c r="AO841" s="1967" t="n"/>
      <c r="AP841" s="1967" t="n"/>
      <c r="AQ841" s="1967" t="n"/>
      <c r="AR841" s="1967" t="n"/>
      <c r="AS841" s="1967" t="n"/>
      <c r="AT841" s="1967" t="n"/>
      <c r="AU841" s="1970" t="n"/>
      <c r="AV841" s="1874" t="n"/>
    </row>
    <row r="842" hidden="1" outlineLevel="1" ht="14.4" customFormat="1" customHeight="1" s="1867">
      <c r="A842" s="1971" t="inlineStr">
        <is>
          <t>Bloomberg</t>
        </is>
      </c>
      <c r="B842" s="1967" t="n"/>
      <c r="C842" s="1968">
        <f>IFERROR(BDP(MO.Ticker.Bloomberg&amp;" Equity","INTERVAL_AVG","MARKET_DATA_OVERRIDE=PX_LAST","START_DATE_OVERRIDE",TEXT(INDEX(MO_SNA_FPStartDate,0,COLUMN()),"YYYYMMDD"),"END_DATE_OVERRIDE",TEXT(INDEX(MO_Common_QEndDate,0,COLUMN()),"YYYYMMDD")),"N/A")</f>
        <v/>
      </c>
      <c r="D842" s="1968">
        <f>IFERROR(BDP(MO.Ticker.Bloomberg&amp;" Equity","INTERVAL_AVG","MARKET_DATA_OVERRIDE=PX_LAST","START_DATE_OVERRIDE",TEXT(INDEX(MO_SNA_FPStartDate,0,COLUMN()),"YYYYMMDD"),"END_DATE_OVERRIDE",TEXT(INDEX(MO_Common_QEndDate,0,COLUMN()),"YYYYMMDD")),"N/A")</f>
        <v/>
      </c>
      <c r="E842" s="1874">
        <f>IFERROR(BDP(MO.Ticker.Bloomberg&amp;" Equity","INTERVAL_AVG","MARKET_DATA_OVERRIDE=PX_LAST","START_DATE_OVERRIDE",TEXT(INDEX(MO_SNA_FPStartDate,0,COLUMN()),"YYYYMMDD"),"END_DATE_OVERRIDE",TEXT(INDEX(MO_Common_QEndDate,0,COLUMN()),"YYYYMMDD")),"N/A")</f>
        <v/>
      </c>
      <c r="F842" s="1874">
        <f>IFERROR(BDP(MO.Ticker.Bloomberg&amp;" Equity","INTERVAL_AVG","MARKET_DATA_OVERRIDE=PX_LAST","START_DATE_OVERRIDE",TEXT(INDEX(MO_SNA_FPStartDate,0,COLUMN()),"YYYYMMDD"),"END_DATE_OVERRIDE",TEXT(INDEX(MO_Common_QEndDate,0,COLUMN()),"YYYYMMDD")),"N/A")</f>
        <v/>
      </c>
      <c r="G842" s="1874">
        <f>IFERROR(BDP(MO.Ticker.Bloomberg&amp;" Equity","INTERVAL_AVG","MARKET_DATA_OVERRIDE=PX_LAST","START_DATE_OVERRIDE",TEXT(INDEX(MO_SNA_FPStartDate,0,COLUMN()),"YYYYMMDD"),"END_DATE_OVERRIDE",TEXT(INDEX(MO_Common_QEndDate,0,COLUMN()),"YYYYMMDD")),"N/A")</f>
        <v/>
      </c>
      <c r="H842" s="1874">
        <f>IFERROR(BDP(MO.Ticker.Bloomberg&amp;" Equity","INTERVAL_AVG","MARKET_DATA_OVERRIDE=PX_LAST","START_DATE_OVERRIDE",TEXT(INDEX(MO_SNA_FPStartDate,0,COLUMN()),"YYYYMMDD"),"END_DATE_OVERRIDE",TEXT(INDEX(MO_Common_QEndDate,0,COLUMN()),"YYYYMMDD")),"N/A")</f>
        <v/>
      </c>
      <c r="I842" s="1874">
        <f>IFERROR(BDP(MO.Ticker.Bloomberg&amp;" Equity","INTERVAL_AVG","MARKET_DATA_OVERRIDE=PX_LAST","START_DATE_OVERRIDE",TEXT(INDEX(MO_SNA_FPStartDate,0,COLUMN()),"YYYYMMDD"),"END_DATE_OVERRIDE",TEXT(INDEX(MO_Common_QEndDate,0,COLUMN()),"YYYYMMDD")),"N/A")</f>
        <v/>
      </c>
      <c r="J842" s="1874">
        <f>IFERROR(BDP(MO.Ticker.Bloomberg&amp;" Equity","INTERVAL_AVG","MARKET_DATA_OVERRIDE=PX_LAST","START_DATE_OVERRIDE",TEXT(INDEX(MO_SNA_FPStartDate,0,COLUMN()),"YYYYMMDD"),"END_DATE_OVERRIDE",TEXT(INDEX(MO_Common_QEndDate,0,COLUMN()),"YYYYMMDD")),"N/A")</f>
        <v/>
      </c>
      <c r="K842" s="1874">
        <f>IFERROR(BDP(MO.Ticker.Bloomberg&amp;" Equity","INTERVAL_AVG","MARKET_DATA_OVERRIDE=PX_LAST","START_DATE_OVERRIDE",TEXT(INDEX(MO_SNA_FPStartDate,0,COLUMN()),"YYYYMMDD"),"END_DATE_OVERRIDE",TEXT(INDEX(MO_Common_QEndDate,0,COLUMN()),"YYYYMMDD")),"N/A")</f>
        <v/>
      </c>
      <c r="L842" s="1874">
        <f>IFERROR(BDP(MO.Ticker.Bloomberg&amp;" Equity","INTERVAL_AVG","MARKET_DATA_OVERRIDE=PX_LAST","START_DATE_OVERRIDE",TEXT(INDEX(MO_SNA_FPStartDate,0,COLUMN()),"YYYYMMDD"),"END_DATE_OVERRIDE",TEXT(INDEX(MO_Common_QEndDate,0,COLUMN()),"YYYYMMDD")),"N/A")</f>
        <v/>
      </c>
      <c r="M842" s="1874">
        <f>IFERROR(BDP(MO.Ticker.Bloomberg&amp;" Equity","INTERVAL_AVG","MARKET_DATA_OVERRIDE=PX_LAST","START_DATE_OVERRIDE",TEXT(INDEX(MO_SNA_FPStartDate,0,COLUMN()),"YYYYMMDD"),"END_DATE_OVERRIDE",TEXT(INDEX(MO_Common_QEndDate,0,COLUMN()),"YYYYMMDD")),"N/A")</f>
        <v/>
      </c>
      <c r="N842" s="1874">
        <f>IFERROR(BDP(MO.Ticker.Bloomberg&amp;" Equity","INTERVAL_AVG","MARKET_DATA_OVERRIDE=PX_LAST","START_DATE_OVERRIDE",TEXT(INDEX(MO_SNA_FPStartDate,0,COLUMN()),"YYYYMMDD"),"END_DATE_OVERRIDE",TEXT(INDEX(MO_Common_QEndDate,0,COLUMN()),"YYYYMMDD")),"N/A")</f>
        <v/>
      </c>
      <c r="O842" s="1874">
        <f>IFERROR(BDP(MO.Ticker.Bloomberg&amp;" Equity","INTERVAL_AVG","MARKET_DATA_OVERRIDE=PX_LAST","START_DATE_OVERRIDE",TEXT(INDEX(MO_SNA_FPStartDate,0,COLUMN()),"YYYYMMDD"),"END_DATE_OVERRIDE",TEXT(INDEX(MO_Common_QEndDate,0,COLUMN()),"YYYYMMDD")),"N/A")</f>
        <v/>
      </c>
      <c r="P842" s="1874">
        <f>IFERROR(BDP(MO.Ticker.Bloomberg&amp;" Equity","INTERVAL_AVG","MARKET_DATA_OVERRIDE=PX_LAST","START_DATE_OVERRIDE",TEXT(INDEX(MO_SNA_FPStartDate,0,COLUMN()),"YYYYMMDD"),"END_DATE_OVERRIDE",TEXT(INDEX(MO_Common_QEndDate,0,COLUMN()),"YYYYMMDD")),"N/A")</f>
        <v/>
      </c>
      <c r="Q842" s="1874">
        <f>IFERROR(BDP(MO.Ticker.Bloomberg&amp;" Equity","INTERVAL_AVG","MARKET_DATA_OVERRIDE=PX_LAST","START_DATE_OVERRIDE",TEXT(INDEX(MO_SNA_FPStartDate,0,COLUMN()),"YYYYMMDD"),"END_DATE_OVERRIDE",TEXT(INDEX(MO_Common_QEndDate,0,COLUMN()),"YYYYMMDD")),"N/A")</f>
        <v/>
      </c>
      <c r="R842" s="1874">
        <f>IFERROR(BDP(MO.Ticker.Bloomberg&amp;" Equity","INTERVAL_AVG","MARKET_DATA_OVERRIDE=PX_LAST","START_DATE_OVERRIDE",TEXT(INDEX(MO_SNA_FPStartDate,0,COLUMN()),"YYYYMMDD"),"END_DATE_OVERRIDE",TEXT(INDEX(MO_Common_QEndDate,0,COLUMN()),"YYYYMMDD")),"N/A")</f>
        <v/>
      </c>
      <c r="S842" s="1874">
        <f>IFERROR(BDP(MO.Ticker.Bloomberg&amp;" Equity","INTERVAL_AVG","MARKET_DATA_OVERRIDE=PX_LAST","START_DATE_OVERRIDE",TEXT(INDEX(MO_SNA_FPStartDate,0,COLUMN()),"YYYYMMDD"),"END_DATE_OVERRIDE",TEXT(INDEX(MO_Common_QEndDate,0,COLUMN()),"YYYYMMDD")),"N/A")</f>
        <v/>
      </c>
      <c r="T842" s="1874">
        <f>IFERROR(BDP(MO.Ticker.Bloomberg&amp;" Equity","INTERVAL_AVG","MARKET_DATA_OVERRIDE=PX_LAST","START_DATE_OVERRIDE",TEXT(INDEX(MO_SNA_FPStartDate,0,COLUMN()),"YYYYMMDD"),"END_DATE_OVERRIDE",TEXT(INDEX(MO_Common_QEndDate,0,COLUMN()),"YYYYMMDD")),"N/A")</f>
        <v/>
      </c>
      <c r="U842" s="1874">
        <f>IFERROR(BDP(MO.Ticker.Bloomberg&amp;" Equity","INTERVAL_AVG","MARKET_DATA_OVERRIDE=PX_LAST","START_DATE_OVERRIDE",TEXT(INDEX(MO_SNA_FPStartDate,0,COLUMN()),"YYYYMMDD"),"END_DATE_OVERRIDE",TEXT(INDEX(MO_Common_QEndDate,0,COLUMN()),"YYYYMMDD")),"N/A")</f>
        <v/>
      </c>
      <c r="V842" s="1874">
        <f>IFERROR(BDP(MO.Ticker.Bloomberg&amp;" Equity","INTERVAL_AVG","MARKET_DATA_OVERRIDE=PX_LAST","START_DATE_OVERRIDE",TEXT(INDEX(MO_SNA_FPStartDate,0,COLUMN()),"YYYYMMDD"),"END_DATE_OVERRIDE",TEXT(INDEX(MO_Common_QEndDate,0,COLUMN()),"YYYYMMDD")),"N/A")</f>
        <v/>
      </c>
      <c r="W842" s="1874">
        <f>IFERROR(BDP(MO.Ticker.Bloomberg&amp;" Equity","INTERVAL_AVG","MARKET_DATA_OVERRIDE=PX_LAST","START_DATE_OVERRIDE",TEXT(INDEX(MO_SNA_FPStartDate,0,COLUMN()),"YYYYMMDD"),"END_DATE_OVERRIDE",TEXT(INDEX(MO_Common_QEndDate,0,COLUMN()),"YYYYMMDD")),"N/A")</f>
        <v/>
      </c>
      <c r="X842" s="1874">
        <f>IFERROR(BDP(MO.Ticker.Bloomberg&amp;" Equity","INTERVAL_AVG","MARKET_DATA_OVERRIDE=PX_LAST","START_DATE_OVERRIDE",TEXT(INDEX(MO_SNA_FPStartDate,0,COLUMN()),"YYYYMMDD"),"END_DATE_OVERRIDE",TEXT(INDEX(MO_Common_QEndDate,0,COLUMN()),"YYYYMMDD")),"N/A")</f>
        <v/>
      </c>
      <c r="Y842" s="1874">
        <f>IFERROR(BDP(MO.Ticker.Bloomberg&amp;" Equity","INTERVAL_AVG","MARKET_DATA_OVERRIDE=PX_LAST","START_DATE_OVERRIDE",TEXT(INDEX(MO_SNA_FPStartDate,0,COLUMN()),"YYYYMMDD"),"END_DATE_OVERRIDE",TEXT(INDEX(MO_Common_QEndDate,0,COLUMN()),"YYYYMMDD")),"N/A")</f>
        <v/>
      </c>
      <c r="Z842" s="1874">
        <f>IFERROR(BDP(MO.Ticker.Bloomberg&amp;" Equity","INTERVAL_AVG","MARKET_DATA_OVERRIDE=PX_LAST","START_DATE_OVERRIDE",TEXT(INDEX(MO_SNA_FPStartDate,0,COLUMN()),"YYYYMMDD"),"END_DATE_OVERRIDE",TEXT(INDEX(MO_Common_QEndDate,0,COLUMN()),"YYYYMMDD")),"N/A")</f>
        <v/>
      </c>
      <c r="AA842" s="1874">
        <f>IFERROR(BDP(MO.Ticker.Bloomberg&amp;" Equity","INTERVAL_AVG","MARKET_DATA_OVERRIDE=PX_LAST","START_DATE_OVERRIDE",TEXT(INDEX(MO_SNA_FPStartDate,0,COLUMN()),"YYYYMMDD"),"END_DATE_OVERRIDE",TEXT(INDEX(MO_Common_QEndDate,0,COLUMN()),"YYYYMMDD")),"N/A")</f>
        <v/>
      </c>
      <c r="AB842" s="1874">
        <f>IFERROR(BDP(MO.Ticker.Bloomberg&amp;" Equity","INTERVAL_AVG","MARKET_DATA_OVERRIDE=PX_LAST","START_DATE_OVERRIDE",TEXT(INDEX(MO_SNA_FPStartDate,0,COLUMN()),"YYYYMMDD"),"END_DATE_OVERRIDE",TEXT(INDEX(MO_Common_QEndDate,0,COLUMN()),"YYYYMMDD")),"N/A")</f>
        <v/>
      </c>
      <c r="AC842" s="1874">
        <f>IFERROR(BDP(MO.Ticker.Bloomberg&amp;" Equity","INTERVAL_AVG","MARKET_DATA_OVERRIDE=PX_LAST","START_DATE_OVERRIDE",TEXT(INDEX(MO_SNA_FPStartDate,0,COLUMN()),"YYYYMMDD"),"END_DATE_OVERRIDE",TEXT(INDEX(MO_Common_QEndDate,0,COLUMN()),"YYYYMMDD")),"N/A")</f>
        <v/>
      </c>
      <c r="AD842" s="1874">
        <f>IFERROR(BDP(MO.Ticker.Bloomberg&amp;" Equity","INTERVAL_AVG","MARKET_DATA_OVERRIDE=PX_LAST","START_DATE_OVERRIDE",TEXT(INDEX(MO_SNA_FPStartDate,0,COLUMN()),"YYYYMMDD"),"END_DATE_OVERRIDE",TEXT(INDEX(MO_Common_QEndDate,0,COLUMN()),"YYYYMMDD")),"N/A")</f>
        <v/>
      </c>
      <c r="AE842" s="1874">
        <f>IFERROR(BDP(MO.Ticker.Bloomberg&amp;" Equity","INTERVAL_AVG","MARKET_DATA_OVERRIDE=PX_LAST","START_DATE_OVERRIDE",TEXT(INDEX(MO_SNA_FPStartDate,0,COLUMN()),"YYYYMMDD"),"END_DATE_OVERRIDE",TEXT(INDEX(MO_Common_QEndDate,0,COLUMN()),"YYYYMMDD")),"N/A")</f>
        <v/>
      </c>
      <c r="AF842" s="1874">
        <f>IFERROR(BDP(MO.Ticker.Bloomberg&amp;" Equity","INTERVAL_AVG","MARKET_DATA_OVERRIDE=PX_LAST","START_DATE_OVERRIDE",TEXT(INDEX(MO_SNA_FPStartDate,0,COLUMN()),"YYYYMMDD"),"END_DATE_OVERRIDE",TEXT(INDEX(MO_Common_QEndDate,0,COLUMN()),"YYYYMMDD")),"N/A")</f>
        <v/>
      </c>
      <c r="AG842" s="1874">
        <f>IFERROR(BDP(MO.Ticker.Bloomberg&amp;" Equity","INTERVAL_AVG","MARKET_DATA_OVERRIDE=PX_LAST","START_DATE_OVERRIDE",TEXT(INDEX(MO_SNA_FPStartDate,0,COLUMN()),"YYYYMMDD"),"END_DATE_OVERRIDE",TEXT(INDEX(MO_Common_QEndDate,0,COLUMN()),"YYYYMMDD")),"N/A")</f>
        <v/>
      </c>
      <c r="AH842" s="1874">
        <f>IFERROR(BDP(MO.Ticker.Bloomberg&amp;" Equity","INTERVAL_AVG","MARKET_DATA_OVERRIDE=PX_LAST","START_DATE_OVERRIDE",TEXT(INDEX(MO_SNA_FPStartDate,0,COLUMN()),"YYYYMMDD"),"END_DATE_OVERRIDE",TEXT(INDEX(MO_Common_QEndDate,0,COLUMN()),"YYYYMMDD")),"N/A")</f>
        <v/>
      </c>
      <c r="AI842" s="1874">
        <f>IFERROR(BDP(MO.Ticker.Bloomberg&amp;" Equity","INTERVAL_AVG","MARKET_DATA_OVERRIDE=PX_LAST","START_DATE_OVERRIDE",TEXT(INDEX(MO_SNA_FPStartDate,0,COLUMN()),"YYYYMMDD"),"END_DATE_OVERRIDE",TEXT(INDEX(MO_Common_QEndDate,0,COLUMN()),"YYYYMMDD")),"N/A")</f>
        <v/>
      </c>
      <c r="AJ842" s="1874">
        <f>IFERROR(BDP(MO.Ticker.Bloomberg&amp;" Equity","INTERVAL_AVG","MARKET_DATA_OVERRIDE=PX_LAST","START_DATE_OVERRIDE",TEXT(INDEX(MO_SNA_FPStartDate,0,COLUMN()),"YYYYMMDD"),"END_DATE_OVERRIDE",TEXT(INDEX(MO_Common_QEndDate,0,COLUMN()),"YYYYMMDD")),"N/A")</f>
        <v/>
      </c>
      <c r="AK842" s="1969">
        <f>IFERROR(BDP(MO.Ticker.Bloomberg&amp;" Equity","INTERVAL_AVG","MARKET_DATA_OVERRIDE=PX_LAST","START_DATE_OVERRIDE",TEXT(INDEX(MO_SNA_FPStartDate,0,COLUMN()),"YYYYMMDD"),"END_DATE_OVERRIDE",TEXT(INDEX(MO_Common_QEndDate,0,COLUMN()),"YYYYMMDD")),"N/A")</f>
        <v/>
      </c>
      <c r="AL842" s="1967">
        <f>IFERROR(BDP(MO.Ticker.Bloomberg&amp;" Equity","INTERVAL_AVG","MARKET_DATA_OVERRIDE=PX_LAST","START_DATE_OVERRIDE",TEXT(INDEX(MO_SNA_FPStartDate,0,COLUMN()),"YYYYMMDD"),"END_DATE_OVERRIDE",TEXT(INDEX(MO_Common_QEndDate,0,COLUMN()),"YYYYMMDD")),"N/A")</f>
        <v/>
      </c>
      <c r="AM842" s="1967">
        <f>IFERROR(BDP(MO.Ticker.Bloomberg&amp;" Equity","INTERVAL_AVG","MARKET_DATA_OVERRIDE=PX_LAST","START_DATE_OVERRIDE",TEXT(INDEX(MO_SNA_FPStartDate,0,COLUMN()),"YYYYMMDD"),"END_DATE_OVERRIDE",TEXT(INDEX(MO_Common_QEndDate,0,COLUMN()),"YYYYMMDD")),"N/A")</f>
        <v/>
      </c>
      <c r="AN842" s="1967">
        <f>IFERROR(BDP(MO.Ticker.Bloomberg&amp;" Equity","INTERVAL_AVG","MARKET_DATA_OVERRIDE=PX_LAST","START_DATE_OVERRIDE",TEXT(INDEX(MO_SNA_FPStartDate,0,COLUMN()),"YYYYMMDD"),"END_DATE_OVERRIDE",TEXT(INDEX(MO_Common_QEndDate,0,COLUMN()),"YYYYMMDD")),"N/A")</f>
        <v/>
      </c>
      <c r="AO842" s="1967">
        <f>IFERROR(BDP(MO.Ticker.Bloomberg&amp;" Equity","INTERVAL_AVG","MARKET_DATA_OVERRIDE=PX_LAST","START_DATE_OVERRIDE",TEXT(INDEX(MO_SNA_FPStartDate,0,COLUMN()),"YYYYMMDD"),"END_DATE_OVERRIDE",TEXT(INDEX(MO_Common_QEndDate,0,COLUMN()),"YYYYMMDD")),"N/A")</f>
        <v/>
      </c>
      <c r="AP842" s="1967">
        <f>IFERROR(BDP(MO.Ticker.Bloomberg&amp;" Equity","INTERVAL_AVG","MARKET_DATA_OVERRIDE=PX_LAST","START_DATE_OVERRIDE",TEXT(INDEX(MO_SNA_FPStartDate,0,COLUMN()),"YYYYMMDD"),"END_DATE_OVERRIDE",TEXT(INDEX(MO_Common_QEndDate,0,COLUMN()),"YYYYMMDD")),"N/A")</f>
        <v/>
      </c>
      <c r="AQ842" s="1967">
        <f>IFERROR(BDP(MO.Ticker.Bloomberg&amp;" Equity","INTERVAL_AVG","MARKET_DATA_OVERRIDE=PX_LAST","START_DATE_OVERRIDE",TEXT(INDEX(MO_SNA_FPStartDate,0,COLUMN()),"YYYYMMDD"),"END_DATE_OVERRIDE",TEXT(INDEX(MO_Common_QEndDate,0,COLUMN()),"YYYYMMDD")),"N/A")</f>
        <v/>
      </c>
      <c r="AR842" s="1967">
        <f>IFERROR(BDP(MO.Ticker.Bloomberg&amp;" Equity","INTERVAL_AVG","MARKET_DATA_OVERRIDE=PX_LAST","START_DATE_OVERRIDE",TEXT(INDEX(MO_SNA_FPStartDate,0,COLUMN()),"YYYYMMDD"),"END_DATE_OVERRIDE",TEXT(INDEX(MO_Common_QEndDate,0,COLUMN()),"YYYYMMDD")),"N/A")</f>
        <v/>
      </c>
      <c r="AS842" s="1967">
        <f>IFERROR(BDP(MO.Ticker.Bloomberg&amp;" Equity","INTERVAL_AVG","MARKET_DATA_OVERRIDE=PX_LAST","START_DATE_OVERRIDE",TEXT(INDEX(MO_SNA_FPStartDate,0,COLUMN()),"YYYYMMDD"),"END_DATE_OVERRIDE",TEXT(INDEX(MO_Common_QEndDate,0,COLUMN()),"YYYYMMDD")),"N/A")</f>
        <v/>
      </c>
      <c r="AT842" s="1967">
        <f>IFERROR(BDP(MO.Ticker.Bloomberg&amp;" Equity","INTERVAL_AVG","MARKET_DATA_OVERRIDE=PX_LAST","START_DATE_OVERRIDE",TEXT(INDEX(MO_SNA_FPStartDate,0,COLUMN()),"YYYYMMDD"),"END_DATE_OVERRIDE",TEXT(INDEX(MO_Common_QEndDate,0,COLUMN()),"YYYYMMDD")),"N/A")</f>
        <v/>
      </c>
      <c r="AU842" s="1970">
        <f>IFERROR(BDP(MO.Ticker.Bloomberg&amp;" Equity","INTERVAL_AVG","MARKET_DATA_OVERRIDE=PX_LAST","START_DATE_OVERRIDE",TEXT(INDEX(MO_SNA_FPStartDate,0,COLUMN()),"YYYYMMDD"),"END_DATE_OVERRIDE",TEXT(INDEX(MO_Common_QEndDate,0,COLUMN()),"YYYYMMDD")),"N/A")</f>
        <v/>
      </c>
      <c r="AV842" s="1874" t="n"/>
    </row>
    <row r="843" hidden="1" outlineLevel="1" ht="14.4" customFormat="1" customHeight="1" s="1867">
      <c r="A843" s="1971" t="inlineStr">
        <is>
          <t>Capital IQ</t>
        </is>
      </c>
      <c r="B843" s="1967" t="n"/>
      <c r="C843" s="1968">
        <f>IFERROR(CIQAVG(MO.Ticker.CapIQ,"IQ_LASTSALEPRICE",INDEX(MO_SNA_FPStartDate,0,COLUMN()),INDEX(MO_Common_QEndDate,0,COLUMN())),"N/A")</f>
        <v/>
      </c>
      <c r="D843" s="1968">
        <f>IFERROR(CIQAVG(MO.Ticker.CapIQ,"IQ_LASTSALEPRICE",INDEX(MO_SNA_FPStartDate,0,COLUMN()),INDEX(MO_Common_QEndDate,0,COLUMN())),"N/A")</f>
        <v/>
      </c>
      <c r="E843" s="1874">
        <f>IFERROR(CIQAVG(MO.Ticker.CapIQ,"IQ_LASTSALEPRICE",INDEX(MO_SNA_FPStartDate,0,COLUMN()),INDEX(MO_Common_QEndDate,0,COLUMN())),"N/A")</f>
        <v/>
      </c>
      <c r="F843" s="1874">
        <f>IFERROR(CIQAVG(MO.Ticker.CapIQ,"IQ_LASTSALEPRICE",INDEX(MO_SNA_FPStartDate,0,COLUMN()),INDEX(MO_Common_QEndDate,0,COLUMN())),"N/A")</f>
        <v/>
      </c>
      <c r="G843" s="1874">
        <f>IFERROR(CIQAVG(MO.Ticker.CapIQ,"IQ_LASTSALEPRICE",INDEX(MO_SNA_FPStartDate,0,COLUMN()),INDEX(MO_Common_QEndDate,0,COLUMN())),"N/A")</f>
        <v/>
      </c>
      <c r="H843" s="1874">
        <f>IFERROR(CIQAVG(MO.Ticker.CapIQ,"IQ_LASTSALEPRICE",INDEX(MO_SNA_FPStartDate,0,COLUMN()),INDEX(MO_Common_QEndDate,0,COLUMN())),"N/A")</f>
        <v/>
      </c>
      <c r="I843" s="1874">
        <f>IFERROR(CIQAVG(MO.Ticker.CapIQ,"IQ_LASTSALEPRICE",INDEX(MO_SNA_FPStartDate,0,COLUMN()),INDEX(MO_Common_QEndDate,0,COLUMN())),"N/A")</f>
        <v/>
      </c>
      <c r="J843" s="1874">
        <f>IFERROR(CIQAVG(MO.Ticker.CapIQ,"IQ_LASTSALEPRICE",INDEX(MO_SNA_FPStartDate,0,COLUMN()),INDEX(MO_Common_QEndDate,0,COLUMN())),"N/A")</f>
        <v/>
      </c>
      <c r="K843" s="1874">
        <f>IFERROR(CIQAVG(MO.Ticker.CapIQ,"IQ_LASTSALEPRICE",INDEX(MO_SNA_FPStartDate,0,COLUMN()),INDEX(MO_Common_QEndDate,0,COLUMN())),"N/A")</f>
        <v/>
      </c>
      <c r="L843" s="1874">
        <f>IFERROR(CIQAVG(MO.Ticker.CapIQ,"IQ_LASTSALEPRICE",INDEX(MO_SNA_FPStartDate,0,COLUMN()),INDEX(MO_Common_QEndDate,0,COLUMN())),"N/A")</f>
        <v/>
      </c>
      <c r="M843" s="1874">
        <f>IFERROR(CIQAVG(MO.Ticker.CapIQ,"IQ_LASTSALEPRICE",INDEX(MO_SNA_FPStartDate,0,COLUMN()),INDEX(MO_Common_QEndDate,0,COLUMN())),"N/A")</f>
        <v/>
      </c>
      <c r="N843" s="1874">
        <f>IFERROR(CIQAVG(MO.Ticker.CapIQ,"IQ_LASTSALEPRICE",INDEX(MO_SNA_FPStartDate,0,COLUMN()),INDEX(MO_Common_QEndDate,0,COLUMN())),"N/A")</f>
        <v/>
      </c>
      <c r="O843" s="1874">
        <f>IFERROR(CIQAVG(MO.Ticker.CapIQ,"IQ_LASTSALEPRICE",INDEX(MO_SNA_FPStartDate,0,COLUMN()),INDEX(MO_Common_QEndDate,0,COLUMN())),"N/A")</f>
        <v/>
      </c>
      <c r="P843" s="1874">
        <f>IFERROR(CIQAVG(MO.Ticker.CapIQ,"IQ_LASTSALEPRICE",INDEX(MO_SNA_FPStartDate,0,COLUMN()),INDEX(MO_Common_QEndDate,0,COLUMN())),"N/A")</f>
        <v/>
      </c>
      <c r="Q843" s="1874">
        <f>IFERROR(CIQAVG(MO.Ticker.CapIQ,"IQ_LASTSALEPRICE",INDEX(MO_SNA_FPStartDate,0,COLUMN()),INDEX(MO_Common_QEndDate,0,COLUMN())),"N/A")</f>
        <v/>
      </c>
      <c r="R843" s="1874">
        <f>IFERROR(CIQAVG(MO.Ticker.CapIQ,"IQ_LASTSALEPRICE",INDEX(MO_SNA_FPStartDate,0,COLUMN()),INDEX(MO_Common_QEndDate,0,COLUMN())),"N/A")</f>
        <v/>
      </c>
      <c r="S843" s="1874">
        <f>IFERROR(CIQAVG(MO.Ticker.CapIQ,"IQ_LASTSALEPRICE",INDEX(MO_SNA_FPStartDate,0,COLUMN()),INDEX(MO_Common_QEndDate,0,COLUMN())),"N/A")</f>
        <v/>
      </c>
      <c r="T843" s="1874">
        <f>IFERROR(CIQAVG(MO.Ticker.CapIQ,"IQ_LASTSALEPRICE",INDEX(MO_SNA_FPStartDate,0,COLUMN()),INDEX(MO_Common_QEndDate,0,COLUMN())),"N/A")</f>
        <v/>
      </c>
      <c r="U843" s="1874">
        <f>IFERROR(CIQAVG(MO.Ticker.CapIQ,"IQ_LASTSALEPRICE",INDEX(MO_SNA_FPStartDate,0,COLUMN()),INDEX(MO_Common_QEndDate,0,COLUMN())),"N/A")</f>
        <v/>
      </c>
      <c r="V843" s="1874">
        <f>IFERROR(CIQAVG(MO.Ticker.CapIQ,"IQ_LASTSALEPRICE",INDEX(MO_SNA_FPStartDate,0,COLUMN()),INDEX(MO_Common_QEndDate,0,COLUMN())),"N/A")</f>
        <v/>
      </c>
      <c r="W843" s="1874">
        <f>IFERROR(CIQAVG(MO.Ticker.CapIQ,"IQ_LASTSALEPRICE",INDEX(MO_SNA_FPStartDate,0,COLUMN()),INDEX(MO_Common_QEndDate,0,COLUMN())),"N/A")</f>
        <v/>
      </c>
      <c r="X843" s="1874">
        <f>IFERROR(CIQAVG(MO.Ticker.CapIQ,"IQ_LASTSALEPRICE",INDEX(MO_SNA_FPStartDate,0,COLUMN()),INDEX(MO_Common_QEndDate,0,COLUMN())),"N/A")</f>
        <v/>
      </c>
      <c r="Y843" s="1874">
        <f>IFERROR(CIQAVG(MO.Ticker.CapIQ,"IQ_LASTSALEPRICE",INDEX(MO_SNA_FPStartDate,0,COLUMN()),INDEX(MO_Common_QEndDate,0,COLUMN())),"N/A")</f>
        <v/>
      </c>
      <c r="Z843" s="1874">
        <f>IFERROR(CIQAVG(MO.Ticker.CapIQ,"IQ_LASTSALEPRICE",INDEX(MO_SNA_FPStartDate,0,COLUMN()),INDEX(MO_Common_QEndDate,0,COLUMN())),"N/A")</f>
        <v/>
      </c>
      <c r="AA843" s="1874">
        <f>IFERROR(CIQAVG(MO.Ticker.CapIQ,"IQ_LASTSALEPRICE",INDEX(MO_SNA_FPStartDate,0,COLUMN()),INDEX(MO_Common_QEndDate,0,COLUMN())),"N/A")</f>
        <v/>
      </c>
      <c r="AB843" s="1874">
        <f>IFERROR(CIQAVG(MO.Ticker.CapIQ,"IQ_LASTSALEPRICE",INDEX(MO_SNA_FPStartDate,0,COLUMN()),INDEX(MO_Common_QEndDate,0,COLUMN())),"N/A")</f>
        <v/>
      </c>
      <c r="AC843" s="1874">
        <f>IFERROR(CIQAVG(MO.Ticker.CapIQ,"IQ_LASTSALEPRICE",INDEX(MO_SNA_FPStartDate,0,COLUMN()),INDEX(MO_Common_QEndDate,0,COLUMN())),"N/A")</f>
        <v/>
      </c>
      <c r="AD843" s="1874">
        <f>IFERROR(CIQAVG(MO.Ticker.CapIQ,"IQ_LASTSALEPRICE",INDEX(MO_SNA_FPStartDate,0,COLUMN()),INDEX(MO_Common_QEndDate,0,COLUMN())),"N/A")</f>
        <v/>
      </c>
      <c r="AE843" s="1874">
        <f>IFERROR(CIQAVG(MO.Ticker.CapIQ,"IQ_LASTSALEPRICE",INDEX(MO_SNA_FPStartDate,0,COLUMN()),INDEX(MO_Common_QEndDate,0,COLUMN())),"N/A")</f>
        <v/>
      </c>
      <c r="AF843" s="1874">
        <f>IFERROR(CIQAVG(MO.Ticker.CapIQ,"IQ_LASTSALEPRICE",INDEX(MO_SNA_FPStartDate,0,COLUMN()),INDEX(MO_Common_QEndDate,0,COLUMN())),"N/A")</f>
        <v/>
      </c>
      <c r="AG843" s="1874">
        <f>IFERROR(CIQAVG(MO.Ticker.CapIQ,"IQ_LASTSALEPRICE",INDEX(MO_SNA_FPStartDate,0,COLUMN()),INDEX(MO_Common_QEndDate,0,COLUMN())),"N/A")</f>
        <v/>
      </c>
      <c r="AH843" s="1874">
        <f>IFERROR(CIQAVG(MO.Ticker.CapIQ,"IQ_LASTSALEPRICE",INDEX(MO_SNA_FPStartDate,0,COLUMN()),INDEX(MO_Common_QEndDate,0,COLUMN())),"N/A")</f>
        <v/>
      </c>
      <c r="AI843" s="1874">
        <f>IFERROR(CIQAVG(MO.Ticker.CapIQ,"IQ_LASTSALEPRICE",INDEX(MO_SNA_FPStartDate,0,COLUMN()),INDEX(MO_Common_QEndDate,0,COLUMN())),"N/A")</f>
        <v/>
      </c>
      <c r="AJ843" s="1874">
        <f>IFERROR(CIQAVG(MO.Ticker.CapIQ,"IQ_LASTSALEPRICE",INDEX(MO_SNA_FPStartDate,0,COLUMN()),INDEX(MO_Common_QEndDate,0,COLUMN())),"N/A")</f>
        <v/>
      </c>
      <c r="AK843" s="1969">
        <f>IFERROR(CIQAVG(MO.Ticker.CapIQ,"IQ_LASTSALEPRICE",INDEX(MO_SNA_FPStartDate,0,COLUMN()),INDEX(MO_Common_QEndDate,0,COLUMN())),"N/A")</f>
        <v/>
      </c>
      <c r="AL843" s="1967">
        <f>IFERROR(CIQAVG(MO.Ticker.CapIQ,"IQ_LASTSALEPRICE",INDEX(MO_SNA_FPStartDate,0,COLUMN()),INDEX(MO_Common_QEndDate,0,COLUMN())),"N/A")</f>
        <v/>
      </c>
      <c r="AM843" s="1967">
        <f>IFERROR(CIQAVG(MO.Ticker.CapIQ,"IQ_LASTSALEPRICE",INDEX(MO_SNA_FPStartDate,0,COLUMN()),INDEX(MO_Common_QEndDate,0,COLUMN())),"N/A")</f>
        <v/>
      </c>
      <c r="AN843" s="1967">
        <f>IFERROR(CIQAVG(MO.Ticker.CapIQ,"IQ_LASTSALEPRICE",INDEX(MO_SNA_FPStartDate,0,COLUMN()),INDEX(MO_Common_QEndDate,0,COLUMN())),"N/A")</f>
        <v/>
      </c>
      <c r="AO843" s="1967">
        <f>IFERROR(CIQAVG(MO.Ticker.CapIQ,"IQ_LASTSALEPRICE",INDEX(MO_SNA_FPStartDate,0,COLUMN()),INDEX(MO_Common_QEndDate,0,COLUMN())),"N/A")</f>
        <v/>
      </c>
      <c r="AP843" s="1967">
        <f>IFERROR(CIQAVG(MO.Ticker.CapIQ,"IQ_LASTSALEPRICE",INDEX(MO_SNA_FPStartDate,0,COLUMN()),INDEX(MO_Common_QEndDate,0,COLUMN())),"N/A")</f>
        <v/>
      </c>
      <c r="AQ843" s="1967">
        <f>IFERROR(CIQAVG(MO.Ticker.CapIQ,"IQ_LASTSALEPRICE",INDEX(MO_SNA_FPStartDate,0,COLUMN()),INDEX(MO_Common_QEndDate,0,COLUMN())),"N/A")</f>
        <v/>
      </c>
      <c r="AR843" s="1967">
        <f>IFERROR(CIQAVG(MO.Ticker.CapIQ,"IQ_LASTSALEPRICE",INDEX(MO_SNA_FPStartDate,0,COLUMN()),INDEX(MO_Common_QEndDate,0,COLUMN())),"N/A")</f>
        <v/>
      </c>
      <c r="AS843" s="1967">
        <f>IFERROR(CIQAVG(MO.Ticker.CapIQ,"IQ_LASTSALEPRICE",INDEX(MO_SNA_FPStartDate,0,COLUMN()),INDEX(MO_Common_QEndDate,0,COLUMN())),"N/A")</f>
        <v/>
      </c>
      <c r="AT843" s="1967">
        <f>IFERROR(CIQAVG(MO.Ticker.CapIQ,"IQ_LASTSALEPRICE",INDEX(MO_SNA_FPStartDate,0,COLUMN()),INDEX(MO_Common_QEndDate,0,COLUMN())),"N/A")</f>
        <v/>
      </c>
      <c r="AU843" s="1970">
        <f>IFERROR(CIQAVG(MO.Ticker.CapIQ,"IQ_LASTSALEPRICE",INDEX(MO_SNA_FPStartDate,0,COLUMN()),INDEX(MO_Common_QEndDate,0,COLUMN())),"N/A")</f>
        <v/>
      </c>
      <c r="AV843" s="1874" t="n"/>
    </row>
    <row r="844" hidden="1" outlineLevel="1" ht="14.4" customFormat="1" customHeight="1" s="1867">
      <c r="A844" s="1971" t="inlineStr">
        <is>
          <t>FactSet</t>
        </is>
      </c>
      <c r="B844" s="1967" t="n"/>
      <c r="C844" s="1968">
        <f>IFERROR(FDS(MO.Ticker.FactSet,"P_PRICE_AVG"&amp;"("&amp;INDEX(MO_SNA_FPStartDate,0,COLUMN())&amp;","&amp;INDEX(MO_Common_QEndDate,0,COLUMN())&amp;",,,,""PRICE"",""CLOSE"")"),"N/A")</f>
        <v/>
      </c>
      <c r="D844" s="1968">
        <f>IFERROR(FDS(MO.Ticker.FactSet,"P_PRICE_AVG"&amp;"("&amp;INDEX(MO_SNA_FPStartDate,0,COLUMN())&amp;","&amp;INDEX(MO_Common_QEndDate,0,COLUMN())&amp;",,,,""PRICE"",""CLOSE"")"),"N/A")</f>
        <v/>
      </c>
      <c r="E844" s="1874">
        <f>IFERROR(FDS(MO.Ticker.FactSet,"P_PRICE_AVG"&amp;"("&amp;INDEX(MO_SNA_FPStartDate,0,COLUMN())&amp;","&amp;INDEX(MO_Common_QEndDate,0,COLUMN())&amp;",,,,""PRICE"",""CLOSE"")"),"N/A")</f>
        <v/>
      </c>
      <c r="F844" s="1874">
        <f>IFERROR(FDS(MO.Ticker.FactSet,"P_PRICE_AVG"&amp;"("&amp;INDEX(MO_SNA_FPStartDate,0,COLUMN())&amp;","&amp;INDEX(MO_Common_QEndDate,0,COLUMN())&amp;",,,,""PRICE"",""CLOSE"")"),"N/A")</f>
        <v/>
      </c>
      <c r="G844" s="1874">
        <f>IFERROR(FDS(MO.Ticker.FactSet,"P_PRICE_AVG"&amp;"("&amp;INDEX(MO_SNA_FPStartDate,0,COLUMN())&amp;","&amp;INDEX(MO_Common_QEndDate,0,COLUMN())&amp;",,,,""PRICE"",""CLOSE"")"),"N/A")</f>
        <v/>
      </c>
      <c r="H844" s="1874">
        <f>IFERROR(FDS(MO.Ticker.FactSet,"P_PRICE_AVG"&amp;"("&amp;INDEX(MO_SNA_FPStartDate,0,COLUMN())&amp;","&amp;INDEX(MO_Common_QEndDate,0,COLUMN())&amp;",,,,""PRICE"",""CLOSE"")"),"N/A")</f>
        <v/>
      </c>
      <c r="I844" s="1874">
        <f>IFERROR(FDS(MO.Ticker.FactSet,"P_PRICE_AVG"&amp;"("&amp;INDEX(MO_SNA_FPStartDate,0,COLUMN())&amp;","&amp;INDEX(MO_Common_QEndDate,0,COLUMN())&amp;",,,,""PRICE"",""CLOSE"")"),"N/A")</f>
        <v/>
      </c>
      <c r="J844" s="1874">
        <f>IFERROR(FDS(MO.Ticker.FactSet,"P_PRICE_AVG"&amp;"("&amp;INDEX(MO_SNA_FPStartDate,0,COLUMN())&amp;","&amp;INDEX(MO_Common_QEndDate,0,COLUMN())&amp;",,,,""PRICE"",""CLOSE"")"),"N/A")</f>
        <v/>
      </c>
      <c r="K844" s="1874">
        <f>IFERROR(FDS(MO.Ticker.FactSet,"P_PRICE_AVG"&amp;"("&amp;INDEX(MO_SNA_FPStartDate,0,COLUMN())&amp;","&amp;INDEX(MO_Common_QEndDate,0,COLUMN())&amp;",,,,""PRICE"",""CLOSE"")"),"N/A")</f>
        <v/>
      </c>
      <c r="L844" s="1874">
        <f>IFERROR(FDS(MO.Ticker.FactSet,"P_PRICE_AVG"&amp;"("&amp;INDEX(MO_SNA_FPStartDate,0,COLUMN())&amp;","&amp;INDEX(MO_Common_QEndDate,0,COLUMN())&amp;",,,,""PRICE"",""CLOSE"")"),"N/A")</f>
        <v/>
      </c>
      <c r="M844" s="1874">
        <f>IFERROR(FDS(MO.Ticker.FactSet,"P_PRICE_AVG"&amp;"("&amp;INDEX(MO_SNA_FPStartDate,0,COLUMN())&amp;","&amp;INDEX(MO_Common_QEndDate,0,COLUMN())&amp;",,,,""PRICE"",""CLOSE"")"),"N/A")</f>
        <v/>
      </c>
      <c r="N844" s="1874">
        <f>IFERROR(FDS(MO.Ticker.FactSet,"P_PRICE_AVG"&amp;"("&amp;INDEX(MO_SNA_FPStartDate,0,COLUMN())&amp;","&amp;INDEX(MO_Common_QEndDate,0,COLUMN())&amp;",,,,""PRICE"",""CLOSE"")"),"N/A")</f>
        <v/>
      </c>
      <c r="O844" s="1874">
        <f>IFERROR(FDS(MO.Ticker.FactSet,"P_PRICE_AVG"&amp;"("&amp;INDEX(MO_SNA_FPStartDate,0,COLUMN())&amp;","&amp;INDEX(MO_Common_QEndDate,0,COLUMN())&amp;",,,,""PRICE"",""CLOSE"")"),"N/A")</f>
        <v/>
      </c>
      <c r="P844" s="1874">
        <f>IFERROR(FDS(MO.Ticker.FactSet,"P_PRICE_AVG"&amp;"("&amp;INDEX(MO_SNA_FPStartDate,0,COLUMN())&amp;","&amp;INDEX(MO_Common_QEndDate,0,COLUMN())&amp;",,,,""PRICE"",""CLOSE"")"),"N/A")</f>
        <v/>
      </c>
      <c r="Q844" s="1874">
        <f>IFERROR(FDS(MO.Ticker.FactSet,"P_PRICE_AVG"&amp;"("&amp;INDEX(MO_SNA_FPStartDate,0,COLUMN())&amp;","&amp;INDEX(MO_Common_QEndDate,0,COLUMN())&amp;",,,,""PRICE"",""CLOSE"")"),"N/A")</f>
        <v/>
      </c>
      <c r="R844" s="1874">
        <f>IFERROR(FDS(MO.Ticker.FactSet,"P_PRICE_AVG"&amp;"("&amp;INDEX(MO_SNA_FPStartDate,0,COLUMN())&amp;","&amp;INDEX(MO_Common_QEndDate,0,COLUMN())&amp;",,,,""PRICE"",""CLOSE"")"),"N/A")</f>
        <v/>
      </c>
      <c r="S844" s="1874">
        <f>IFERROR(FDS(MO.Ticker.FactSet,"P_PRICE_AVG"&amp;"("&amp;INDEX(MO_SNA_FPStartDate,0,COLUMN())&amp;","&amp;INDEX(MO_Common_QEndDate,0,COLUMN())&amp;",,,,""PRICE"",""CLOSE"")"),"N/A")</f>
        <v/>
      </c>
      <c r="T844" s="1874">
        <f>IFERROR(FDS(MO.Ticker.FactSet,"P_PRICE_AVG"&amp;"("&amp;INDEX(MO_SNA_FPStartDate,0,COLUMN())&amp;","&amp;INDEX(MO_Common_QEndDate,0,COLUMN())&amp;",,,,""PRICE"",""CLOSE"")"),"N/A")</f>
        <v/>
      </c>
      <c r="U844" s="1874">
        <f>IFERROR(FDS(MO.Ticker.FactSet,"P_PRICE_AVG"&amp;"("&amp;INDEX(MO_SNA_FPStartDate,0,COLUMN())&amp;","&amp;INDEX(MO_Common_QEndDate,0,COLUMN())&amp;",,,,""PRICE"",""CLOSE"")"),"N/A")</f>
        <v/>
      </c>
      <c r="V844" s="1874">
        <f>IFERROR(FDS(MO.Ticker.FactSet,"P_PRICE_AVG"&amp;"("&amp;INDEX(MO_SNA_FPStartDate,0,COLUMN())&amp;","&amp;INDEX(MO_Common_QEndDate,0,COLUMN())&amp;",,,,""PRICE"",""CLOSE"")"),"N/A")</f>
        <v/>
      </c>
      <c r="W844" s="1874">
        <f>IFERROR(FDS(MO.Ticker.FactSet,"P_PRICE_AVG"&amp;"("&amp;INDEX(MO_SNA_FPStartDate,0,COLUMN())&amp;","&amp;INDEX(MO_Common_QEndDate,0,COLUMN())&amp;",,,,""PRICE"",""CLOSE"")"),"N/A")</f>
        <v/>
      </c>
      <c r="X844" s="1874">
        <f>IFERROR(FDS(MO.Ticker.FactSet,"P_PRICE_AVG"&amp;"("&amp;INDEX(MO_SNA_FPStartDate,0,COLUMN())&amp;","&amp;INDEX(MO_Common_QEndDate,0,COLUMN())&amp;",,,,""PRICE"",""CLOSE"")"),"N/A")</f>
        <v/>
      </c>
      <c r="Y844" s="1874">
        <f>IFERROR(FDS(MO.Ticker.FactSet,"P_PRICE_AVG"&amp;"("&amp;INDEX(MO_SNA_FPStartDate,0,COLUMN())&amp;","&amp;INDEX(MO_Common_QEndDate,0,COLUMN())&amp;",,,,""PRICE"",""CLOSE"")"),"N/A")</f>
        <v/>
      </c>
      <c r="Z844" s="1874">
        <f>IFERROR(FDS(MO.Ticker.FactSet,"P_PRICE_AVG"&amp;"("&amp;INDEX(MO_SNA_FPStartDate,0,COLUMN())&amp;","&amp;INDEX(MO_Common_QEndDate,0,COLUMN())&amp;",,,,""PRICE"",""CLOSE"")"),"N/A")</f>
        <v/>
      </c>
      <c r="AA844" s="1874">
        <f>IFERROR(FDS(MO.Ticker.FactSet,"P_PRICE_AVG"&amp;"("&amp;INDEX(MO_SNA_FPStartDate,0,COLUMN())&amp;","&amp;INDEX(MO_Common_QEndDate,0,COLUMN())&amp;",,,,""PRICE"",""CLOSE"")"),"N/A")</f>
        <v/>
      </c>
      <c r="AB844" s="1874">
        <f>IFERROR(FDS(MO.Ticker.FactSet,"P_PRICE_AVG"&amp;"("&amp;INDEX(MO_SNA_FPStartDate,0,COLUMN())&amp;","&amp;INDEX(MO_Common_QEndDate,0,COLUMN())&amp;",,,,""PRICE"",""CLOSE"")"),"N/A")</f>
        <v/>
      </c>
      <c r="AC844" s="1874">
        <f>IFERROR(FDS(MO.Ticker.FactSet,"P_PRICE_AVG"&amp;"("&amp;INDEX(MO_SNA_FPStartDate,0,COLUMN())&amp;","&amp;INDEX(MO_Common_QEndDate,0,COLUMN())&amp;",,,,""PRICE"",""CLOSE"")"),"N/A")</f>
        <v/>
      </c>
      <c r="AD844" s="1874">
        <f>IFERROR(FDS(MO.Ticker.FactSet,"P_PRICE_AVG"&amp;"("&amp;INDEX(MO_SNA_FPStartDate,0,COLUMN())&amp;","&amp;INDEX(MO_Common_QEndDate,0,COLUMN())&amp;",,,,""PRICE"",""CLOSE"")"),"N/A")</f>
        <v/>
      </c>
      <c r="AE844" s="1874">
        <f>IFERROR(FDS(MO.Ticker.FactSet,"P_PRICE_AVG"&amp;"("&amp;INDEX(MO_SNA_FPStartDate,0,COLUMN())&amp;","&amp;INDEX(MO_Common_QEndDate,0,COLUMN())&amp;",,,,""PRICE"",""CLOSE"")"),"N/A")</f>
        <v/>
      </c>
      <c r="AF844" s="1874">
        <f>IFERROR(FDS(MO.Ticker.FactSet,"P_PRICE_AVG"&amp;"("&amp;INDEX(MO_SNA_FPStartDate,0,COLUMN())&amp;","&amp;INDEX(MO_Common_QEndDate,0,COLUMN())&amp;",,,,""PRICE"",""CLOSE"")"),"N/A")</f>
        <v/>
      </c>
      <c r="AG844" s="1874">
        <f>IFERROR(FDS(MO.Ticker.FactSet,"P_PRICE_AVG"&amp;"("&amp;INDEX(MO_SNA_FPStartDate,0,COLUMN())&amp;","&amp;INDEX(MO_Common_QEndDate,0,COLUMN())&amp;",,,,""PRICE"",""CLOSE"")"),"N/A")</f>
        <v/>
      </c>
      <c r="AH844" s="1874">
        <f>IFERROR(FDS(MO.Ticker.FactSet,"P_PRICE_AVG"&amp;"("&amp;INDEX(MO_SNA_FPStartDate,0,COLUMN())&amp;","&amp;INDEX(MO_Common_QEndDate,0,COLUMN())&amp;",,,,""PRICE"",""CLOSE"")"),"N/A")</f>
        <v/>
      </c>
      <c r="AI844" s="1874">
        <f>IFERROR(FDS(MO.Ticker.FactSet,"P_PRICE_AVG"&amp;"("&amp;INDEX(MO_SNA_FPStartDate,0,COLUMN())&amp;","&amp;INDEX(MO_Common_QEndDate,0,COLUMN())&amp;",,,,""PRICE"",""CLOSE"")"),"N/A")</f>
        <v/>
      </c>
      <c r="AJ844" s="1874">
        <f>IFERROR(FDS(MO.Ticker.FactSet,"P_PRICE_AVG"&amp;"("&amp;INDEX(MO_SNA_FPStartDate,0,COLUMN())&amp;","&amp;INDEX(MO_Common_QEndDate,0,COLUMN())&amp;",,,,""PRICE"",""CLOSE"")"),"N/A")</f>
        <v/>
      </c>
      <c r="AK844" s="1969">
        <f>IFERROR(FDS(MO.Ticker.FactSet,"P_PRICE_AVG"&amp;"("&amp;INDEX(MO_SNA_FPStartDate,0,COLUMN())&amp;","&amp;INDEX(MO_Common_QEndDate,0,COLUMN())&amp;",,,,""PRICE"",""CLOSE"")"),"N/A")</f>
        <v/>
      </c>
      <c r="AL844" s="1967">
        <f>IFERROR(FDS(MO.Ticker.FactSet,"P_PRICE_AVG"&amp;"("&amp;INDEX(MO_SNA_FPStartDate,0,COLUMN())&amp;","&amp;INDEX(MO_Common_QEndDate,0,COLUMN())&amp;",,,,""PRICE"",""CLOSE"")"),"N/A")</f>
        <v/>
      </c>
      <c r="AM844" s="1967">
        <f>IFERROR(FDS(MO.Ticker.FactSet,"P_PRICE_AVG"&amp;"("&amp;INDEX(MO_SNA_FPStartDate,0,COLUMN())&amp;","&amp;INDEX(MO_Common_QEndDate,0,COLUMN())&amp;",,,,""PRICE"",""CLOSE"")"),"N/A")</f>
        <v/>
      </c>
      <c r="AN844" s="1967">
        <f>IFERROR(FDS(MO.Ticker.FactSet,"P_PRICE_AVG"&amp;"("&amp;INDEX(MO_SNA_FPStartDate,0,COLUMN())&amp;","&amp;INDEX(MO_Common_QEndDate,0,COLUMN())&amp;",,,,""PRICE"",""CLOSE"")"),"N/A")</f>
        <v/>
      </c>
      <c r="AO844" s="1967">
        <f>IFERROR(FDS(MO.Ticker.FactSet,"P_PRICE_AVG"&amp;"("&amp;INDEX(MO_SNA_FPStartDate,0,COLUMN())&amp;","&amp;INDEX(MO_Common_QEndDate,0,COLUMN())&amp;",,,,""PRICE"",""CLOSE"")"),"N/A")</f>
        <v/>
      </c>
      <c r="AP844" s="1967">
        <f>IFERROR(FDS(MO.Ticker.FactSet,"P_PRICE_AVG"&amp;"("&amp;INDEX(MO_SNA_FPStartDate,0,COLUMN())&amp;","&amp;INDEX(MO_Common_QEndDate,0,COLUMN())&amp;",,,,""PRICE"",""CLOSE"")"),"N/A")</f>
        <v/>
      </c>
      <c r="AQ844" s="1967">
        <f>IFERROR(FDS(MO.Ticker.FactSet,"P_PRICE_AVG"&amp;"("&amp;INDEX(MO_SNA_FPStartDate,0,COLUMN())&amp;","&amp;INDEX(MO_Common_QEndDate,0,COLUMN())&amp;",,,,""PRICE"",""CLOSE"")"),"N/A")</f>
        <v/>
      </c>
      <c r="AR844" s="1967">
        <f>IFERROR(FDS(MO.Ticker.FactSet,"P_PRICE_AVG"&amp;"("&amp;INDEX(MO_SNA_FPStartDate,0,COLUMN())&amp;","&amp;INDEX(MO_Common_QEndDate,0,COLUMN())&amp;",,,,""PRICE"",""CLOSE"")"),"N/A")</f>
        <v/>
      </c>
      <c r="AS844" s="1967">
        <f>IFERROR(FDS(MO.Ticker.FactSet,"P_PRICE_AVG"&amp;"("&amp;INDEX(MO_SNA_FPStartDate,0,COLUMN())&amp;","&amp;INDEX(MO_Common_QEndDate,0,COLUMN())&amp;",,,,""PRICE"",""CLOSE"")"),"N/A")</f>
        <v/>
      </c>
      <c r="AT844" s="1967">
        <f>IFERROR(FDS(MO.Ticker.FactSet,"P_PRICE_AVG"&amp;"("&amp;INDEX(MO_SNA_FPStartDate,0,COLUMN())&amp;","&amp;INDEX(MO_Common_QEndDate,0,COLUMN())&amp;",,,,""PRICE"",""CLOSE"")"),"N/A")</f>
        <v/>
      </c>
      <c r="AU844" s="1970">
        <f>IFERROR(FDS(MO.Ticker.FactSet,"P_PRICE_AVG"&amp;"("&amp;INDEX(MO_SNA_FPStartDate,0,COLUMN())&amp;","&amp;INDEX(MO_Common_QEndDate,0,COLUMN())&amp;",,,,""PRICE"",""CLOSE"")"),"N/A")</f>
        <v/>
      </c>
      <c r="AV844" s="1874" t="n"/>
    </row>
    <row r="845" hidden="1" outlineLevel="1" ht="14.4" customFormat="1" customHeight="1" s="1867">
      <c r="A845" s="1971" t="inlineStr">
        <is>
          <t>Refinitiv</t>
        </is>
      </c>
      <c r="B845" s="1967" t="n"/>
      <c r="C845" s="1968">
        <f>IFERROR(_xll.TR(MO.Ticker.Thomson,"AVG(TR.Priceclose)","sdate:#1 edate:#2",,INDEX(MO_SNA_FPStartDate,0,COLUMN()),INDEX(MO_Common_QEndDate,0,COLUMN())),"N/A")</f>
        <v/>
      </c>
      <c r="D845" s="1968">
        <f>IFERROR(_xll.TR(MO.Ticker.Thomson,"AVG(TR.Priceclose)","sdate:#1 edate:#2",,INDEX(MO_SNA_FPStartDate,0,COLUMN()),INDEX(MO_Common_QEndDate,0,COLUMN())),"N/A")</f>
        <v/>
      </c>
      <c r="E845" s="1874">
        <f>IFERROR(_xll.TR(MO.Ticker.Thomson,"AVG(TR.Priceclose)","sdate:#1 edate:#2",,INDEX(MO_SNA_FPStartDate,0,COLUMN()),INDEX(MO_Common_QEndDate,0,COLUMN())),"N/A")</f>
        <v/>
      </c>
      <c r="F845" s="1874">
        <f>IFERROR(_xll.TR(MO.Ticker.Thomson,"AVG(TR.Priceclose)","sdate:#1 edate:#2",,INDEX(MO_SNA_FPStartDate,0,COLUMN()),INDEX(MO_Common_QEndDate,0,COLUMN())),"N/A")</f>
        <v/>
      </c>
      <c r="G845" s="1874">
        <f>IFERROR(_xll.TR(MO.Ticker.Thomson,"AVG(TR.Priceclose)","sdate:#1 edate:#2",,INDEX(MO_SNA_FPStartDate,0,COLUMN()),INDEX(MO_Common_QEndDate,0,COLUMN())),"N/A")</f>
        <v/>
      </c>
      <c r="H845" s="1874">
        <f>IFERROR(_xll.TR(MO.Ticker.Thomson,"AVG(TR.Priceclose)","sdate:#1 edate:#2",,INDEX(MO_SNA_FPStartDate,0,COLUMN()),INDEX(MO_Common_QEndDate,0,COLUMN())),"N/A")</f>
        <v/>
      </c>
      <c r="I845" s="1874">
        <f>IFERROR(_xll.TR(MO.Ticker.Thomson,"AVG(TR.Priceclose)","sdate:#1 edate:#2",,INDEX(MO_SNA_FPStartDate,0,COLUMN()),INDEX(MO_Common_QEndDate,0,COLUMN())),"N/A")</f>
        <v/>
      </c>
      <c r="J845" s="1874">
        <f>IFERROR(_xll.TR(MO.Ticker.Thomson,"AVG(TR.Priceclose)","sdate:#1 edate:#2",,INDEX(MO_SNA_FPStartDate,0,COLUMN()),INDEX(MO_Common_QEndDate,0,COLUMN())),"N/A")</f>
        <v/>
      </c>
      <c r="K845" s="1874">
        <f>IFERROR(_xll.TR(MO.Ticker.Thomson,"AVG(TR.Priceclose)","sdate:#1 edate:#2",,INDEX(MO_SNA_FPStartDate,0,COLUMN()),INDEX(MO_Common_QEndDate,0,COLUMN())),"N/A")</f>
        <v/>
      </c>
      <c r="L845" s="1874">
        <f>IFERROR(_xll.TR(MO.Ticker.Thomson,"AVG(TR.Priceclose)","sdate:#1 edate:#2",,INDEX(MO_SNA_FPStartDate,0,COLUMN()),INDEX(MO_Common_QEndDate,0,COLUMN())),"N/A")</f>
        <v/>
      </c>
      <c r="M845" s="1874">
        <f>IFERROR(_xll.TR(MO.Ticker.Thomson,"AVG(TR.Priceclose)","sdate:#1 edate:#2",,INDEX(MO_SNA_FPStartDate,0,COLUMN()),INDEX(MO_Common_QEndDate,0,COLUMN())),"N/A")</f>
        <v/>
      </c>
      <c r="N845" s="1874">
        <f>IFERROR(_xll.TR(MO.Ticker.Thomson,"AVG(TR.Priceclose)","sdate:#1 edate:#2",,INDEX(MO_SNA_FPStartDate,0,COLUMN()),INDEX(MO_Common_QEndDate,0,COLUMN())),"N/A")</f>
        <v/>
      </c>
      <c r="O845" s="1874">
        <f>IFERROR(_xll.TR(MO.Ticker.Thomson,"AVG(TR.Priceclose)","sdate:#1 edate:#2",,INDEX(MO_SNA_FPStartDate,0,COLUMN()),INDEX(MO_Common_QEndDate,0,COLUMN())),"N/A")</f>
        <v/>
      </c>
      <c r="P845" s="1874">
        <f>IFERROR(_xll.TR(MO.Ticker.Thomson,"AVG(TR.Priceclose)","sdate:#1 edate:#2",,INDEX(MO_SNA_FPStartDate,0,COLUMN()),INDEX(MO_Common_QEndDate,0,COLUMN())),"N/A")</f>
        <v/>
      </c>
      <c r="Q845" s="1874">
        <f>IFERROR(_xll.TR(MO.Ticker.Thomson,"AVG(TR.Priceclose)","sdate:#1 edate:#2",,INDEX(MO_SNA_FPStartDate,0,COLUMN()),INDEX(MO_Common_QEndDate,0,COLUMN())),"N/A")</f>
        <v/>
      </c>
      <c r="R845" s="1874">
        <f>IFERROR(_xll.TR(MO.Ticker.Thomson,"AVG(TR.Priceclose)","sdate:#1 edate:#2",,INDEX(MO_SNA_FPStartDate,0,COLUMN()),INDEX(MO_Common_QEndDate,0,COLUMN())),"N/A")</f>
        <v/>
      </c>
      <c r="S845" s="1874">
        <f>IFERROR(_xll.TR(MO.Ticker.Thomson,"AVG(TR.Priceclose)","sdate:#1 edate:#2",,INDEX(MO_SNA_FPStartDate,0,COLUMN()),INDEX(MO_Common_QEndDate,0,COLUMN())),"N/A")</f>
        <v/>
      </c>
      <c r="T845" s="1874">
        <f>IFERROR(_xll.TR(MO.Ticker.Thomson,"AVG(TR.Priceclose)","sdate:#1 edate:#2",,INDEX(MO_SNA_FPStartDate,0,COLUMN()),INDEX(MO_Common_QEndDate,0,COLUMN())),"N/A")</f>
        <v/>
      </c>
      <c r="U845" s="1874">
        <f>IFERROR(_xll.TR(MO.Ticker.Thomson,"AVG(TR.Priceclose)","sdate:#1 edate:#2",,INDEX(MO_SNA_FPStartDate,0,COLUMN()),INDEX(MO_Common_QEndDate,0,COLUMN())),"N/A")</f>
        <v/>
      </c>
      <c r="V845" s="1874">
        <f>IFERROR(_xll.TR(MO.Ticker.Thomson,"AVG(TR.Priceclose)","sdate:#1 edate:#2",,INDEX(MO_SNA_FPStartDate,0,COLUMN()),INDEX(MO_Common_QEndDate,0,COLUMN())),"N/A")</f>
        <v/>
      </c>
      <c r="W845" s="1874">
        <f>IFERROR(_xll.TR(MO.Ticker.Thomson,"AVG(TR.Priceclose)","sdate:#1 edate:#2",,INDEX(MO_SNA_FPStartDate,0,COLUMN()),INDEX(MO_Common_QEndDate,0,COLUMN())),"N/A")</f>
        <v/>
      </c>
      <c r="X845" s="1874">
        <f>IFERROR(_xll.TR(MO.Ticker.Thomson,"AVG(TR.Priceclose)","sdate:#1 edate:#2",,INDEX(MO_SNA_FPStartDate,0,COLUMN()),INDEX(MO_Common_QEndDate,0,COLUMN())),"N/A")</f>
        <v/>
      </c>
      <c r="Y845" s="1874">
        <f>IFERROR(_xll.TR(MO.Ticker.Thomson,"AVG(TR.Priceclose)","sdate:#1 edate:#2",,INDEX(MO_SNA_FPStartDate,0,COLUMN()),INDEX(MO_Common_QEndDate,0,COLUMN())),"N/A")</f>
        <v/>
      </c>
      <c r="Z845" s="1874">
        <f>IFERROR(_xll.TR(MO.Ticker.Thomson,"AVG(TR.Priceclose)","sdate:#1 edate:#2",,INDEX(MO_SNA_FPStartDate,0,COLUMN()),INDEX(MO_Common_QEndDate,0,COLUMN())),"N/A")</f>
        <v/>
      </c>
      <c r="AA845" s="1874">
        <f>IFERROR(_xll.TR(MO.Ticker.Thomson,"AVG(TR.Priceclose)","sdate:#1 edate:#2",,INDEX(MO_SNA_FPStartDate,0,COLUMN()),INDEX(MO_Common_QEndDate,0,COLUMN())),"N/A")</f>
        <v/>
      </c>
      <c r="AB845" s="1874">
        <f>IFERROR(_xll.TR(MO.Ticker.Thomson,"AVG(TR.Priceclose)","sdate:#1 edate:#2",,INDEX(MO_SNA_FPStartDate,0,COLUMN()),INDEX(MO_Common_QEndDate,0,COLUMN())),"N/A")</f>
        <v/>
      </c>
      <c r="AC845" s="1874">
        <f>IFERROR(_xll.TR(MO.Ticker.Thomson,"AVG(TR.Priceclose)","sdate:#1 edate:#2",,INDEX(MO_SNA_FPStartDate,0,COLUMN()),INDEX(MO_Common_QEndDate,0,COLUMN())),"N/A")</f>
        <v/>
      </c>
      <c r="AD845" s="1874">
        <f>IFERROR(_xll.TR(MO.Ticker.Thomson,"AVG(TR.Priceclose)","sdate:#1 edate:#2",,INDEX(MO_SNA_FPStartDate,0,COLUMN()),INDEX(MO_Common_QEndDate,0,COLUMN())),"N/A")</f>
        <v/>
      </c>
      <c r="AE845" s="1874">
        <f>IFERROR(_xll.TR(MO.Ticker.Thomson,"AVG(TR.Priceclose)","sdate:#1 edate:#2",,INDEX(MO_SNA_FPStartDate,0,COLUMN()),INDEX(MO_Common_QEndDate,0,COLUMN())),"N/A")</f>
        <v/>
      </c>
      <c r="AF845" s="1874">
        <f>IFERROR(_xll.TR(MO.Ticker.Thomson,"AVG(TR.Priceclose)","sdate:#1 edate:#2",,INDEX(MO_SNA_FPStartDate,0,COLUMN()),INDEX(MO_Common_QEndDate,0,COLUMN())),"N/A")</f>
        <v/>
      </c>
      <c r="AG845" s="1874">
        <f>IFERROR(_xll.TR(MO.Ticker.Thomson,"AVG(TR.Priceclose)","sdate:#1 edate:#2",,INDEX(MO_SNA_FPStartDate,0,COLUMN()),INDEX(MO_Common_QEndDate,0,COLUMN())),"N/A")</f>
        <v/>
      </c>
      <c r="AH845" s="1874">
        <f>IFERROR(_xll.TR(MO.Ticker.Thomson,"AVG(TR.Priceclose)","sdate:#1 edate:#2",,INDEX(MO_SNA_FPStartDate,0,COLUMN()),INDEX(MO_Common_QEndDate,0,COLUMN())),"N/A")</f>
        <v/>
      </c>
      <c r="AI845" s="1874">
        <f>IFERROR(_xll.TR(MO.Ticker.Thomson,"AVG(TR.Priceclose)","sdate:#1 edate:#2",,INDEX(MO_SNA_FPStartDate,0,COLUMN()),INDEX(MO_Common_QEndDate,0,COLUMN())),"N/A")</f>
        <v/>
      </c>
      <c r="AJ845" s="1874">
        <f>IFERROR(_xll.TR(MO.Ticker.Thomson,"AVG(TR.Priceclose)","sdate:#1 edate:#2",,INDEX(MO_SNA_FPStartDate,0,COLUMN()),INDEX(MO_Common_QEndDate,0,COLUMN())),"N/A")</f>
        <v/>
      </c>
      <c r="AK845" s="1969">
        <f>IFERROR(_xll.TR(MO.Ticker.Thomson,"AVG(TR.Priceclose)","sdate:#1 edate:#2",,INDEX(MO_SNA_FPStartDate,0,COLUMN()),INDEX(MO_Common_QEndDate,0,COLUMN())),"N/A")</f>
        <v/>
      </c>
      <c r="AL845" s="1967">
        <f>IFERROR(_xll.TR(MO.Ticker.Thomson,"AVG(TR.Priceclose)","sdate:#1 edate:#2",,INDEX(MO_SNA_FPStartDate,0,COLUMN()),INDEX(MO_Common_QEndDate,0,COLUMN())),"N/A")</f>
        <v/>
      </c>
      <c r="AM845" s="1967">
        <f>IFERROR(_xll.TR(MO.Ticker.Thomson,"AVG(TR.Priceclose)","sdate:#1 edate:#2",,INDEX(MO_SNA_FPStartDate,0,COLUMN()),INDEX(MO_Common_QEndDate,0,COLUMN())),"N/A")</f>
        <v/>
      </c>
      <c r="AN845" s="1967">
        <f>IFERROR(_xll.TR(MO.Ticker.Thomson,"AVG(TR.Priceclose)","sdate:#1 edate:#2",,INDEX(MO_SNA_FPStartDate,0,COLUMN()),INDEX(MO_Common_QEndDate,0,COLUMN())),"N/A")</f>
        <v/>
      </c>
      <c r="AO845" s="1967">
        <f>IFERROR(_xll.TR(MO.Ticker.Thomson,"AVG(TR.Priceclose)","sdate:#1 edate:#2",,INDEX(MO_SNA_FPStartDate,0,COLUMN()),INDEX(MO_Common_QEndDate,0,COLUMN())),"N/A")</f>
        <v/>
      </c>
      <c r="AP845" s="1967">
        <f>IFERROR(_xll.TR(MO.Ticker.Thomson,"AVG(TR.Priceclose)","sdate:#1 edate:#2",,INDEX(MO_SNA_FPStartDate,0,COLUMN()),INDEX(MO_Common_QEndDate,0,COLUMN())),"N/A")</f>
        <v/>
      </c>
      <c r="AQ845" s="1967">
        <f>IFERROR(_xll.TR(MO.Ticker.Thomson,"AVG(TR.Priceclose)","sdate:#1 edate:#2",,INDEX(MO_SNA_FPStartDate,0,COLUMN()),INDEX(MO_Common_QEndDate,0,COLUMN())),"N/A")</f>
        <v/>
      </c>
      <c r="AR845" s="1967">
        <f>IFERROR(_xll.TR(MO.Ticker.Thomson,"AVG(TR.Priceclose)","sdate:#1 edate:#2",,INDEX(MO_SNA_FPStartDate,0,COLUMN()),INDEX(MO_Common_QEndDate,0,COLUMN())),"N/A")</f>
        <v/>
      </c>
      <c r="AS845" s="1967">
        <f>IFERROR(_xll.TR(MO.Ticker.Thomson,"AVG(TR.Priceclose)","sdate:#1 edate:#2",,INDEX(MO_SNA_FPStartDate,0,COLUMN()),INDEX(MO_Common_QEndDate,0,COLUMN())),"N/A")</f>
        <v/>
      </c>
      <c r="AT845" s="1967">
        <f>IFERROR(_xll.TR(MO.Ticker.Thomson,"AVG(TR.Priceclose)","sdate:#1 edate:#2",,INDEX(MO_SNA_FPStartDate,0,COLUMN()),INDEX(MO_Common_QEndDate,0,COLUMN())),"N/A")</f>
        <v/>
      </c>
      <c r="AU845" s="1970">
        <f>IFERROR(_xll.TR(MO.Ticker.Thomson,"AVG(TR.Priceclose)","sdate:#1 edate:#2",,INDEX(MO_SNA_FPStartDate,0,COLUMN()),INDEX(MO_Common_QEndDate,0,COLUMN())),"N/A")</f>
        <v/>
      </c>
      <c r="AV845" s="1874" t="n"/>
    </row>
    <row r="846" hidden="1" outlineLevel="1" ht="14.4" customFormat="1" customHeight="1" s="1418">
      <c r="A846" s="1975" t="n"/>
      <c r="B846" s="1420" t="n"/>
      <c r="C846" s="1919" t="n"/>
      <c r="D846" s="1919" t="n"/>
      <c r="E846" s="1420" t="n"/>
      <c r="F846" s="1420" t="n"/>
      <c r="G846" s="1420" t="n"/>
      <c r="H846" s="1420" t="n"/>
      <c r="I846" s="1420" t="n"/>
      <c r="J846" s="1420" t="n"/>
      <c r="K846" s="1420" t="n"/>
      <c r="L846" s="1420" t="n"/>
      <c r="M846" s="1420" t="n"/>
      <c r="N846" s="1420" t="n"/>
      <c r="O846" s="1420" t="n"/>
      <c r="P846" s="1420" t="n"/>
      <c r="Q846" s="1420" t="n"/>
      <c r="R846" s="1420" t="n"/>
      <c r="S846" s="1420" t="n"/>
      <c r="T846" s="1420" t="n"/>
      <c r="U846" s="1420" t="n"/>
      <c r="V846" s="1420" t="n"/>
      <c r="W846" s="1420" t="n"/>
      <c r="X846" s="1420" t="n"/>
      <c r="Y846" s="1420" t="n"/>
      <c r="Z846" s="1420" t="n"/>
      <c r="AA846" s="1420" t="n"/>
      <c r="AB846" s="1420" t="n"/>
      <c r="AC846" s="1420" t="n"/>
      <c r="AD846" s="1420" t="n"/>
      <c r="AE846" s="1420" t="n"/>
      <c r="AF846" s="1420" t="n"/>
      <c r="AG846" s="1420" t="n"/>
      <c r="AH846" s="1420" t="n"/>
      <c r="AI846" s="1420" t="n"/>
      <c r="AJ846" s="1420" t="n"/>
      <c r="AK846" s="1421" t="n"/>
      <c r="AL846" s="1420" t="n"/>
      <c r="AM846" s="1420" t="n"/>
      <c r="AN846" s="1420" t="n"/>
      <c r="AO846" s="1420" t="n"/>
      <c r="AP846" s="1420" t="n"/>
      <c r="AQ846" s="1420" t="n"/>
      <c r="AR846" s="1420" t="n"/>
      <c r="AS846" s="1420" t="n"/>
      <c r="AT846" s="1420" t="n"/>
      <c r="AU846" s="1976" t="n"/>
      <c r="AV846" s="1422" t="n"/>
    </row>
    <row r="847" collapsed="1" ht="14.4" customFormat="1" customHeight="1" s="1787">
      <c r="A847" s="1977">
        <f>"FX Average: "&amp;IF(OR(MO.RealTimeStockPriceToggle=FALSE,VLOOKUP(MO.DataSourceName,MO_SPT_FXAverage_Sources,COLUMN()+2,FALSE)="N/A"),"Real-Time Off Source",MO.DataSourceName)</f>
        <v/>
      </c>
      <c r="B847" s="1791" t="n"/>
      <c r="C847" s="1978">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D847" s="1978">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E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F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G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H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I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J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K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L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M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N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O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P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Q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R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S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T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U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V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W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X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Y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Z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A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B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C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D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E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F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G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H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I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J847" s="1793">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K847" s="1979">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L847" s="179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M847" s="179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N847" s="179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O847" s="179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P847" s="179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Q847" s="179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R847" s="179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S847" s="179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T847" s="1791">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U847" s="1980">
        <f>IF(OR(MO.RealTimeStockPriceToggle=FALSE,EXACT(HP.TradeCurrency,MO.ReportCurrency),VLOOKUP(MO.DataSourceName,MO_SPT_FXAverage_Sources,COLUMN(),FALSE)="N/A",MO.ApplyTradeCurrencyScaling),VLOOKUP("Real-Time Off Source",MO_SPT_FXAverage_Sources,COLUMN(),FALSE),VLOOKUP(MO.DataSourceName,MO_SPT_FXAverage_Sources,COLUMN(),FALSE))</f>
        <v/>
      </c>
      <c r="AV847" s="1793" t="n"/>
    </row>
    <row r="848" hidden="1" outlineLevel="1" ht="14.4" customFormat="1" customHeight="1" s="1787">
      <c r="A848" s="1981" t="inlineStr">
        <is>
          <t>Real-Time Off Source</t>
        </is>
      </c>
      <c r="B848" s="1791" t="n"/>
      <c r="C848" s="1982" t="n">
        <v>1</v>
      </c>
      <c r="D848" s="1982" t="n">
        <v>1</v>
      </c>
      <c r="E848" s="1983" t="n">
        <v>1</v>
      </c>
      <c r="F848" s="1983" t="n">
        <v>1</v>
      </c>
      <c r="G848" s="1983" t="n">
        <v>1</v>
      </c>
      <c r="H848" s="1983" t="n">
        <v>1</v>
      </c>
      <c r="I848" s="1983" t="n">
        <v>1</v>
      </c>
      <c r="J848" s="1983" t="n">
        <v>1</v>
      </c>
      <c r="K848" s="1983" t="n">
        <v>1</v>
      </c>
      <c r="L848" s="1983" t="n">
        <v>1</v>
      </c>
      <c r="M848" s="1983" t="n">
        <v>1</v>
      </c>
      <c r="N848" s="1983" t="n">
        <v>1</v>
      </c>
      <c r="O848" s="1983" t="n">
        <v>1</v>
      </c>
      <c r="P848" s="1983" t="n">
        <v>1</v>
      </c>
      <c r="Q848" s="1983" t="n">
        <v>1</v>
      </c>
      <c r="R848" s="1983" t="n">
        <v>1</v>
      </c>
      <c r="S848" s="1983" t="n">
        <v>1</v>
      </c>
      <c r="T848" s="1983" t="n">
        <v>1</v>
      </c>
      <c r="U848" s="1983" t="n">
        <v>1</v>
      </c>
      <c r="V848" s="1983" t="n">
        <v>1</v>
      </c>
      <c r="W848" s="1983" t="n">
        <v>1</v>
      </c>
      <c r="X848" s="1983" t="n">
        <v>1</v>
      </c>
      <c r="Y848" s="1983" t="n">
        <v>1</v>
      </c>
      <c r="Z848" s="1983" t="n">
        <v>1</v>
      </c>
      <c r="AA848" s="1983" t="n">
        <v>1</v>
      </c>
      <c r="AB848" s="1983" t="n">
        <v>1</v>
      </c>
      <c r="AC848" s="1983" t="n">
        <v>1</v>
      </c>
      <c r="AD848" s="1983" t="n">
        <v>1</v>
      </c>
      <c r="AE848" s="1983" t="n">
        <v>1</v>
      </c>
      <c r="AF848" s="1983" t="n">
        <v>1</v>
      </c>
      <c r="AG848" s="1983" t="n">
        <v>1</v>
      </c>
      <c r="AH848" s="1983" t="n">
        <v>1</v>
      </c>
      <c r="AI848" s="1983" t="n">
        <v>1</v>
      </c>
      <c r="AJ848" s="1983" t="n">
        <v>1</v>
      </c>
      <c r="AK848" s="1984" t="n">
        <v>1</v>
      </c>
      <c r="AL848" s="1791">
        <f>MO.MRFX.Hardcoded</f>
        <v/>
      </c>
      <c r="AM848" s="1791">
        <f>MO.MRFX.Hardcoded</f>
        <v/>
      </c>
      <c r="AN848" s="1791">
        <f>MO.MRFX.Hardcoded</f>
        <v/>
      </c>
      <c r="AO848" s="1791">
        <f>MO.MRFX.Hardcoded</f>
        <v/>
      </c>
      <c r="AP848" s="1791">
        <f>MO.MRFX.Hardcoded</f>
        <v/>
      </c>
      <c r="AQ848" s="1791">
        <f>MO.MRFX.Hardcoded</f>
        <v/>
      </c>
      <c r="AR848" s="1791">
        <f>MO.MRFX.Hardcoded</f>
        <v/>
      </c>
      <c r="AS848" s="1791">
        <f>MO.MRFX.Hardcoded</f>
        <v/>
      </c>
      <c r="AT848" s="1791">
        <f>MO.MRFX.Hardcoded</f>
        <v/>
      </c>
      <c r="AU848" s="1980">
        <f>MO.MRFX.Hardcoded</f>
        <v/>
      </c>
      <c r="AV848" s="1793" t="n"/>
    </row>
    <row r="849" hidden="1" outlineLevel="1" ht="14.4" customFormat="1" customHeight="1" s="1787">
      <c r="A849" s="1981" t="inlineStr">
        <is>
          <t>Bloomberg</t>
        </is>
      </c>
      <c r="B849" s="1791" t="n"/>
      <c r="C849" s="1978">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D849" s="1978">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E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F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G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H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I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J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K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L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M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N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O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P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Q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R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S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T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U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V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W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X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Y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Z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A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B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C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D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E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F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G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H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I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J849" s="1793">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K849" s="1979">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L849" s="1791">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M849" s="1791">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N849" s="1791">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O849" s="1791">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P849" s="1791">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Q849" s="1791">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R849" s="1791">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S849" s="1791">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T849" s="1791">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U849" s="1980">
        <f>IFERROR(IF(INDEX(MO_Common_QEndDate,0,COLUMN())&gt;TODAY(),BDP(MO.ReportCurrency&amp;HP.TradeCurrency&amp;" CURNCY","PX_LAST"),BDP(MO.ReportCurrency&amp;HP.TradeCurrency&amp;" CURNCY","INTERVAL_AVG","MARKET_DATA_OVERRIDE=PX_LAST","START_DATE_OVERRIDE",TEXT(INDEX(MO_SNA_FPStartDate,0,COLUMN()),"YYYYMMDD"),"END_DATE_OVERRIDE",TEXT(INDEX(MO_Common_QEndDate,0,COLUMN()),"YYYYMMDD"))),"N/A")</f>
        <v/>
      </c>
      <c r="AV849" s="1793" t="n"/>
    </row>
    <row r="850" hidden="1" outlineLevel="1" ht="14.4" customFormat="1" customHeight="1" s="1787">
      <c r="A850" s="1981" t="inlineStr">
        <is>
          <t>Capital IQ</t>
        </is>
      </c>
      <c r="B850" s="1791" t="n"/>
      <c r="C850" s="1978">
        <f>IFERROR(IF(INDEX(MO_Common_QEndDate,0,COLUMN())&gt;TODAY(),CIQ("$"&amp;HP.TradeCurrency&amp;MO.ReportCurrency,"IQ_LASTSALEPRICE"),CIQAVG("$"&amp;HP.TradeCurrency&amp;MO.ReportCurrency,"IQ_LASTSALEPRICE",INDEX(MO_SNA_FPStartDate,0,COLUMN()),INDEX(MO_Common_QEndDate,0,COLUMN()))),"N/A")</f>
        <v/>
      </c>
      <c r="D850" s="1978">
        <f>IFERROR(IF(INDEX(MO_Common_QEndDate,0,COLUMN())&gt;TODAY(),CIQ("$"&amp;HP.TradeCurrency&amp;MO.ReportCurrency,"IQ_LASTSALEPRICE"),CIQAVG("$"&amp;HP.TradeCurrency&amp;MO.ReportCurrency,"IQ_LASTSALEPRICE",INDEX(MO_SNA_FPStartDate,0,COLUMN()),INDEX(MO_Common_QEndDate,0,COLUMN()))),"N/A")</f>
        <v/>
      </c>
      <c r="E850" s="1793">
        <f>IFERROR(IF(INDEX(MO_Common_QEndDate,0,COLUMN())&gt;TODAY(),CIQ("$"&amp;HP.TradeCurrency&amp;MO.ReportCurrency,"IQ_LASTSALEPRICE"),CIQAVG("$"&amp;HP.TradeCurrency&amp;MO.ReportCurrency,"IQ_LASTSALEPRICE",INDEX(MO_SNA_FPStartDate,0,COLUMN()),INDEX(MO_Common_QEndDate,0,COLUMN()))),"N/A")</f>
        <v/>
      </c>
      <c r="F850" s="1793">
        <f>IFERROR(IF(INDEX(MO_Common_QEndDate,0,COLUMN())&gt;TODAY(),CIQ("$"&amp;HP.TradeCurrency&amp;MO.ReportCurrency,"IQ_LASTSALEPRICE"),CIQAVG("$"&amp;HP.TradeCurrency&amp;MO.ReportCurrency,"IQ_LASTSALEPRICE",INDEX(MO_SNA_FPStartDate,0,COLUMN()),INDEX(MO_Common_QEndDate,0,COLUMN()))),"N/A")</f>
        <v/>
      </c>
      <c r="G850" s="1793">
        <f>IFERROR(IF(INDEX(MO_Common_QEndDate,0,COLUMN())&gt;TODAY(),CIQ("$"&amp;HP.TradeCurrency&amp;MO.ReportCurrency,"IQ_LASTSALEPRICE"),CIQAVG("$"&amp;HP.TradeCurrency&amp;MO.ReportCurrency,"IQ_LASTSALEPRICE",INDEX(MO_SNA_FPStartDate,0,COLUMN()),INDEX(MO_Common_QEndDate,0,COLUMN()))),"N/A")</f>
        <v/>
      </c>
      <c r="H850" s="1793">
        <f>IFERROR(IF(INDEX(MO_Common_QEndDate,0,COLUMN())&gt;TODAY(),CIQ("$"&amp;HP.TradeCurrency&amp;MO.ReportCurrency,"IQ_LASTSALEPRICE"),CIQAVG("$"&amp;HP.TradeCurrency&amp;MO.ReportCurrency,"IQ_LASTSALEPRICE",INDEX(MO_SNA_FPStartDate,0,COLUMN()),INDEX(MO_Common_QEndDate,0,COLUMN()))),"N/A")</f>
        <v/>
      </c>
      <c r="I850" s="1793">
        <f>IFERROR(IF(INDEX(MO_Common_QEndDate,0,COLUMN())&gt;TODAY(),CIQ("$"&amp;HP.TradeCurrency&amp;MO.ReportCurrency,"IQ_LASTSALEPRICE"),CIQAVG("$"&amp;HP.TradeCurrency&amp;MO.ReportCurrency,"IQ_LASTSALEPRICE",INDEX(MO_SNA_FPStartDate,0,COLUMN()),INDEX(MO_Common_QEndDate,0,COLUMN()))),"N/A")</f>
        <v/>
      </c>
      <c r="J850" s="1793">
        <f>IFERROR(IF(INDEX(MO_Common_QEndDate,0,COLUMN())&gt;TODAY(),CIQ("$"&amp;HP.TradeCurrency&amp;MO.ReportCurrency,"IQ_LASTSALEPRICE"),CIQAVG("$"&amp;HP.TradeCurrency&amp;MO.ReportCurrency,"IQ_LASTSALEPRICE",INDEX(MO_SNA_FPStartDate,0,COLUMN()),INDEX(MO_Common_QEndDate,0,COLUMN()))),"N/A")</f>
        <v/>
      </c>
      <c r="K850" s="1793">
        <f>IFERROR(IF(INDEX(MO_Common_QEndDate,0,COLUMN())&gt;TODAY(),CIQ("$"&amp;HP.TradeCurrency&amp;MO.ReportCurrency,"IQ_LASTSALEPRICE"),CIQAVG("$"&amp;HP.TradeCurrency&amp;MO.ReportCurrency,"IQ_LASTSALEPRICE",INDEX(MO_SNA_FPStartDate,0,COLUMN()),INDEX(MO_Common_QEndDate,0,COLUMN()))),"N/A")</f>
        <v/>
      </c>
      <c r="L850" s="1793">
        <f>IFERROR(IF(INDEX(MO_Common_QEndDate,0,COLUMN())&gt;TODAY(),CIQ("$"&amp;HP.TradeCurrency&amp;MO.ReportCurrency,"IQ_LASTSALEPRICE"),CIQAVG("$"&amp;HP.TradeCurrency&amp;MO.ReportCurrency,"IQ_LASTSALEPRICE",INDEX(MO_SNA_FPStartDate,0,COLUMN()),INDEX(MO_Common_QEndDate,0,COLUMN()))),"N/A")</f>
        <v/>
      </c>
      <c r="M850" s="1793">
        <f>IFERROR(IF(INDEX(MO_Common_QEndDate,0,COLUMN())&gt;TODAY(),CIQ("$"&amp;HP.TradeCurrency&amp;MO.ReportCurrency,"IQ_LASTSALEPRICE"),CIQAVG("$"&amp;HP.TradeCurrency&amp;MO.ReportCurrency,"IQ_LASTSALEPRICE",INDEX(MO_SNA_FPStartDate,0,COLUMN()),INDEX(MO_Common_QEndDate,0,COLUMN()))),"N/A")</f>
        <v/>
      </c>
      <c r="N850" s="1793">
        <f>IFERROR(IF(INDEX(MO_Common_QEndDate,0,COLUMN())&gt;TODAY(),CIQ("$"&amp;HP.TradeCurrency&amp;MO.ReportCurrency,"IQ_LASTSALEPRICE"),CIQAVG("$"&amp;HP.TradeCurrency&amp;MO.ReportCurrency,"IQ_LASTSALEPRICE",INDEX(MO_SNA_FPStartDate,0,COLUMN()),INDEX(MO_Common_QEndDate,0,COLUMN()))),"N/A")</f>
        <v/>
      </c>
      <c r="O850" s="1793">
        <f>IFERROR(IF(INDEX(MO_Common_QEndDate,0,COLUMN())&gt;TODAY(),CIQ("$"&amp;HP.TradeCurrency&amp;MO.ReportCurrency,"IQ_LASTSALEPRICE"),CIQAVG("$"&amp;HP.TradeCurrency&amp;MO.ReportCurrency,"IQ_LASTSALEPRICE",INDEX(MO_SNA_FPStartDate,0,COLUMN()),INDEX(MO_Common_QEndDate,0,COLUMN()))),"N/A")</f>
        <v/>
      </c>
      <c r="P850" s="1793">
        <f>IFERROR(IF(INDEX(MO_Common_QEndDate,0,COLUMN())&gt;TODAY(),CIQ("$"&amp;HP.TradeCurrency&amp;MO.ReportCurrency,"IQ_LASTSALEPRICE"),CIQAVG("$"&amp;HP.TradeCurrency&amp;MO.ReportCurrency,"IQ_LASTSALEPRICE",INDEX(MO_SNA_FPStartDate,0,COLUMN()),INDEX(MO_Common_QEndDate,0,COLUMN()))),"N/A")</f>
        <v/>
      </c>
      <c r="Q850" s="1793">
        <f>IFERROR(IF(INDEX(MO_Common_QEndDate,0,COLUMN())&gt;TODAY(),CIQ("$"&amp;HP.TradeCurrency&amp;MO.ReportCurrency,"IQ_LASTSALEPRICE"),CIQAVG("$"&amp;HP.TradeCurrency&amp;MO.ReportCurrency,"IQ_LASTSALEPRICE",INDEX(MO_SNA_FPStartDate,0,COLUMN()),INDEX(MO_Common_QEndDate,0,COLUMN()))),"N/A")</f>
        <v/>
      </c>
      <c r="R850" s="1793">
        <f>IFERROR(IF(INDEX(MO_Common_QEndDate,0,COLUMN())&gt;TODAY(),CIQ("$"&amp;HP.TradeCurrency&amp;MO.ReportCurrency,"IQ_LASTSALEPRICE"),CIQAVG("$"&amp;HP.TradeCurrency&amp;MO.ReportCurrency,"IQ_LASTSALEPRICE",INDEX(MO_SNA_FPStartDate,0,COLUMN()),INDEX(MO_Common_QEndDate,0,COLUMN()))),"N/A")</f>
        <v/>
      </c>
      <c r="S850" s="1793">
        <f>IFERROR(IF(INDEX(MO_Common_QEndDate,0,COLUMN())&gt;TODAY(),CIQ("$"&amp;HP.TradeCurrency&amp;MO.ReportCurrency,"IQ_LASTSALEPRICE"),CIQAVG("$"&amp;HP.TradeCurrency&amp;MO.ReportCurrency,"IQ_LASTSALEPRICE",INDEX(MO_SNA_FPStartDate,0,COLUMN()),INDEX(MO_Common_QEndDate,0,COLUMN()))),"N/A")</f>
        <v/>
      </c>
      <c r="T850" s="1793">
        <f>IFERROR(IF(INDEX(MO_Common_QEndDate,0,COLUMN())&gt;TODAY(),CIQ("$"&amp;HP.TradeCurrency&amp;MO.ReportCurrency,"IQ_LASTSALEPRICE"),CIQAVG("$"&amp;HP.TradeCurrency&amp;MO.ReportCurrency,"IQ_LASTSALEPRICE",INDEX(MO_SNA_FPStartDate,0,COLUMN()),INDEX(MO_Common_QEndDate,0,COLUMN()))),"N/A")</f>
        <v/>
      </c>
      <c r="U850" s="1793">
        <f>IFERROR(IF(INDEX(MO_Common_QEndDate,0,COLUMN())&gt;TODAY(),CIQ("$"&amp;HP.TradeCurrency&amp;MO.ReportCurrency,"IQ_LASTSALEPRICE"),CIQAVG("$"&amp;HP.TradeCurrency&amp;MO.ReportCurrency,"IQ_LASTSALEPRICE",INDEX(MO_SNA_FPStartDate,0,COLUMN()),INDEX(MO_Common_QEndDate,0,COLUMN()))),"N/A")</f>
        <v/>
      </c>
      <c r="V850" s="1793">
        <f>IFERROR(IF(INDEX(MO_Common_QEndDate,0,COLUMN())&gt;TODAY(),CIQ("$"&amp;HP.TradeCurrency&amp;MO.ReportCurrency,"IQ_LASTSALEPRICE"),CIQAVG("$"&amp;HP.TradeCurrency&amp;MO.ReportCurrency,"IQ_LASTSALEPRICE",INDEX(MO_SNA_FPStartDate,0,COLUMN()),INDEX(MO_Common_QEndDate,0,COLUMN()))),"N/A")</f>
        <v/>
      </c>
      <c r="W850" s="1793">
        <f>IFERROR(IF(INDEX(MO_Common_QEndDate,0,COLUMN())&gt;TODAY(),CIQ("$"&amp;HP.TradeCurrency&amp;MO.ReportCurrency,"IQ_LASTSALEPRICE"),CIQAVG("$"&amp;HP.TradeCurrency&amp;MO.ReportCurrency,"IQ_LASTSALEPRICE",INDEX(MO_SNA_FPStartDate,0,COLUMN()),INDEX(MO_Common_QEndDate,0,COLUMN()))),"N/A")</f>
        <v/>
      </c>
      <c r="X850" s="1793">
        <f>IFERROR(IF(INDEX(MO_Common_QEndDate,0,COLUMN())&gt;TODAY(),CIQ("$"&amp;HP.TradeCurrency&amp;MO.ReportCurrency,"IQ_LASTSALEPRICE"),CIQAVG("$"&amp;HP.TradeCurrency&amp;MO.ReportCurrency,"IQ_LASTSALEPRICE",INDEX(MO_SNA_FPStartDate,0,COLUMN()),INDEX(MO_Common_QEndDate,0,COLUMN()))),"N/A")</f>
        <v/>
      </c>
      <c r="Y850" s="1793">
        <f>IFERROR(IF(INDEX(MO_Common_QEndDate,0,COLUMN())&gt;TODAY(),CIQ("$"&amp;HP.TradeCurrency&amp;MO.ReportCurrency,"IQ_LASTSALEPRICE"),CIQAVG("$"&amp;HP.TradeCurrency&amp;MO.ReportCurrency,"IQ_LASTSALEPRICE",INDEX(MO_SNA_FPStartDate,0,COLUMN()),INDEX(MO_Common_QEndDate,0,COLUMN()))),"N/A")</f>
        <v/>
      </c>
      <c r="Z850" s="1793">
        <f>IFERROR(IF(INDEX(MO_Common_QEndDate,0,COLUMN())&gt;TODAY(),CIQ("$"&amp;HP.TradeCurrency&amp;MO.ReportCurrency,"IQ_LASTSALEPRICE"),CIQAVG("$"&amp;HP.TradeCurrency&amp;MO.ReportCurrency,"IQ_LASTSALEPRICE",INDEX(MO_SNA_FPStartDate,0,COLUMN()),INDEX(MO_Common_QEndDate,0,COLUMN()))),"N/A")</f>
        <v/>
      </c>
      <c r="AA850" s="1793">
        <f>IFERROR(IF(INDEX(MO_Common_QEndDate,0,COLUMN())&gt;TODAY(),CIQ("$"&amp;HP.TradeCurrency&amp;MO.ReportCurrency,"IQ_LASTSALEPRICE"),CIQAVG("$"&amp;HP.TradeCurrency&amp;MO.ReportCurrency,"IQ_LASTSALEPRICE",INDEX(MO_SNA_FPStartDate,0,COLUMN()),INDEX(MO_Common_QEndDate,0,COLUMN()))),"N/A")</f>
        <v/>
      </c>
      <c r="AB850" s="1793">
        <f>IFERROR(IF(INDEX(MO_Common_QEndDate,0,COLUMN())&gt;TODAY(),CIQ("$"&amp;HP.TradeCurrency&amp;MO.ReportCurrency,"IQ_LASTSALEPRICE"),CIQAVG("$"&amp;HP.TradeCurrency&amp;MO.ReportCurrency,"IQ_LASTSALEPRICE",INDEX(MO_SNA_FPStartDate,0,COLUMN()),INDEX(MO_Common_QEndDate,0,COLUMN()))),"N/A")</f>
        <v/>
      </c>
      <c r="AC850" s="1793">
        <f>IFERROR(IF(INDEX(MO_Common_QEndDate,0,COLUMN())&gt;TODAY(),CIQ("$"&amp;HP.TradeCurrency&amp;MO.ReportCurrency,"IQ_LASTSALEPRICE"),CIQAVG("$"&amp;HP.TradeCurrency&amp;MO.ReportCurrency,"IQ_LASTSALEPRICE",INDEX(MO_SNA_FPStartDate,0,COLUMN()),INDEX(MO_Common_QEndDate,0,COLUMN()))),"N/A")</f>
        <v/>
      </c>
      <c r="AD850" s="1793">
        <f>IFERROR(IF(INDEX(MO_Common_QEndDate,0,COLUMN())&gt;TODAY(),CIQ("$"&amp;HP.TradeCurrency&amp;MO.ReportCurrency,"IQ_LASTSALEPRICE"),CIQAVG("$"&amp;HP.TradeCurrency&amp;MO.ReportCurrency,"IQ_LASTSALEPRICE",INDEX(MO_SNA_FPStartDate,0,COLUMN()),INDEX(MO_Common_QEndDate,0,COLUMN()))),"N/A")</f>
        <v/>
      </c>
      <c r="AE850" s="1793">
        <f>IFERROR(IF(INDEX(MO_Common_QEndDate,0,COLUMN())&gt;TODAY(),CIQ("$"&amp;HP.TradeCurrency&amp;MO.ReportCurrency,"IQ_LASTSALEPRICE"),CIQAVG("$"&amp;HP.TradeCurrency&amp;MO.ReportCurrency,"IQ_LASTSALEPRICE",INDEX(MO_SNA_FPStartDate,0,COLUMN()),INDEX(MO_Common_QEndDate,0,COLUMN()))),"N/A")</f>
        <v/>
      </c>
      <c r="AF850" s="1793">
        <f>IFERROR(IF(INDEX(MO_Common_QEndDate,0,COLUMN())&gt;TODAY(),CIQ("$"&amp;HP.TradeCurrency&amp;MO.ReportCurrency,"IQ_LASTSALEPRICE"),CIQAVG("$"&amp;HP.TradeCurrency&amp;MO.ReportCurrency,"IQ_LASTSALEPRICE",INDEX(MO_SNA_FPStartDate,0,COLUMN()),INDEX(MO_Common_QEndDate,0,COLUMN()))),"N/A")</f>
        <v/>
      </c>
      <c r="AG850" s="1793">
        <f>IFERROR(IF(INDEX(MO_Common_QEndDate,0,COLUMN())&gt;TODAY(),CIQ("$"&amp;HP.TradeCurrency&amp;MO.ReportCurrency,"IQ_LASTSALEPRICE"),CIQAVG("$"&amp;HP.TradeCurrency&amp;MO.ReportCurrency,"IQ_LASTSALEPRICE",INDEX(MO_SNA_FPStartDate,0,COLUMN()),INDEX(MO_Common_QEndDate,0,COLUMN()))),"N/A")</f>
        <v/>
      </c>
      <c r="AH850" s="1793">
        <f>IFERROR(IF(INDEX(MO_Common_QEndDate,0,COLUMN())&gt;TODAY(),CIQ("$"&amp;HP.TradeCurrency&amp;MO.ReportCurrency,"IQ_LASTSALEPRICE"),CIQAVG("$"&amp;HP.TradeCurrency&amp;MO.ReportCurrency,"IQ_LASTSALEPRICE",INDEX(MO_SNA_FPStartDate,0,COLUMN()),INDEX(MO_Common_QEndDate,0,COLUMN()))),"N/A")</f>
        <v/>
      </c>
      <c r="AI850" s="1793">
        <f>IFERROR(IF(INDEX(MO_Common_QEndDate,0,COLUMN())&gt;TODAY(),CIQ("$"&amp;HP.TradeCurrency&amp;MO.ReportCurrency,"IQ_LASTSALEPRICE"),CIQAVG("$"&amp;HP.TradeCurrency&amp;MO.ReportCurrency,"IQ_LASTSALEPRICE",INDEX(MO_SNA_FPStartDate,0,COLUMN()),INDEX(MO_Common_QEndDate,0,COLUMN()))),"N/A")</f>
        <v/>
      </c>
      <c r="AJ850" s="1793">
        <f>IFERROR(IF(INDEX(MO_Common_QEndDate,0,COLUMN())&gt;TODAY(),CIQ("$"&amp;HP.TradeCurrency&amp;MO.ReportCurrency,"IQ_LASTSALEPRICE"),CIQAVG("$"&amp;HP.TradeCurrency&amp;MO.ReportCurrency,"IQ_LASTSALEPRICE",INDEX(MO_SNA_FPStartDate,0,COLUMN()),INDEX(MO_Common_QEndDate,0,COLUMN()))),"N/A")</f>
        <v/>
      </c>
      <c r="AK850" s="1979">
        <f>IFERROR(IF(INDEX(MO_Common_QEndDate,0,COLUMN())&gt;TODAY(),CIQ("$"&amp;HP.TradeCurrency&amp;MO.ReportCurrency,"IQ_LASTSALEPRICE"),CIQAVG("$"&amp;HP.TradeCurrency&amp;MO.ReportCurrency,"IQ_LASTSALEPRICE",INDEX(MO_SNA_FPStartDate,0,COLUMN()),INDEX(MO_Common_QEndDate,0,COLUMN()))),"N/A")</f>
        <v/>
      </c>
      <c r="AL850" s="1791">
        <f>IFERROR(IF(INDEX(MO_Common_QEndDate,0,COLUMN())&gt;TODAY(),CIQ("$"&amp;HP.TradeCurrency&amp;MO.ReportCurrency,"IQ_LASTSALEPRICE"),CIQAVG("$"&amp;HP.TradeCurrency&amp;MO.ReportCurrency,"IQ_LASTSALEPRICE",INDEX(MO_SNA_FPStartDate,0,COLUMN()),INDEX(MO_Common_QEndDate,0,COLUMN()))),"N/A")</f>
        <v/>
      </c>
      <c r="AM850" s="1791">
        <f>IFERROR(IF(INDEX(MO_Common_QEndDate,0,COLUMN())&gt;TODAY(),CIQ("$"&amp;HP.TradeCurrency&amp;MO.ReportCurrency,"IQ_LASTSALEPRICE"),CIQAVG("$"&amp;HP.TradeCurrency&amp;MO.ReportCurrency,"IQ_LASTSALEPRICE",INDEX(MO_SNA_FPStartDate,0,COLUMN()),INDEX(MO_Common_QEndDate,0,COLUMN()))),"N/A")</f>
        <v/>
      </c>
      <c r="AN850" s="1791">
        <f>IFERROR(IF(INDEX(MO_Common_QEndDate,0,COLUMN())&gt;TODAY(),CIQ("$"&amp;HP.TradeCurrency&amp;MO.ReportCurrency,"IQ_LASTSALEPRICE"),CIQAVG("$"&amp;HP.TradeCurrency&amp;MO.ReportCurrency,"IQ_LASTSALEPRICE",INDEX(MO_SNA_FPStartDate,0,COLUMN()),INDEX(MO_Common_QEndDate,0,COLUMN()))),"N/A")</f>
        <v/>
      </c>
      <c r="AO850" s="1791">
        <f>IFERROR(IF(INDEX(MO_Common_QEndDate,0,COLUMN())&gt;TODAY(),CIQ("$"&amp;HP.TradeCurrency&amp;MO.ReportCurrency,"IQ_LASTSALEPRICE"),CIQAVG("$"&amp;HP.TradeCurrency&amp;MO.ReportCurrency,"IQ_LASTSALEPRICE",INDEX(MO_SNA_FPStartDate,0,COLUMN()),INDEX(MO_Common_QEndDate,0,COLUMN()))),"N/A")</f>
        <v/>
      </c>
      <c r="AP850" s="1791">
        <f>IFERROR(IF(INDEX(MO_Common_QEndDate,0,COLUMN())&gt;TODAY(),CIQ("$"&amp;HP.TradeCurrency&amp;MO.ReportCurrency,"IQ_LASTSALEPRICE"),CIQAVG("$"&amp;HP.TradeCurrency&amp;MO.ReportCurrency,"IQ_LASTSALEPRICE",INDEX(MO_SNA_FPStartDate,0,COLUMN()),INDEX(MO_Common_QEndDate,0,COLUMN()))),"N/A")</f>
        <v/>
      </c>
      <c r="AQ850" s="1791">
        <f>IFERROR(IF(INDEX(MO_Common_QEndDate,0,COLUMN())&gt;TODAY(),CIQ("$"&amp;HP.TradeCurrency&amp;MO.ReportCurrency,"IQ_LASTSALEPRICE"),CIQAVG("$"&amp;HP.TradeCurrency&amp;MO.ReportCurrency,"IQ_LASTSALEPRICE",INDEX(MO_SNA_FPStartDate,0,COLUMN()),INDEX(MO_Common_QEndDate,0,COLUMN()))),"N/A")</f>
        <v/>
      </c>
      <c r="AR850" s="1791">
        <f>IFERROR(IF(INDEX(MO_Common_QEndDate,0,COLUMN())&gt;TODAY(),CIQ("$"&amp;HP.TradeCurrency&amp;MO.ReportCurrency,"IQ_LASTSALEPRICE"),CIQAVG("$"&amp;HP.TradeCurrency&amp;MO.ReportCurrency,"IQ_LASTSALEPRICE",INDEX(MO_SNA_FPStartDate,0,COLUMN()),INDEX(MO_Common_QEndDate,0,COLUMN()))),"N/A")</f>
        <v/>
      </c>
      <c r="AS850" s="1791">
        <f>IFERROR(IF(INDEX(MO_Common_QEndDate,0,COLUMN())&gt;TODAY(),CIQ("$"&amp;HP.TradeCurrency&amp;MO.ReportCurrency,"IQ_LASTSALEPRICE"),CIQAVG("$"&amp;HP.TradeCurrency&amp;MO.ReportCurrency,"IQ_LASTSALEPRICE",INDEX(MO_SNA_FPStartDate,0,COLUMN()),INDEX(MO_Common_QEndDate,0,COLUMN()))),"N/A")</f>
        <v/>
      </c>
      <c r="AT850" s="1791">
        <f>IFERROR(IF(INDEX(MO_Common_QEndDate,0,COLUMN())&gt;TODAY(),CIQ("$"&amp;HP.TradeCurrency&amp;MO.ReportCurrency,"IQ_LASTSALEPRICE"),CIQAVG("$"&amp;HP.TradeCurrency&amp;MO.ReportCurrency,"IQ_LASTSALEPRICE",INDEX(MO_SNA_FPStartDate,0,COLUMN()),INDEX(MO_Common_QEndDate,0,COLUMN()))),"N/A")</f>
        <v/>
      </c>
      <c r="AU850" s="1980">
        <f>IFERROR(IF(INDEX(MO_Common_QEndDate,0,COLUMN())&gt;TODAY(),CIQ("$"&amp;HP.TradeCurrency&amp;MO.ReportCurrency,"IQ_LASTSALEPRICE"),CIQAVG("$"&amp;HP.TradeCurrency&amp;MO.ReportCurrency,"IQ_LASTSALEPRICE",INDEX(MO_SNA_FPStartDate,0,COLUMN()),INDEX(MO_Common_QEndDate,0,COLUMN()))),"N/A")</f>
        <v/>
      </c>
      <c r="AV850" s="1793" t="n"/>
    </row>
    <row r="851" hidden="1" outlineLevel="1" ht="14.4" customFormat="1" customHeight="1" s="1787">
      <c r="A851" s="1981" t="inlineStr">
        <is>
          <t>FactSet</t>
        </is>
      </c>
      <c r="B851" s="1791" t="n"/>
      <c r="C851" s="1978">
        <f>IFERROR(IF(INDEX(MO_Common_QEndDate,0,COLUMN())&gt;TODAY(),FDS(MO.ReportCurrency&amp;HP.TradeCurrency,"FG_PRICE(NOW)"),FDS(MO.ReportCurrency&amp;HP.TradeCurrency,"P_PRICE_AVG("&amp;INDEX(MO_SNA_FPStartDate,0,COLUMN())&amp;","&amp;INDEX(MO_Common_QEndDate,0,COLUMN())&amp;",,,,0)")),"N/A")</f>
        <v/>
      </c>
      <c r="D851" s="1978">
        <f>IFERROR(IF(INDEX(MO_Common_QEndDate,0,COLUMN())&gt;TODAY(),FDS(MO.ReportCurrency&amp;HP.TradeCurrency,"FG_PRICE(NOW)"),FDS(MO.ReportCurrency&amp;HP.TradeCurrency,"P_PRICE_AVG("&amp;INDEX(MO_SNA_FPStartDate,0,COLUMN())&amp;","&amp;INDEX(MO_Common_QEndDate,0,COLUMN())&amp;",,,,0)")),"N/A")</f>
        <v/>
      </c>
      <c r="E851" s="1793">
        <f>IFERROR(IF(INDEX(MO_Common_QEndDate,0,COLUMN())&gt;TODAY(),FDS(MO.ReportCurrency&amp;HP.TradeCurrency,"FG_PRICE(NOW)"),FDS(MO.ReportCurrency&amp;HP.TradeCurrency,"P_PRICE_AVG("&amp;INDEX(MO_SNA_FPStartDate,0,COLUMN())&amp;","&amp;INDEX(MO_Common_QEndDate,0,COLUMN())&amp;",,,,0)")),"N/A")</f>
        <v/>
      </c>
      <c r="F851" s="1793">
        <f>IFERROR(IF(INDEX(MO_Common_QEndDate,0,COLUMN())&gt;TODAY(),FDS(MO.ReportCurrency&amp;HP.TradeCurrency,"FG_PRICE(NOW)"),FDS(MO.ReportCurrency&amp;HP.TradeCurrency,"P_PRICE_AVG("&amp;INDEX(MO_SNA_FPStartDate,0,COLUMN())&amp;","&amp;INDEX(MO_Common_QEndDate,0,COLUMN())&amp;",,,,0)")),"N/A")</f>
        <v/>
      </c>
      <c r="G851" s="1793">
        <f>IFERROR(IF(INDEX(MO_Common_QEndDate,0,COLUMN())&gt;TODAY(),FDS(MO.ReportCurrency&amp;HP.TradeCurrency,"FG_PRICE(NOW)"),FDS(MO.ReportCurrency&amp;HP.TradeCurrency,"P_PRICE_AVG("&amp;INDEX(MO_SNA_FPStartDate,0,COLUMN())&amp;","&amp;INDEX(MO_Common_QEndDate,0,COLUMN())&amp;",,,,0)")),"N/A")</f>
        <v/>
      </c>
      <c r="H851" s="1793">
        <f>IFERROR(IF(INDEX(MO_Common_QEndDate,0,COLUMN())&gt;TODAY(),FDS(MO.ReportCurrency&amp;HP.TradeCurrency,"FG_PRICE(NOW)"),FDS(MO.ReportCurrency&amp;HP.TradeCurrency,"P_PRICE_AVG("&amp;INDEX(MO_SNA_FPStartDate,0,COLUMN())&amp;","&amp;INDEX(MO_Common_QEndDate,0,COLUMN())&amp;",,,,0)")),"N/A")</f>
        <v/>
      </c>
      <c r="I851" s="1793">
        <f>IFERROR(IF(INDEX(MO_Common_QEndDate,0,COLUMN())&gt;TODAY(),FDS(MO.ReportCurrency&amp;HP.TradeCurrency,"FG_PRICE(NOW)"),FDS(MO.ReportCurrency&amp;HP.TradeCurrency,"P_PRICE_AVG("&amp;INDEX(MO_SNA_FPStartDate,0,COLUMN())&amp;","&amp;INDEX(MO_Common_QEndDate,0,COLUMN())&amp;",,,,0)")),"N/A")</f>
        <v/>
      </c>
      <c r="J851" s="1793">
        <f>IFERROR(IF(INDEX(MO_Common_QEndDate,0,COLUMN())&gt;TODAY(),FDS(MO.ReportCurrency&amp;HP.TradeCurrency,"FG_PRICE(NOW)"),FDS(MO.ReportCurrency&amp;HP.TradeCurrency,"P_PRICE_AVG("&amp;INDEX(MO_SNA_FPStartDate,0,COLUMN())&amp;","&amp;INDEX(MO_Common_QEndDate,0,COLUMN())&amp;",,,,0)")),"N/A")</f>
        <v/>
      </c>
      <c r="K851" s="1793">
        <f>IFERROR(IF(INDEX(MO_Common_QEndDate,0,COLUMN())&gt;TODAY(),FDS(MO.ReportCurrency&amp;HP.TradeCurrency,"FG_PRICE(NOW)"),FDS(MO.ReportCurrency&amp;HP.TradeCurrency,"P_PRICE_AVG("&amp;INDEX(MO_SNA_FPStartDate,0,COLUMN())&amp;","&amp;INDEX(MO_Common_QEndDate,0,COLUMN())&amp;",,,,0)")),"N/A")</f>
        <v/>
      </c>
      <c r="L851" s="1793">
        <f>IFERROR(IF(INDEX(MO_Common_QEndDate,0,COLUMN())&gt;TODAY(),FDS(MO.ReportCurrency&amp;HP.TradeCurrency,"FG_PRICE(NOW)"),FDS(MO.ReportCurrency&amp;HP.TradeCurrency,"P_PRICE_AVG("&amp;INDEX(MO_SNA_FPStartDate,0,COLUMN())&amp;","&amp;INDEX(MO_Common_QEndDate,0,COLUMN())&amp;",,,,0)")),"N/A")</f>
        <v/>
      </c>
      <c r="M851" s="1793">
        <f>IFERROR(IF(INDEX(MO_Common_QEndDate,0,COLUMN())&gt;TODAY(),FDS(MO.ReportCurrency&amp;HP.TradeCurrency,"FG_PRICE(NOW)"),FDS(MO.ReportCurrency&amp;HP.TradeCurrency,"P_PRICE_AVG("&amp;INDEX(MO_SNA_FPStartDate,0,COLUMN())&amp;","&amp;INDEX(MO_Common_QEndDate,0,COLUMN())&amp;",,,,0)")),"N/A")</f>
        <v/>
      </c>
      <c r="N851" s="1793">
        <f>IFERROR(IF(INDEX(MO_Common_QEndDate,0,COLUMN())&gt;TODAY(),FDS(MO.ReportCurrency&amp;HP.TradeCurrency,"FG_PRICE(NOW)"),FDS(MO.ReportCurrency&amp;HP.TradeCurrency,"P_PRICE_AVG("&amp;INDEX(MO_SNA_FPStartDate,0,COLUMN())&amp;","&amp;INDEX(MO_Common_QEndDate,0,COLUMN())&amp;",,,,0)")),"N/A")</f>
        <v/>
      </c>
      <c r="O851" s="1793">
        <f>IFERROR(IF(INDEX(MO_Common_QEndDate,0,COLUMN())&gt;TODAY(),FDS(MO.ReportCurrency&amp;HP.TradeCurrency,"FG_PRICE(NOW)"),FDS(MO.ReportCurrency&amp;HP.TradeCurrency,"P_PRICE_AVG("&amp;INDEX(MO_SNA_FPStartDate,0,COLUMN())&amp;","&amp;INDEX(MO_Common_QEndDate,0,COLUMN())&amp;",,,,0)")),"N/A")</f>
        <v/>
      </c>
      <c r="P851" s="1793">
        <f>IFERROR(IF(INDEX(MO_Common_QEndDate,0,COLUMN())&gt;TODAY(),FDS(MO.ReportCurrency&amp;HP.TradeCurrency,"FG_PRICE(NOW)"),FDS(MO.ReportCurrency&amp;HP.TradeCurrency,"P_PRICE_AVG("&amp;INDEX(MO_SNA_FPStartDate,0,COLUMN())&amp;","&amp;INDEX(MO_Common_QEndDate,0,COLUMN())&amp;",,,,0)")),"N/A")</f>
        <v/>
      </c>
      <c r="Q851" s="1793">
        <f>IFERROR(IF(INDEX(MO_Common_QEndDate,0,COLUMN())&gt;TODAY(),FDS(MO.ReportCurrency&amp;HP.TradeCurrency,"FG_PRICE(NOW)"),FDS(MO.ReportCurrency&amp;HP.TradeCurrency,"P_PRICE_AVG("&amp;INDEX(MO_SNA_FPStartDate,0,COLUMN())&amp;","&amp;INDEX(MO_Common_QEndDate,0,COLUMN())&amp;",,,,0)")),"N/A")</f>
        <v/>
      </c>
      <c r="R851" s="1793">
        <f>IFERROR(IF(INDEX(MO_Common_QEndDate,0,COLUMN())&gt;TODAY(),FDS(MO.ReportCurrency&amp;HP.TradeCurrency,"FG_PRICE(NOW)"),FDS(MO.ReportCurrency&amp;HP.TradeCurrency,"P_PRICE_AVG("&amp;INDEX(MO_SNA_FPStartDate,0,COLUMN())&amp;","&amp;INDEX(MO_Common_QEndDate,0,COLUMN())&amp;",,,,0)")),"N/A")</f>
        <v/>
      </c>
      <c r="S851" s="1793">
        <f>IFERROR(IF(INDEX(MO_Common_QEndDate,0,COLUMN())&gt;TODAY(),FDS(MO.ReportCurrency&amp;HP.TradeCurrency,"FG_PRICE(NOW)"),FDS(MO.ReportCurrency&amp;HP.TradeCurrency,"P_PRICE_AVG("&amp;INDEX(MO_SNA_FPStartDate,0,COLUMN())&amp;","&amp;INDEX(MO_Common_QEndDate,0,COLUMN())&amp;",,,,0)")),"N/A")</f>
        <v/>
      </c>
      <c r="T851" s="1793">
        <f>IFERROR(IF(INDEX(MO_Common_QEndDate,0,COLUMN())&gt;TODAY(),FDS(MO.ReportCurrency&amp;HP.TradeCurrency,"FG_PRICE(NOW)"),FDS(MO.ReportCurrency&amp;HP.TradeCurrency,"P_PRICE_AVG("&amp;INDEX(MO_SNA_FPStartDate,0,COLUMN())&amp;","&amp;INDEX(MO_Common_QEndDate,0,COLUMN())&amp;",,,,0)")),"N/A")</f>
        <v/>
      </c>
      <c r="U851" s="1793">
        <f>IFERROR(IF(INDEX(MO_Common_QEndDate,0,COLUMN())&gt;TODAY(),FDS(MO.ReportCurrency&amp;HP.TradeCurrency,"FG_PRICE(NOW)"),FDS(MO.ReportCurrency&amp;HP.TradeCurrency,"P_PRICE_AVG("&amp;INDEX(MO_SNA_FPStartDate,0,COLUMN())&amp;","&amp;INDEX(MO_Common_QEndDate,0,COLUMN())&amp;",,,,0)")),"N/A")</f>
        <v/>
      </c>
      <c r="V851" s="1793">
        <f>IFERROR(IF(INDEX(MO_Common_QEndDate,0,COLUMN())&gt;TODAY(),FDS(MO.ReportCurrency&amp;HP.TradeCurrency,"FG_PRICE(NOW)"),FDS(MO.ReportCurrency&amp;HP.TradeCurrency,"P_PRICE_AVG("&amp;INDEX(MO_SNA_FPStartDate,0,COLUMN())&amp;","&amp;INDEX(MO_Common_QEndDate,0,COLUMN())&amp;",,,,0)")),"N/A")</f>
        <v/>
      </c>
      <c r="W851" s="1793">
        <f>IFERROR(IF(INDEX(MO_Common_QEndDate,0,COLUMN())&gt;TODAY(),FDS(MO.ReportCurrency&amp;HP.TradeCurrency,"FG_PRICE(NOW)"),FDS(MO.ReportCurrency&amp;HP.TradeCurrency,"P_PRICE_AVG("&amp;INDEX(MO_SNA_FPStartDate,0,COLUMN())&amp;","&amp;INDEX(MO_Common_QEndDate,0,COLUMN())&amp;",,,,0)")),"N/A")</f>
        <v/>
      </c>
      <c r="X851" s="1793">
        <f>IFERROR(IF(INDEX(MO_Common_QEndDate,0,COLUMN())&gt;TODAY(),FDS(MO.ReportCurrency&amp;HP.TradeCurrency,"FG_PRICE(NOW)"),FDS(MO.ReportCurrency&amp;HP.TradeCurrency,"P_PRICE_AVG("&amp;INDEX(MO_SNA_FPStartDate,0,COLUMN())&amp;","&amp;INDEX(MO_Common_QEndDate,0,COLUMN())&amp;",,,,0)")),"N/A")</f>
        <v/>
      </c>
      <c r="Y851" s="1793">
        <f>IFERROR(IF(INDEX(MO_Common_QEndDate,0,COLUMN())&gt;TODAY(),FDS(MO.ReportCurrency&amp;HP.TradeCurrency,"FG_PRICE(NOW)"),FDS(MO.ReportCurrency&amp;HP.TradeCurrency,"P_PRICE_AVG("&amp;INDEX(MO_SNA_FPStartDate,0,COLUMN())&amp;","&amp;INDEX(MO_Common_QEndDate,0,COLUMN())&amp;",,,,0)")),"N/A")</f>
        <v/>
      </c>
      <c r="Z851" s="1793">
        <f>IFERROR(IF(INDEX(MO_Common_QEndDate,0,COLUMN())&gt;TODAY(),FDS(MO.ReportCurrency&amp;HP.TradeCurrency,"FG_PRICE(NOW)"),FDS(MO.ReportCurrency&amp;HP.TradeCurrency,"P_PRICE_AVG("&amp;INDEX(MO_SNA_FPStartDate,0,COLUMN())&amp;","&amp;INDEX(MO_Common_QEndDate,0,COLUMN())&amp;",,,,0)")),"N/A")</f>
        <v/>
      </c>
      <c r="AA851" s="1793">
        <f>IFERROR(IF(INDEX(MO_Common_QEndDate,0,COLUMN())&gt;TODAY(),FDS(MO.ReportCurrency&amp;HP.TradeCurrency,"FG_PRICE(NOW)"),FDS(MO.ReportCurrency&amp;HP.TradeCurrency,"P_PRICE_AVG("&amp;INDEX(MO_SNA_FPStartDate,0,COLUMN())&amp;","&amp;INDEX(MO_Common_QEndDate,0,COLUMN())&amp;",,,,0)")),"N/A")</f>
        <v/>
      </c>
      <c r="AB851" s="1793">
        <f>IFERROR(IF(INDEX(MO_Common_QEndDate,0,COLUMN())&gt;TODAY(),FDS(MO.ReportCurrency&amp;HP.TradeCurrency,"FG_PRICE(NOW)"),FDS(MO.ReportCurrency&amp;HP.TradeCurrency,"P_PRICE_AVG("&amp;INDEX(MO_SNA_FPStartDate,0,COLUMN())&amp;","&amp;INDEX(MO_Common_QEndDate,0,COLUMN())&amp;",,,,0)")),"N/A")</f>
        <v/>
      </c>
      <c r="AC851" s="1793">
        <f>IFERROR(IF(INDEX(MO_Common_QEndDate,0,COLUMN())&gt;TODAY(),FDS(MO.ReportCurrency&amp;HP.TradeCurrency,"FG_PRICE(NOW)"),FDS(MO.ReportCurrency&amp;HP.TradeCurrency,"P_PRICE_AVG("&amp;INDEX(MO_SNA_FPStartDate,0,COLUMN())&amp;","&amp;INDEX(MO_Common_QEndDate,0,COLUMN())&amp;",,,,0)")),"N/A")</f>
        <v/>
      </c>
      <c r="AD851" s="1793">
        <f>IFERROR(IF(INDEX(MO_Common_QEndDate,0,COLUMN())&gt;TODAY(),FDS(MO.ReportCurrency&amp;HP.TradeCurrency,"FG_PRICE(NOW)"),FDS(MO.ReportCurrency&amp;HP.TradeCurrency,"P_PRICE_AVG("&amp;INDEX(MO_SNA_FPStartDate,0,COLUMN())&amp;","&amp;INDEX(MO_Common_QEndDate,0,COLUMN())&amp;",,,,0)")),"N/A")</f>
        <v/>
      </c>
      <c r="AE851" s="1793">
        <f>IFERROR(IF(INDEX(MO_Common_QEndDate,0,COLUMN())&gt;TODAY(),FDS(MO.ReportCurrency&amp;HP.TradeCurrency,"FG_PRICE(NOW)"),FDS(MO.ReportCurrency&amp;HP.TradeCurrency,"P_PRICE_AVG("&amp;INDEX(MO_SNA_FPStartDate,0,COLUMN())&amp;","&amp;INDEX(MO_Common_QEndDate,0,COLUMN())&amp;",,,,0)")),"N/A")</f>
        <v/>
      </c>
      <c r="AF851" s="1793">
        <f>IFERROR(IF(INDEX(MO_Common_QEndDate,0,COLUMN())&gt;TODAY(),FDS(MO.ReportCurrency&amp;HP.TradeCurrency,"FG_PRICE(NOW)"),FDS(MO.ReportCurrency&amp;HP.TradeCurrency,"P_PRICE_AVG("&amp;INDEX(MO_SNA_FPStartDate,0,COLUMN())&amp;","&amp;INDEX(MO_Common_QEndDate,0,COLUMN())&amp;",,,,0)")),"N/A")</f>
        <v/>
      </c>
      <c r="AG851" s="1793">
        <f>IFERROR(IF(INDEX(MO_Common_QEndDate,0,COLUMN())&gt;TODAY(),FDS(MO.ReportCurrency&amp;HP.TradeCurrency,"FG_PRICE(NOW)"),FDS(MO.ReportCurrency&amp;HP.TradeCurrency,"P_PRICE_AVG("&amp;INDEX(MO_SNA_FPStartDate,0,COLUMN())&amp;","&amp;INDEX(MO_Common_QEndDate,0,COLUMN())&amp;",,,,0)")),"N/A")</f>
        <v/>
      </c>
      <c r="AH851" s="1793">
        <f>IFERROR(IF(INDEX(MO_Common_QEndDate,0,COLUMN())&gt;TODAY(),FDS(MO.ReportCurrency&amp;HP.TradeCurrency,"FG_PRICE(NOW)"),FDS(MO.ReportCurrency&amp;HP.TradeCurrency,"P_PRICE_AVG("&amp;INDEX(MO_SNA_FPStartDate,0,COLUMN())&amp;","&amp;INDEX(MO_Common_QEndDate,0,COLUMN())&amp;",,,,0)")),"N/A")</f>
        <v/>
      </c>
      <c r="AI851" s="1793">
        <f>IFERROR(IF(INDEX(MO_Common_QEndDate,0,COLUMN())&gt;TODAY(),FDS(MO.ReportCurrency&amp;HP.TradeCurrency,"FG_PRICE(NOW)"),FDS(MO.ReportCurrency&amp;HP.TradeCurrency,"P_PRICE_AVG("&amp;INDEX(MO_SNA_FPStartDate,0,COLUMN())&amp;","&amp;INDEX(MO_Common_QEndDate,0,COLUMN())&amp;",,,,0)")),"N/A")</f>
        <v/>
      </c>
      <c r="AJ851" s="1793">
        <f>IFERROR(IF(INDEX(MO_Common_QEndDate,0,COLUMN())&gt;TODAY(),FDS(MO.ReportCurrency&amp;HP.TradeCurrency,"FG_PRICE(NOW)"),FDS(MO.ReportCurrency&amp;HP.TradeCurrency,"P_PRICE_AVG("&amp;INDEX(MO_SNA_FPStartDate,0,COLUMN())&amp;","&amp;INDEX(MO_Common_QEndDate,0,COLUMN())&amp;",,,,0)")),"N/A")</f>
        <v/>
      </c>
      <c r="AK851" s="1979">
        <f>IFERROR(IF(INDEX(MO_Common_QEndDate,0,COLUMN())&gt;TODAY(),FDS(MO.ReportCurrency&amp;HP.TradeCurrency,"FG_PRICE(NOW)"),FDS(MO.ReportCurrency&amp;HP.TradeCurrency,"P_PRICE_AVG("&amp;INDEX(MO_SNA_FPStartDate,0,COLUMN())&amp;","&amp;INDEX(MO_Common_QEndDate,0,COLUMN())&amp;",,,,0)")),"N/A")</f>
        <v/>
      </c>
      <c r="AL851" s="1791">
        <f>IFERROR(IF(INDEX(MO_Common_QEndDate,0,COLUMN())&gt;TODAY(),FDS(MO.ReportCurrency&amp;HP.TradeCurrency,"FG_PRICE(NOW)"),FDS(MO.ReportCurrency&amp;HP.TradeCurrency,"P_PRICE_AVG("&amp;INDEX(MO_SNA_FPStartDate,0,COLUMN())&amp;","&amp;INDEX(MO_Common_QEndDate,0,COLUMN())&amp;",,,,0)")),"N/A")</f>
        <v/>
      </c>
      <c r="AM851" s="1791">
        <f>IFERROR(IF(INDEX(MO_Common_QEndDate,0,COLUMN())&gt;TODAY(),FDS(MO.ReportCurrency&amp;HP.TradeCurrency,"FG_PRICE(NOW)"),FDS(MO.ReportCurrency&amp;HP.TradeCurrency,"P_PRICE_AVG("&amp;INDEX(MO_SNA_FPStartDate,0,COLUMN())&amp;","&amp;INDEX(MO_Common_QEndDate,0,COLUMN())&amp;",,,,0)")),"N/A")</f>
        <v/>
      </c>
      <c r="AN851" s="1791">
        <f>IFERROR(IF(INDEX(MO_Common_QEndDate,0,COLUMN())&gt;TODAY(),FDS(MO.ReportCurrency&amp;HP.TradeCurrency,"FG_PRICE(NOW)"),FDS(MO.ReportCurrency&amp;HP.TradeCurrency,"P_PRICE_AVG("&amp;INDEX(MO_SNA_FPStartDate,0,COLUMN())&amp;","&amp;INDEX(MO_Common_QEndDate,0,COLUMN())&amp;",,,,0)")),"N/A")</f>
        <v/>
      </c>
      <c r="AO851" s="1791">
        <f>IFERROR(IF(INDEX(MO_Common_QEndDate,0,COLUMN())&gt;TODAY(),FDS(MO.ReportCurrency&amp;HP.TradeCurrency,"FG_PRICE(NOW)"),FDS(MO.ReportCurrency&amp;HP.TradeCurrency,"P_PRICE_AVG("&amp;INDEX(MO_SNA_FPStartDate,0,COLUMN())&amp;","&amp;INDEX(MO_Common_QEndDate,0,COLUMN())&amp;",,,,0)")),"N/A")</f>
        <v/>
      </c>
      <c r="AP851" s="1791">
        <f>IFERROR(IF(INDEX(MO_Common_QEndDate,0,COLUMN())&gt;TODAY(),FDS(MO.ReportCurrency&amp;HP.TradeCurrency,"FG_PRICE(NOW)"),FDS(MO.ReportCurrency&amp;HP.TradeCurrency,"P_PRICE_AVG("&amp;INDEX(MO_SNA_FPStartDate,0,COLUMN())&amp;","&amp;INDEX(MO_Common_QEndDate,0,COLUMN())&amp;",,,,0)")),"N/A")</f>
        <v/>
      </c>
      <c r="AQ851" s="1791">
        <f>IFERROR(IF(INDEX(MO_Common_QEndDate,0,COLUMN())&gt;TODAY(),FDS(MO.ReportCurrency&amp;HP.TradeCurrency,"FG_PRICE(NOW)"),FDS(MO.ReportCurrency&amp;HP.TradeCurrency,"P_PRICE_AVG("&amp;INDEX(MO_SNA_FPStartDate,0,COLUMN())&amp;","&amp;INDEX(MO_Common_QEndDate,0,COLUMN())&amp;",,,,0)")),"N/A")</f>
        <v/>
      </c>
      <c r="AR851" s="1791">
        <f>IFERROR(IF(INDEX(MO_Common_QEndDate,0,COLUMN())&gt;TODAY(),FDS(MO.ReportCurrency&amp;HP.TradeCurrency,"FG_PRICE(NOW)"),FDS(MO.ReportCurrency&amp;HP.TradeCurrency,"P_PRICE_AVG("&amp;INDEX(MO_SNA_FPStartDate,0,COLUMN())&amp;","&amp;INDEX(MO_Common_QEndDate,0,COLUMN())&amp;",,,,0)")),"N/A")</f>
        <v/>
      </c>
      <c r="AS851" s="1791">
        <f>IFERROR(IF(INDEX(MO_Common_QEndDate,0,COLUMN())&gt;TODAY(),FDS(MO.ReportCurrency&amp;HP.TradeCurrency,"FG_PRICE(NOW)"),FDS(MO.ReportCurrency&amp;HP.TradeCurrency,"P_PRICE_AVG("&amp;INDEX(MO_SNA_FPStartDate,0,COLUMN())&amp;","&amp;INDEX(MO_Common_QEndDate,0,COLUMN())&amp;",,,,0)")),"N/A")</f>
        <v/>
      </c>
      <c r="AT851" s="1791">
        <f>IFERROR(IF(INDEX(MO_Common_QEndDate,0,COLUMN())&gt;TODAY(),FDS(MO.ReportCurrency&amp;HP.TradeCurrency,"FG_PRICE(NOW)"),FDS(MO.ReportCurrency&amp;HP.TradeCurrency,"P_PRICE_AVG("&amp;INDEX(MO_SNA_FPStartDate,0,COLUMN())&amp;","&amp;INDEX(MO_Common_QEndDate,0,COLUMN())&amp;",,,,0)")),"N/A")</f>
        <v/>
      </c>
      <c r="AU851" s="1980">
        <f>IFERROR(IF(INDEX(MO_Common_QEndDate,0,COLUMN())&gt;TODAY(),FDS(MO.ReportCurrency&amp;HP.TradeCurrency,"FG_PRICE(NOW)"),FDS(MO.ReportCurrency&amp;HP.TradeCurrency,"P_PRICE_AVG("&amp;INDEX(MO_SNA_FPStartDate,0,COLUMN())&amp;","&amp;INDEX(MO_Common_QEndDate,0,COLUMN())&amp;",,,,0)")),"N/A")</f>
        <v/>
      </c>
      <c r="AV851" s="1793" t="n"/>
    </row>
    <row r="852" hidden="1" outlineLevel="1" ht="14.4" customFormat="1" customHeight="1" s="1787">
      <c r="A852" s="1981" t="inlineStr">
        <is>
          <t>Refinitiv</t>
        </is>
      </c>
      <c r="B852" s="1791" t="n"/>
      <c r="C852" s="1978">
        <f>"N/A"</f>
        <v/>
      </c>
      <c r="D852" s="1978">
        <f>"N/A"</f>
        <v/>
      </c>
      <c r="E852" s="1793">
        <f>"N/A"</f>
        <v/>
      </c>
      <c r="F852" s="1793">
        <f>"N/A"</f>
        <v/>
      </c>
      <c r="G852" s="1793">
        <f>"N/A"</f>
        <v/>
      </c>
      <c r="H852" s="1793">
        <f>"N/A"</f>
        <v/>
      </c>
      <c r="I852" s="1793">
        <f>"N/A"</f>
        <v/>
      </c>
      <c r="J852" s="1793">
        <f>"N/A"</f>
        <v/>
      </c>
      <c r="K852" s="1793">
        <f>"N/A"</f>
        <v/>
      </c>
      <c r="L852" s="1793">
        <f>"N/A"</f>
        <v/>
      </c>
      <c r="M852" s="1793">
        <f>"N/A"</f>
        <v/>
      </c>
      <c r="N852" s="1793">
        <f>"N/A"</f>
        <v/>
      </c>
      <c r="O852" s="1793">
        <f>"N/A"</f>
        <v/>
      </c>
      <c r="P852" s="1793">
        <f>"N/A"</f>
        <v/>
      </c>
      <c r="Q852" s="1793">
        <f>"N/A"</f>
        <v/>
      </c>
      <c r="R852" s="1793">
        <f>"N/A"</f>
        <v/>
      </c>
      <c r="S852" s="1793">
        <f>"N/A"</f>
        <v/>
      </c>
      <c r="T852" s="1793">
        <f>"N/A"</f>
        <v/>
      </c>
      <c r="U852" s="1793">
        <f>"N/A"</f>
        <v/>
      </c>
      <c r="V852" s="1793">
        <f>"N/A"</f>
        <v/>
      </c>
      <c r="W852" s="1793">
        <f>"N/A"</f>
        <v/>
      </c>
      <c r="X852" s="1793">
        <f>"N/A"</f>
        <v/>
      </c>
      <c r="Y852" s="1793">
        <f>"N/A"</f>
        <v/>
      </c>
      <c r="Z852" s="1793">
        <f>"N/A"</f>
        <v/>
      </c>
      <c r="AA852" s="1793">
        <f>"N/A"</f>
        <v/>
      </c>
      <c r="AB852" s="1793">
        <f>"N/A"</f>
        <v/>
      </c>
      <c r="AC852" s="1793">
        <f>"N/A"</f>
        <v/>
      </c>
      <c r="AD852" s="1793">
        <f>"N/A"</f>
        <v/>
      </c>
      <c r="AE852" s="1793">
        <f>"N/A"</f>
        <v/>
      </c>
      <c r="AF852" s="1793">
        <f>"N/A"</f>
        <v/>
      </c>
      <c r="AG852" s="1793">
        <f>"N/A"</f>
        <v/>
      </c>
      <c r="AH852" s="1793">
        <f>"N/A"</f>
        <v/>
      </c>
      <c r="AI852" s="1793">
        <f>"N/A"</f>
        <v/>
      </c>
      <c r="AJ852" s="1793">
        <f>"N/A"</f>
        <v/>
      </c>
      <c r="AK852" s="1979">
        <f>"N/A"</f>
        <v/>
      </c>
      <c r="AL852" s="1791">
        <f>"N/A"</f>
        <v/>
      </c>
      <c r="AM852" s="1791">
        <f>"N/A"</f>
        <v/>
      </c>
      <c r="AN852" s="1791">
        <f>"N/A"</f>
        <v/>
      </c>
      <c r="AO852" s="1791">
        <f>"N/A"</f>
        <v/>
      </c>
      <c r="AP852" s="1791">
        <f>"N/A"</f>
        <v/>
      </c>
      <c r="AQ852" s="1791">
        <f>"N/A"</f>
        <v/>
      </c>
      <c r="AR852" s="1791">
        <f>"N/A"</f>
        <v/>
      </c>
      <c r="AS852" s="1791">
        <f>"N/A"</f>
        <v/>
      </c>
      <c r="AT852" s="1791">
        <f>"N/A"</f>
        <v/>
      </c>
      <c r="AU852" s="1980">
        <f>"N/A"</f>
        <v/>
      </c>
      <c r="AV852" s="1793" t="n"/>
    </row>
    <row r="853" hidden="1" outlineLevel="1" ht="14.4" customFormat="1" customHeight="1" s="1418">
      <c r="A853" s="1975" t="n"/>
      <c r="B853" s="1420" t="n"/>
      <c r="C853" s="1919" t="n"/>
      <c r="D853" s="1919" t="n"/>
      <c r="E853" s="1420" t="n"/>
      <c r="F853" s="1420" t="n"/>
      <c r="G853" s="1420" t="n"/>
      <c r="H853" s="1420" t="n"/>
      <c r="I853" s="1420" t="n"/>
      <c r="J853" s="1420" t="n"/>
      <c r="K853" s="1420" t="n"/>
      <c r="L853" s="1420" t="n"/>
      <c r="M853" s="1420" t="n"/>
      <c r="N853" s="1420" t="n"/>
      <c r="O853" s="1420" t="n"/>
      <c r="P853" s="1420" t="n"/>
      <c r="Q853" s="1420" t="n"/>
      <c r="R853" s="1420" t="n"/>
      <c r="S853" s="1420" t="n"/>
      <c r="T853" s="1420" t="n"/>
      <c r="U853" s="1420" t="n"/>
      <c r="V853" s="1420" t="n"/>
      <c r="W853" s="1420" t="n"/>
      <c r="X853" s="1420" t="n"/>
      <c r="Y853" s="1420" t="n"/>
      <c r="Z853" s="1420" t="n"/>
      <c r="AA853" s="1420" t="n"/>
      <c r="AB853" s="1420" t="n"/>
      <c r="AC853" s="1420" t="n"/>
      <c r="AD853" s="1420" t="n"/>
      <c r="AE853" s="1420" t="n"/>
      <c r="AF853" s="1420" t="n"/>
      <c r="AG853" s="1420" t="n"/>
      <c r="AH853" s="1420" t="n"/>
      <c r="AI853" s="1420" t="n"/>
      <c r="AJ853" s="1420" t="n"/>
      <c r="AK853" s="1421" t="n"/>
      <c r="AL853" s="1420" t="n"/>
      <c r="AM853" s="1420" t="n"/>
      <c r="AN853" s="1420" t="n"/>
      <c r="AO853" s="1420" t="n"/>
      <c r="AP853" s="1420" t="n"/>
      <c r="AQ853" s="1420" t="n"/>
      <c r="AR853" s="1420" t="n"/>
      <c r="AS853" s="1420" t="n"/>
      <c r="AT853" s="1420" t="n"/>
      <c r="AU853" s="1976" t="n"/>
      <c r="AV853" s="1422" t="n"/>
    </row>
    <row r="854" collapsed="1" ht="14.4" customFormat="1" customHeight="1" s="1418">
      <c r="A854" s="1985" t="inlineStr">
        <is>
          <t>Last Working Day In Period</t>
        </is>
      </c>
      <c r="B854" s="1420" t="n"/>
      <c r="C854" s="1196">
        <f>WORKDAY(INDEX(MO_Common_QEndDate,0,COLUMN()),-1)</f>
        <v/>
      </c>
      <c r="D854" s="1196">
        <f>WORKDAY(INDEX(MO_Common_QEndDate,0,COLUMN()),-1)</f>
        <v/>
      </c>
      <c r="E854" s="777">
        <f>WORKDAY(INDEX(MO_Common_QEndDate,0,COLUMN()),-1)</f>
        <v/>
      </c>
      <c r="F854" s="777">
        <f>WORKDAY(INDEX(MO_Common_QEndDate,0,COLUMN()),-1)</f>
        <v/>
      </c>
      <c r="G854" s="777">
        <f>WORKDAY(INDEX(MO_Common_QEndDate,0,COLUMN()),-1)</f>
        <v/>
      </c>
      <c r="H854" s="777">
        <f>WORKDAY(INDEX(MO_Common_QEndDate,0,COLUMN()),-1)</f>
        <v/>
      </c>
      <c r="I854" s="777">
        <f>WORKDAY(INDEX(MO_Common_QEndDate,0,COLUMN()),-1)</f>
        <v/>
      </c>
      <c r="J854" s="777">
        <f>WORKDAY(INDEX(MO_Common_QEndDate,0,COLUMN()),-1)</f>
        <v/>
      </c>
      <c r="K854" s="777">
        <f>WORKDAY(INDEX(MO_Common_QEndDate,0,COLUMN()),-1)</f>
        <v/>
      </c>
      <c r="L854" s="777">
        <f>WORKDAY(INDEX(MO_Common_QEndDate,0,COLUMN()),-1)</f>
        <v/>
      </c>
      <c r="M854" s="777">
        <f>WORKDAY(INDEX(MO_Common_QEndDate,0,COLUMN()),-1)</f>
        <v/>
      </c>
      <c r="N854" s="777">
        <f>WORKDAY(INDEX(MO_Common_QEndDate,0,COLUMN()),-1)</f>
        <v/>
      </c>
      <c r="O854" s="777">
        <f>WORKDAY(INDEX(MO_Common_QEndDate,0,COLUMN()),-1)</f>
        <v/>
      </c>
      <c r="P854" s="777">
        <f>WORKDAY(INDEX(MO_Common_QEndDate,0,COLUMN()),-1)</f>
        <v/>
      </c>
      <c r="Q854" s="777">
        <f>WORKDAY(INDEX(MO_Common_QEndDate,0,COLUMN()),-1)</f>
        <v/>
      </c>
      <c r="R854" s="777">
        <f>WORKDAY(INDEX(MO_Common_QEndDate,0,COLUMN()),-1)</f>
        <v/>
      </c>
      <c r="S854" s="777">
        <f>WORKDAY(INDEX(MO_Common_QEndDate,0,COLUMN()),-1)</f>
        <v/>
      </c>
      <c r="T854" s="777">
        <f>WORKDAY(INDEX(MO_Common_QEndDate,0,COLUMN()),-1)</f>
        <v/>
      </c>
      <c r="U854" s="777">
        <f>WORKDAY(INDEX(MO_Common_QEndDate,0,COLUMN()),-1)</f>
        <v/>
      </c>
      <c r="V854" s="777">
        <f>WORKDAY(INDEX(MO_Common_QEndDate,0,COLUMN()),-1)</f>
        <v/>
      </c>
      <c r="W854" s="777">
        <f>WORKDAY(INDEX(MO_Common_QEndDate,0,COLUMN()),-1)</f>
        <v/>
      </c>
      <c r="X854" s="777">
        <f>WORKDAY(INDEX(MO_Common_QEndDate,0,COLUMN()),-1)</f>
        <v/>
      </c>
      <c r="Y854" s="777">
        <f>WORKDAY(INDEX(MO_Common_QEndDate,0,COLUMN()),-1)</f>
        <v/>
      </c>
      <c r="Z854" s="777">
        <f>WORKDAY(INDEX(MO_Common_QEndDate,0,COLUMN()),-1)</f>
        <v/>
      </c>
      <c r="AA854" s="777">
        <f>WORKDAY(INDEX(MO_Common_QEndDate,0,COLUMN()),-1)</f>
        <v/>
      </c>
      <c r="AB854" s="777">
        <f>WORKDAY(INDEX(MO_Common_QEndDate,0,COLUMN()),-1)</f>
        <v/>
      </c>
      <c r="AC854" s="777">
        <f>WORKDAY(INDEX(MO_Common_QEndDate,0,COLUMN()),-1)</f>
        <v/>
      </c>
      <c r="AD854" s="777">
        <f>WORKDAY(INDEX(MO_Common_QEndDate,0,COLUMN()),-1)</f>
        <v/>
      </c>
      <c r="AE854" s="777">
        <f>WORKDAY(INDEX(MO_Common_QEndDate,0,COLUMN()),-1)</f>
        <v/>
      </c>
      <c r="AF854" s="777">
        <f>WORKDAY(INDEX(MO_Common_QEndDate,0,COLUMN()),-1)</f>
        <v/>
      </c>
      <c r="AG854" s="777">
        <f>WORKDAY(INDEX(MO_Common_QEndDate,0,COLUMN()),-1)</f>
        <v/>
      </c>
      <c r="AH854" s="777">
        <f>WORKDAY(INDEX(MO_Common_QEndDate,0,COLUMN()),-1)</f>
        <v/>
      </c>
      <c r="AI854" s="777">
        <f>WORKDAY(INDEX(MO_Common_QEndDate,0,COLUMN()),-1)</f>
        <v/>
      </c>
      <c r="AJ854" s="777">
        <f>WORKDAY(INDEX(MO_Common_QEndDate,0,COLUMN()),-1)</f>
        <v/>
      </c>
      <c r="AK854" s="900">
        <f>WORKDAY(INDEX(MO_Common_QEndDate,0,COLUMN()),-1)</f>
        <v/>
      </c>
      <c r="AL854" s="82">
        <f>WORKDAY(INDEX(MO_Common_QEndDate,0,COLUMN()),-1)</f>
        <v/>
      </c>
      <c r="AM854" s="82">
        <f>WORKDAY(INDEX(MO_Common_QEndDate,0,COLUMN()),-1)</f>
        <v/>
      </c>
      <c r="AN854" s="82">
        <f>WORKDAY(INDEX(MO_Common_QEndDate,0,COLUMN()),-1)</f>
        <v/>
      </c>
      <c r="AO854" s="82">
        <f>WORKDAY(INDEX(MO_Common_QEndDate,0,COLUMN()),-1)</f>
        <v/>
      </c>
      <c r="AP854" s="82">
        <f>WORKDAY(INDEX(MO_Common_QEndDate,0,COLUMN()),-1)</f>
        <v/>
      </c>
      <c r="AQ854" s="82">
        <f>WORKDAY(INDEX(MO_Common_QEndDate,0,COLUMN()),-1)</f>
        <v/>
      </c>
      <c r="AR854" s="82">
        <f>WORKDAY(INDEX(MO_Common_QEndDate,0,COLUMN()),-1)</f>
        <v/>
      </c>
      <c r="AS854" s="82">
        <f>WORKDAY(INDEX(MO_Common_QEndDate,0,COLUMN()),-1)</f>
        <v/>
      </c>
      <c r="AT854" s="82">
        <f>WORKDAY(INDEX(MO_Common_QEndDate,0,COLUMN()),-1)</f>
        <v/>
      </c>
      <c r="AU854" s="84">
        <f>WORKDAY(INDEX(MO_Common_QEndDate,0,COLUMN()),-1)</f>
        <v/>
      </c>
      <c r="AV854" s="1422" t="n"/>
    </row>
    <row r="855" ht="14.4" customFormat="1" customHeight="1" s="1418">
      <c r="A855" s="1985" t="inlineStr">
        <is>
          <t>Stock Price EoP</t>
        </is>
      </c>
      <c r="B855" s="1420" t="n"/>
      <c r="C855" s="1986" t="n">
        <v>0</v>
      </c>
      <c r="D855" s="1986" t="n">
        <v>0</v>
      </c>
      <c r="E855" s="1987" t="n">
        <v>0</v>
      </c>
      <c r="F855" s="1987" t="n">
        <v>0</v>
      </c>
      <c r="G855" s="1987" t="n">
        <v>0</v>
      </c>
      <c r="H855" s="1987" t="n">
        <v>0</v>
      </c>
      <c r="I855" s="1987" t="n">
        <v>0</v>
      </c>
      <c r="J855" s="1987" t="n">
        <v>0</v>
      </c>
      <c r="K855" s="1987" t="n">
        <v>0</v>
      </c>
      <c r="L855" s="1987" t="n">
        <v>0</v>
      </c>
      <c r="M855" s="1987" t="n">
        <v>0</v>
      </c>
      <c r="N855" s="1987" t="n">
        <v>0</v>
      </c>
      <c r="O855" s="1987" t="n">
        <v>0</v>
      </c>
      <c r="P855" s="1987" t="n">
        <v>0</v>
      </c>
      <c r="Q855" s="1987" t="n">
        <v>0</v>
      </c>
      <c r="R855" s="1987" t="n">
        <v>0</v>
      </c>
      <c r="S855" s="1987" t="n">
        <v>0</v>
      </c>
      <c r="T855" s="1987" t="n">
        <v>0</v>
      </c>
      <c r="U855" s="1987" t="n">
        <v>0</v>
      </c>
      <c r="V855" s="1987" t="n">
        <v>0</v>
      </c>
      <c r="W855" s="1987" t="n">
        <v>0</v>
      </c>
      <c r="X855" s="1987" t="n">
        <v>0</v>
      </c>
      <c r="Y855" s="1987" t="n">
        <v>0</v>
      </c>
      <c r="Z855" s="1987" t="n">
        <v>0</v>
      </c>
      <c r="AA855" s="1987" t="n">
        <v>0</v>
      </c>
      <c r="AB855" s="1987" t="n">
        <v>0</v>
      </c>
      <c r="AC855" s="1987" t="n">
        <v>0</v>
      </c>
      <c r="AD855" s="1987" t="n">
        <v>0</v>
      </c>
      <c r="AE855" s="1987" t="n">
        <v>0</v>
      </c>
      <c r="AF855" s="1987" t="n">
        <v>0</v>
      </c>
      <c r="AG855" s="1987" t="n">
        <v>0</v>
      </c>
      <c r="AH855" s="1987" t="n">
        <v>0</v>
      </c>
      <c r="AI855" s="1987" t="n">
        <v>40</v>
      </c>
      <c r="AJ855" s="1987" t="n">
        <v>159.99</v>
      </c>
      <c r="AK855" s="1988" t="n">
        <v>122.52</v>
      </c>
      <c r="AL855" s="1989" t="n"/>
      <c r="AM855" s="1989" t="n"/>
      <c r="AN855" s="1989" t="n"/>
      <c r="AO855" s="1989" t="n"/>
      <c r="AP855" s="1989" t="n"/>
      <c r="AQ855" s="1989" t="n"/>
      <c r="AR855" s="1989" t="n"/>
      <c r="AS855" s="1989" t="n"/>
      <c r="AT855" s="1989" t="n"/>
      <c r="AU855" s="1990" t="n"/>
      <c r="AV855" s="1422" t="n"/>
    </row>
    <row r="856" ht="14.4" customFormat="1" customHeight="1" s="1418">
      <c r="A856" s="1985" t="inlineStr">
        <is>
          <t>FX EoP</t>
        </is>
      </c>
      <c r="B856" s="1420" t="n"/>
      <c r="C856" s="1982" t="n">
        <v>1</v>
      </c>
      <c r="D856" s="1982" t="n">
        <v>1</v>
      </c>
      <c r="E856" s="1983" t="n">
        <v>1</v>
      </c>
      <c r="F856" s="1983" t="n">
        <v>1</v>
      </c>
      <c r="G856" s="1983" t="n">
        <v>1</v>
      </c>
      <c r="H856" s="1983" t="n">
        <v>1</v>
      </c>
      <c r="I856" s="1983" t="n">
        <v>1</v>
      </c>
      <c r="J856" s="1983" t="n">
        <v>1</v>
      </c>
      <c r="K856" s="1983" t="n">
        <v>1</v>
      </c>
      <c r="L856" s="1983" t="n">
        <v>1</v>
      </c>
      <c r="M856" s="1983" t="n">
        <v>1</v>
      </c>
      <c r="N856" s="1983" t="n">
        <v>1</v>
      </c>
      <c r="O856" s="1983" t="n">
        <v>1</v>
      </c>
      <c r="P856" s="1983" t="n">
        <v>1</v>
      </c>
      <c r="Q856" s="1983" t="n">
        <v>1</v>
      </c>
      <c r="R856" s="1983" t="n">
        <v>1</v>
      </c>
      <c r="S856" s="1983" t="n">
        <v>1</v>
      </c>
      <c r="T856" s="1983" t="n">
        <v>1</v>
      </c>
      <c r="U856" s="1983" t="n">
        <v>1</v>
      </c>
      <c r="V856" s="1983" t="n">
        <v>1</v>
      </c>
      <c r="W856" s="1983" t="n">
        <v>1</v>
      </c>
      <c r="X856" s="1983" t="n">
        <v>1</v>
      </c>
      <c r="Y856" s="1983" t="n">
        <v>1</v>
      </c>
      <c r="Z856" s="1983" t="n">
        <v>1</v>
      </c>
      <c r="AA856" s="1983" t="n">
        <v>1</v>
      </c>
      <c r="AB856" s="1983" t="n">
        <v>1</v>
      </c>
      <c r="AC856" s="1983" t="n">
        <v>1</v>
      </c>
      <c r="AD856" s="1983" t="n">
        <v>1</v>
      </c>
      <c r="AE856" s="1983" t="n">
        <v>1</v>
      </c>
      <c r="AF856" s="1983" t="n">
        <v>1</v>
      </c>
      <c r="AG856" s="1983" t="n">
        <v>1</v>
      </c>
      <c r="AH856" s="1983" t="n">
        <v>1</v>
      </c>
      <c r="AI856" s="1983" t="n">
        <v>1</v>
      </c>
      <c r="AJ856" s="1983" t="n">
        <v>1</v>
      </c>
      <c r="AK856" s="1984" t="n">
        <v>1</v>
      </c>
      <c r="AL856" s="1791" t="n"/>
      <c r="AM856" s="1791" t="n"/>
      <c r="AN856" s="1791" t="n"/>
      <c r="AO856" s="1791" t="n"/>
      <c r="AP856" s="1791" t="n"/>
      <c r="AQ856" s="1791" t="n"/>
      <c r="AR856" s="1791" t="n"/>
      <c r="AS856" s="1791" t="n"/>
      <c r="AT856" s="1791" t="n"/>
      <c r="AU856" s="1980" t="n"/>
      <c r="AV856" s="1422" t="n"/>
    </row>
    <row r="857" ht="14.4" customFormat="1" customHeight="1" s="1418">
      <c r="A857" s="1991" t="n"/>
      <c r="B857" s="1583" t="n"/>
      <c r="C857" s="1992" t="n"/>
      <c r="D857" s="1992" t="n"/>
      <c r="E857" s="1993" t="n"/>
      <c r="F857" s="1993" t="n"/>
      <c r="G857" s="1993" t="n"/>
      <c r="H857" s="1993" t="n"/>
      <c r="I857" s="1993" t="n"/>
      <c r="J857" s="1993" t="n"/>
      <c r="K857" s="1993" t="n"/>
      <c r="L857" s="1993" t="n"/>
      <c r="M857" s="1993" t="n"/>
      <c r="N857" s="1993" t="n"/>
      <c r="O857" s="1993" t="n"/>
      <c r="P857" s="1993" t="n"/>
      <c r="Q857" s="1993" t="n"/>
      <c r="R857" s="1993" t="n"/>
      <c r="S857" s="1993" t="n"/>
      <c r="T857" s="1993" t="n"/>
      <c r="U857" s="1993" t="n"/>
      <c r="V857" s="1993" t="n"/>
      <c r="W857" s="1993" t="n"/>
      <c r="X857" s="1993" t="n"/>
      <c r="Y857" s="1993" t="n"/>
      <c r="Z857" s="1993" t="n"/>
      <c r="AA857" s="1993" t="n"/>
      <c r="AB857" s="1993" t="n"/>
      <c r="AC857" s="1993" t="n"/>
      <c r="AD857" s="1993" t="n"/>
      <c r="AE857" s="1993" t="n"/>
      <c r="AF857" s="1993" t="n"/>
      <c r="AG857" s="1993" t="n"/>
      <c r="AH857" s="1993" t="n"/>
      <c r="AI857" s="1993" t="n"/>
      <c r="AJ857" s="1993" t="n"/>
      <c r="AK857" s="1994" t="n"/>
      <c r="AL857" s="1993" t="n"/>
      <c r="AM857" s="1993" t="n"/>
      <c r="AN857" s="1993" t="n"/>
      <c r="AO857" s="1993" t="n"/>
      <c r="AP857" s="1993" t="n"/>
      <c r="AQ857" s="1993" t="n"/>
      <c r="AR857" s="1993" t="n"/>
      <c r="AS857" s="1993" t="n"/>
      <c r="AT857" s="1993" t="n"/>
      <c r="AU857" s="1995" t="n"/>
      <c r="AV857" s="1422" t="n"/>
    </row>
    <row r="858" ht="14.4" customFormat="1" customHeight="1" s="1418">
      <c r="A858" s="1918" t="n"/>
      <c r="B858" s="1420" t="n"/>
      <c r="C858" s="1919" t="n"/>
      <c r="D858" s="1919" t="n"/>
      <c r="E858" s="1420" t="n"/>
      <c r="F858" s="1420" t="n"/>
      <c r="G858" s="1420" t="n"/>
      <c r="H858" s="1420" t="n"/>
      <c r="I858" s="1420" t="n"/>
      <c r="J858" s="1420" t="n"/>
      <c r="K858" s="1420" t="n"/>
      <c r="L858" s="1420" t="n"/>
      <c r="M858" s="1420" t="n"/>
      <c r="N858" s="1420" t="n"/>
      <c r="O858" s="1420" t="n"/>
      <c r="P858" s="1420" t="n"/>
      <c r="Q858" s="1420" t="n"/>
      <c r="R858" s="1420" t="n"/>
      <c r="S858" s="1420" t="n"/>
      <c r="T858" s="1420" t="n"/>
      <c r="U858" s="1420" t="n"/>
      <c r="V858" s="1420" t="n"/>
      <c r="W858" s="1420" t="n"/>
      <c r="X858" s="1420" t="n"/>
      <c r="Y858" s="1420" t="n"/>
      <c r="Z858" s="1420" t="n"/>
      <c r="AA858" s="1420" t="n"/>
      <c r="AB858" s="1420" t="n"/>
      <c r="AC858" s="1420" t="n"/>
      <c r="AD858" s="1420" t="n"/>
      <c r="AE858" s="1420" t="n"/>
      <c r="AF858" s="1420" t="n"/>
      <c r="AG858" s="1420" t="n"/>
      <c r="AH858" s="1420" t="n"/>
      <c r="AI858" s="1420" t="n"/>
      <c r="AJ858" s="1420" t="n"/>
      <c r="AK858" s="1421" t="n"/>
      <c r="AL858" s="1420" t="n"/>
      <c r="AM858" s="1420" t="n"/>
      <c r="AN858" s="1420" t="n"/>
      <c r="AO858" s="1420" t="n"/>
      <c r="AP858" s="1420" t="n"/>
      <c r="AQ858" s="1420" t="n"/>
      <c r="AR858" s="1420" t="n"/>
      <c r="AS858" s="1420" t="n"/>
      <c r="AT858" s="1420" t="n"/>
      <c r="AU858" s="1420" t="n"/>
      <c r="AV858" s="1422" t="n"/>
    </row>
    <row r="859" ht="14.4" customFormat="1" customHeight="1" s="1418">
      <c r="A859" s="1996" t="inlineStr">
        <is>
          <t>General Table</t>
        </is>
      </c>
      <c r="B859" s="1961" t="n"/>
      <c r="C859" s="1420" t="n"/>
      <c r="D859" s="1420" t="n"/>
      <c r="E859" s="1420" t="n"/>
      <c r="F859" s="1420" t="n"/>
      <c r="G859" s="1420" t="n"/>
      <c r="H859" s="1420" t="n"/>
      <c r="I859" s="1420" t="n"/>
      <c r="J859" s="1420" t="n"/>
      <c r="K859" s="1420" t="n"/>
      <c r="L859" s="1420" t="n"/>
      <c r="M859" s="1420" t="n"/>
      <c r="N859" s="1420" t="n"/>
      <c r="O859" s="1420" t="n"/>
      <c r="P859" s="1420" t="n"/>
      <c r="Q859" s="1420" t="n"/>
      <c r="R859" s="1420" t="n"/>
      <c r="S859" s="1420" t="n"/>
      <c r="T859" s="1420" t="n"/>
      <c r="U859" s="1420" t="n"/>
      <c r="V859" s="1420" t="n"/>
      <c r="W859" s="1420" t="n"/>
      <c r="X859" s="1420" t="n"/>
      <c r="Y859" s="1420" t="n"/>
      <c r="Z859" s="1420" t="n"/>
      <c r="AA859" s="1420" t="n"/>
      <c r="AB859" s="1420" t="n"/>
      <c r="AC859" s="1420" t="n"/>
      <c r="AD859" s="1420" t="n"/>
      <c r="AE859" s="1420" t="n"/>
      <c r="AF859" s="1420" t="n"/>
      <c r="AG859" s="1420" t="n"/>
      <c r="AH859" s="1420" t="n"/>
      <c r="AI859" s="1420" t="n"/>
      <c r="AJ859" s="1420" t="n"/>
      <c r="AK859" s="1421" t="n"/>
      <c r="AL859" s="1420" t="n"/>
      <c r="AM859" s="1420" t="n"/>
      <c r="AN859" s="1420" t="n"/>
      <c r="AO859" s="1420" t="n"/>
      <c r="AP859" s="1420" t="n"/>
      <c r="AQ859" s="1420" t="n"/>
      <c r="AR859" s="1420" t="n"/>
      <c r="AS859" s="1420" t="n"/>
      <c r="AT859" s="1420" t="n"/>
      <c r="AU859" s="1420" t="n"/>
      <c r="AV859" s="1422" t="n"/>
    </row>
    <row r="860" ht="14.4" customFormat="1" customHeight="1" s="1867">
      <c r="A860" s="1868" t="inlineStr">
        <is>
          <t>Last Price</t>
        </is>
      </c>
      <c r="B860" s="1967">
        <f>FP.LastPrice</f>
        <v/>
      </c>
      <c r="C860" s="1967" t="n"/>
      <c r="D860" s="1967" t="n"/>
      <c r="E860" s="1967" t="n"/>
      <c r="F860" s="1967" t="n"/>
      <c r="G860" s="1967" t="n"/>
      <c r="H860" s="1967" t="n"/>
      <c r="I860" s="1967" t="n"/>
      <c r="J860" s="1967" t="n"/>
      <c r="K860" s="1967" t="n"/>
      <c r="L860" s="1967" t="n"/>
      <c r="M860" s="1967" t="n"/>
      <c r="N860" s="1967" t="n"/>
      <c r="O860" s="1967" t="n"/>
      <c r="P860" s="1967" t="n"/>
      <c r="Q860" s="1967" t="n"/>
      <c r="R860" s="1967" t="n"/>
      <c r="S860" s="1967" t="n"/>
      <c r="T860" s="1967" t="n"/>
      <c r="U860" s="1967" t="n"/>
      <c r="V860" s="1967" t="n"/>
      <c r="W860" s="1967" t="n"/>
      <c r="X860" s="1967" t="n"/>
      <c r="Y860" s="1967" t="n"/>
      <c r="Z860" s="1967" t="n"/>
      <c r="AA860" s="1967" t="n"/>
      <c r="AB860" s="1967" t="n"/>
      <c r="AC860" s="1967" t="n"/>
      <c r="AD860" s="1967" t="n"/>
      <c r="AE860" s="1967" t="n"/>
      <c r="AF860" s="1967" t="n"/>
      <c r="AG860" s="1967" t="n"/>
      <c r="AH860" s="1967" t="n"/>
      <c r="AI860" s="1967" t="n"/>
      <c r="AJ860" s="1967" t="n"/>
      <c r="AK860" s="1997" t="n"/>
      <c r="AL860" s="1967" t="n"/>
      <c r="AM860" s="1967" t="n"/>
      <c r="AN860" s="1967" t="n"/>
      <c r="AO860" s="1967" t="n"/>
      <c r="AP860" s="1967" t="n"/>
      <c r="AQ860" s="1967" t="n"/>
      <c r="AR860" s="1967" t="n"/>
      <c r="AS860" s="1967" t="n"/>
      <c r="AT860" s="1967" t="n"/>
      <c r="AU860" s="1967" t="n"/>
      <c r="AV860" s="1874" t="n"/>
    </row>
    <row r="861" ht="14.4" customHeight="1" s="877">
      <c r="A861" s="1539" t="inlineStr">
        <is>
          <t>Last Price Date</t>
        </is>
      </c>
      <c r="B861" s="1998">
        <f>FP.LastPriceDate</f>
        <v/>
      </c>
      <c r="C861" s="668" t="n"/>
      <c r="D861" s="668" t="n"/>
      <c r="E861" s="668" t="n"/>
      <c r="F861" s="668" t="n"/>
      <c r="G861" s="668" t="n"/>
      <c r="H861" s="668" t="n"/>
      <c r="I861" s="668" t="n"/>
      <c r="J861" s="668" t="n"/>
      <c r="K861" s="668" t="n"/>
      <c r="L861" s="668" t="n"/>
      <c r="M861" s="668" t="n"/>
      <c r="N861" s="668" t="n"/>
      <c r="O861" s="668" t="n"/>
      <c r="P861" s="668" t="n"/>
      <c r="Q861" s="668" t="n"/>
      <c r="R861" s="668" t="n"/>
      <c r="S861" s="668" t="n"/>
      <c r="T861" s="668" t="n"/>
      <c r="U861" s="668" t="n"/>
      <c r="V861" s="668" t="n"/>
      <c r="W861" s="668" t="n"/>
      <c r="X861" s="668" t="n"/>
      <c r="Y861" s="668" t="n"/>
      <c r="Z861" s="668" t="n"/>
      <c r="AA861" s="668" t="n"/>
      <c r="AB861" s="668" t="n"/>
      <c r="AC861" s="668" t="n"/>
      <c r="AD861" s="668" t="n"/>
      <c r="AE861" s="668" t="n"/>
      <c r="AF861" s="668" t="n"/>
      <c r="AG861" s="668" t="n"/>
      <c r="AH861" s="668" t="n"/>
      <c r="AI861" s="668" t="n"/>
      <c r="AJ861" s="668" t="n"/>
      <c r="AK861" s="293" t="n"/>
      <c r="AL861" s="668" t="n"/>
      <c r="AM861" s="668" t="n"/>
      <c r="AN861" s="668" t="n"/>
      <c r="AO861" s="668" t="n"/>
      <c r="AP861" s="668" t="n"/>
      <c r="AQ861" s="668" t="n"/>
      <c r="AR861" s="668" t="n"/>
      <c r="AS861" s="668" t="n"/>
      <c r="AT861" s="668" t="n"/>
      <c r="AU861" s="668" t="n"/>
      <c r="AV861" s="787" t="n"/>
    </row>
    <row r="862" ht="14.4" customHeight="1" s="877">
      <c r="A862" s="1539" t="inlineStr">
        <is>
          <t>Real-Time Stock Price</t>
        </is>
      </c>
      <c r="B862" s="787">
        <f>IF(FP.RealTimeToggle="ON",TRUE,FALSE)</f>
        <v/>
      </c>
      <c r="C862" s="668" t="n"/>
      <c r="D862" s="668" t="n"/>
      <c r="E862" s="668" t="n"/>
      <c r="F862" s="668" t="n"/>
      <c r="G862" s="668" t="n"/>
      <c r="H862" s="668" t="n"/>
      <c r="I862" s="668" t="n"/>
      <c r="J862" s="668" t="n"/>
      <c r="K862" s="668" t="n"/>
      <c r="L862" s="668" t="n"/>
      <c r="M862" s="668" t="n"/>
      <c r="N862" s="668" t="n"/>
      <c r="O862" s="668" t="n"/>
      <c r="P862" s="668" t="n"/>
      <c r="Q862" s="668" t="n"/>
      <c r="R862" s="668" t="n"/>
      <c r="S862" s="668" t="n"/>
      <c r="T862" s="668" t="n"/>
      <c r="U862" s="668" t="n"/>
      <c r="V862" s="668" t="n"/>
      <c r="W862" s="668" t="n"/>
      <c r="X862" s="668" t="n"/>
      <c r="Y862" s="668" t="n"/>
      <c r="Z862" s="668" t="n"/>
      <c r="AA862" s="668" t="n"/>
      <c r="AB862" s="668" t="n"/>
      <c r="AC862" s="668" t="n"/>
      <c r="AD862" s="668" t="n"/>
      <c r="AE862" s="668" t="n"/>
      <c r="AF862" s="668" t="n"/>
      <c r="AG862" s="668" t="n"/>
      <c r="AH862" s="668" t="n"/>
      <c r="AI862" s="668" t="n"/>
      <c r="AJ862" s="668" t="n"/>
      <c r="AK862" s="293" t="n"/>
      <c r="AL862" s="668" t="n"/>
      <c r="AM862" s="668" t="n"/>
      <c r="AN862" s="668" t="n"/>
      <c r="AO862" s="668" t="n"/>
      <c r="AP862" s="668" t="n"/>
      <c r="AQ862" s="668" t="n"/>
      <c r="AR862" s="668" t="n"/>
      <c r="AS862" s="668" t="n"/>
      <c r="AT862" s="668" t="n"/>
      <c r="AU862" s="668" t="n"/>
      <c r="AV862" s="787" t="n"/>
    </row>
    <row r="863" ht="14.4" customFormat="1" customHeight="1" s="1867">
      <c r="A863" s="1868" t="inlineStr">
        <is>
          <t>Last Price Formula</t>
        </is>
      </c>
      <c r="B863" s="1874">
        <f>IFERROR(CHOOSE(MO.DataSourceIndex,BDP(MO.Ticker.Bloomberg&amp;" EQUITY","PX_LAST"),CIQ(MO.Ticker.CapIQ,"IQ_LASTSALEPRICE"),FDS(MO.Ticker.FactSet,"FG_PRICE(NOW)"),_xll.TR(MO.Ticker.Thomson,"TRDPRC_1")),"N/A")</f>
        <v/>
      </c>
      <c r="C863" s="1967" t="n"/>
      <c r="D863" s="1967" t="n"/>
      <c r="E863" s="1967" t="n"/>
      <c r="F863" s="1967" t="n"/>
      <c r="G863" s="1967" t="n"/>
      <c r="H863" s="1967" t="n"/>
      <c r="I863" s="1967" t="n"/>
      <c r="J863" s="1967" t="n"/>
      <c r="K863" s="1967" t="n"/>
      <c r="L863" s="1967" t="n"/>
      <c r="M863" s="1967" t="n"/>
      <c r="N863" s="1967" t="n"/>
      <c r="O863" s="1967" t="n"/>
      <c r="P863" s="1967" t="n"/>
      <c r="Q863" s="1967" t="n"/>
      <c r="R863" s="1967" t="n"/>
      <c r="S863" s="1967" t="n"/>
      <c r="T863" s="1967" t="n"/>
      <c r="U863" s="1967" t="n"/>
      <c r="V863" s="1967" t="n"/>
      <c r="W863" s="1967" t="n"/>
      <c r="X863" s="1967" t="n"/>
      <c r="Y863" s="1967" t="n"/>
      <c r="Z863" s="1967" t="n"/>
      <c r="AA863" s="1967" t="n"/>
      <c r="AB863" s="1967" t="n"/>
      <c r="AC863" s="1967" t="n"/>
      <c r="AD863" s="1967" t="n"/>
      <c r="AE863" s="1967" t="n"/>
      <c r="AF863" s="1967" t="n"/>
      <c r="AG863" s="1967" t="n"/>
      <c r="AH863" s="1967" t="n"/>
      <c r="AI863" s="1967" t="n"/>
      <c r="AJ863" s="1967" t="n"/>
      <c r="AK863" s="1997" t="n"/>
      <c r="AL863" s="1967" t="n"/>
      <c r="AM863" s="1967" t="n"/>
      <c r="AN863" s="1967" t="n"/>
      <c r="AO863" s="1967" t="n"/>
      <c r="AP863" s="1967" t="n"/>
      <c r="AQ863" s="1967" t="n"/>
      <c r="AR863" s="1967" t="n"/>
      <c r="AS863" s="1967" t="n"/>
      <c r="AT863" s="1967" t="n"/>
      <c r="AU863" s="1967" t="n"/>
      <c r="AV863" s="1874" t="n"/>
    </row>
    <row r="864" ht="14.4" customFormat="1" customHeight="1" s="1867">
      <c r="A864" s="1868" t="inlineStr">
        <is>
          <t>Apply Trade Currency Scaling</t>
        </is>
      </c>
      <c r="B864" s="1874">
        <f>OR(AND(OR(EXACT(HP.TradeCurrency.HardCoded,"GBp"),EXACT(HP.TradeCurrency.HardCoded,"GBX")),EXACT(HP.ReportCurrency,"GBP")),AND(OR(EXACT(HP.TradeCurrency.HardCoded,"ZAc"),EXACT(HP.TradeCurrency.HardCoded,"ZAC")),EXACT(HP.ReportCurrency,"ZAR")))</f>
        <v/>
      </c>
      <c r="C864" s="1967" t="n"/>
      <c r="D864" s="1967" t="n"/>
      <c r="E864" s="1967" t="n"/>
      <c r="F864" s="1967" t="n"/>
      <c r="G864" s="1967" t="n"/>
      <c r="H864" s="1967" t="n"/>
      <c r="I864" s="1967" t="n"/>
      <c r="J864" s="1967" t="n"/>
      <c r="K864" s="1967" t="n"/>
      <c r="L864" s="1967" t="n"/>
      <c r="M864" s="1967" t="n"/>
      <c r="N864" s="1967" t="n"/>
      <c r="O864" s="1967" t="n"/>
      <c r="P864" s="1967" t="n"/>
      <c r="Q864" s="1967" t="n"/>
      <c r="R864" s="1967" t="n"/>
      <c r="S864" s="1967" t="n"/>
      <c r="T864" s="1967" t="n"/>
      <c r="U864" s="1967" t="n"/>
      <c r="V864" s="1967" t="n"/>
      <c r="W864" s="1967" t="n"/>
      <c r="X864" s="1967" t="n"/>
      <c r="Y864" s="1967" t="n"/>
      <c r="Z864" s="1967" t="n"/>
      <c r="AA864" s="1967" t="n"/>
      <c r="AB864" s="1967" t="n"/>
      <c r="AC864" s="1967" t="n"/>
      <c r="AD864" s="1967" t="n"/>
      <c r="AE864" s="1967" t="n"/>
      <c r="AF864" s="1967" t="n"/>
      <c r="AG864" s="1967" t="n"/>
      <c r="AH864" s="1967" t="n"/>
      <c r="AI864" s="1967" t="n"/>
      <c r="AJ864" s="1967" t="n"/>
      <c r="AK864" s="1997" t="n"/>
      <c r="AL864" s="1967" t="n"/>
      <c r="AM864" s="1967" t="n"/>
      <c r="AN864" s="1967" t="n"/>
      <c r="AO864" s="1967" t="n"/>
      <c r="AP864" s="1967" t="n"/>
      <c r="AQ864" s="1967" t="n"/>
      <c r="AR864" s="1967" t="n"/>
      <c r="AS864" s="1967" t="n"/>
      <c r="AT864" s="1967" t="n"/>
      <c r="AU864" s="1967" t="n"/>
      <c r="AV864" s="1874" t="n"/>
    </row>
    <row r="865" ht="14.4" customFormat="1" customHeight="1" s="1867">
      <c r="A865" s="1868" t="inlineStr">
        <is>
          <t>Trade Currency</t>
        </is>
      </c>
      <c r="B865" s="1874">
        <f>IFERROR(CHOOSE(MO.DataSourceIndex,BDP(HP.Ticker&amp;" Equity","CRNCY"),CIQ(HP.Ticker,"IQ_TRADING_CURRENCY"),FDS(HP.Ticker,"P_CURRENCY(""ISO"")"),_xll.TR(HP.Ticker,"Currency")),HP.TradeCurrency.HardCoded)</f>
        <v/>
      </c>
      <c r="C865" s="1967" t="n"/>
      <c r="D865" s="1967" t="n"/>
      <c r="E865" s="1967" t="n"/>
      <c r="F865" s="1967" t="n"/>
      <c r="G865" s="1967" t="n"/>
      <c r="H865" s="1967" t="n"/>
      <c r="I865" s="1967" t="n"/>
      <c r="J865" s="1967" t="n"/>
      <c r="K865" s="1967" t="n"/>
      <c r="L865" s="1967" t="n"/>
      <c r="M865" s="1967" t="n"/>
      <c r="N865" s="1967" t="n"/>
      <c r="O865" s="1967" t="n"/>
      <c r="P865" s="1967" t="n"/>
      <c r="Q865" s="1967" t="n"/>
      <c r="R865" s="1967" t="n"/>
      <c r="S865" s="1967" t="n"/>
      <c r="T865" s="1967" t="n"/>
      <c r="U865" s="1967" t="n"/>
      <c r="V865" s="1967" t="n"/>
      <c r="W865" s="1967" t="n"/>
      <c r="X865" s="1967" t="n"/>
      <c r="Y865" s="1967" t="n"/>
      <c r="Z865" s="1967" t="n"/>
      <c r="AA865" s="1967" t="n"/>
      <c r="AB865" s="1967" t="n"/>
      <c r="AC865" s="1967" t="n"/>
      <c r="AD865" s="1967" t="n"/>
      <c r="AE865" s="1967" t="n"/>
      <c r="AF865" s="1967" t="n"/>
      <c r="AG865" s="1967" t="n"/>
      <c r="AH865" s="1967" t="n"/>
      <c r="AI865" s="1967" t="n"/>
      <c r="AJ865" s="1967" t="n"/>
      <c r="AK865" s="1997" t="n"/>
      <c r="AL865" s="1967" t="n"/>
      <c r="AM865" s="1967" t="n"/>
      <c r="AN865" s="1967" t="n"/>
      <c r="AO865" s="1967" t="n"/>
      <c r="AP865" s="1967" t="n"/>
      <c r="AQ865" s="1967" t="n"/>
      <c r="AR865" s="1967" t="n"/>
      <c r="AS865" s="1967" t="n"/>
      <c r="AT865" s="1967" t="n"/>
      <c r="AU865" s="1967" t="n"/>
      <c r="AV865" s="1874" t="n"/>
    </row>
    <row r="866" ht="14.4" customFormat="1" customHeight="1" s="1867">
      <c r="A866" s="1868" t="inlineStr">
        <is>
          <t>Trade Currency Hardcoded</t>
        </is>
      </c>
      <c r="B866" s="1973" t="inlineStr">
        <is>
          <t>USD</t>
        </is>
      </c>
      <c r="C866" s="1967" t="n"/>
      <c r="D866" s="1967" t="n"/>
      <c r="E866" s="1967" t="n"/>
      <c r="F866" s="1967" t="n"/>
      <c r="G866" s="1967" t="n"/>
      <c r="H866" s="1967" t="n"/>
      <c r="I866" s="1967" t="n"/>
      <c r="J866" s="1967" t="n"/>
      <c r="K866" s="1967" t="n"/>
      <c r="L866" s="1967" t="n"/>
      <c r="M866" s="1967" t="n"/>
      <c r="N866" s="1967" t="n"/>
      <c r="O866" s="1967" t="n"/>
      <c r="P866" s="1967" t="n"/>
      <c r="Q866" s="1967" t="n"/>
      <c r="R866" s="1967" t="n"/>
      <c r="S866" s="1967" t="n"/>
      <c r="T866" s="1967" t="n"/>
      <c r="U866" s="1967" t="n"/>
      <c r="V866" s="1967" t="n"/>
      <c r="W866" s="1967" t="n"/>
      <c r="X866" s="1967" t="n"/>
      <c r="Y866" s="1967" t="n"/>
      <c r="Z866" s="1967" t="n"/>
      <c r="AA866" s="1967" t="n"/>
      <c r="AB866" s="1967" t="n"/>
      <c r="AC866" s="1967" t="n"/>
      <c r="AD866" s="1967" t="n"/>
      <c r="AE866" s="1967" t="n"/>
      <c r="AF866" s="1967" t="n"/>
      <c r="AG866" s="1967" t="n"/>
      <c r="AH866" s="1967" t="n"/>
      <c r="AI866" s="1967" t="n"/>
      <c r="AJ866" s="1967" t="n"/>
      <c r="AK866" s="1997" t="n"/>
      <c r="AL866" s="1967" t="n"/>
      <c r="AM866" s="1967" t="n"/>
      <c r="AN866" s="1967" t="n"/>
      <c r="AO866" s="1967" t="n"/>
      <c r="AP866" s="1967" t="n"/>
      <c r="AQ866" s="1967" t="n"/>
      <c r="AR866" s="1967" t="n"/>
      <c r="AS866" s="1967" t="n"/>
      <c r="AT866" s="1967" t="n"/>
      <c r="AU866" s="1967" t="n"/>
      <c r="AV866" s="1874" t="n"/>
    </row>
    <row r="867" ht="14.4" customFormat="1" customHeight="1" s="1867">
      <c r="A867" s="1868" t="inlineStr">
        <is>
          <t>Model Sheet Currency Hardcoded</t>
        </is>
      </c>
      <c r="B867" s="1973" t="inlineStr">
        <is>
          <t>USD</t>
        </is>
      </c>
      <c r="C867" s="1967" t="n"/>
      <c r="D867" s="1967" t="n"/>
      <c r="E867" s="1967" t="n"/>
      <c r="F867" s="1967" t="n"/>
      <c r="G867" s="1967" t="n"/>
      <c r="H867" s="1967" t="n"/>
      <c r="I867" s="1967" t="n"/>
      <c r="J867" s="1967" t="n"/>
      <c r="K867" s="1967" t="n"/>
      <c r="L867" s="1967" t="n"/>
      <c r="M867" s="1967" t="n"/>
      <c r="N867" s="1967" t="n"/>
      <c r="O867" s="1967" t="n"/>
      <c r="P867" s="1967" t="n"/>
      <c r="Q867" s="1967" t="n"/>
      <c r="R867" s="1967" t="n"/>
      <c r="S867" s="1967" t="n"/>
      <c r="T867" s="1967" t="n"/>
      <c r="U867" s="1967" t="n"/>
      <c r="V867" s="1967" t="n"/>
      <c r="W867" s="1967" t="n"/>
      <c r="X867" s="1967" t="n"/>
      <c r="Y867" s="1967" t="n"/>
      <c r="Z867" s="1967" t="n"/>
      <c r="AA867" s="1967" t="n"/>
      <c r="AB867" s="1967" t="n"/>
      <c r="AC867" s="1967" t="n"/>
      <c r="AD867" s="1967" t="n"/>
      <c r="AE867" s="1967" t="n"/>
      <c r="AF867" s="1967" t="n"/>
      <c r="AG867" s="1967" t="n"/>
      <c r="AH867" s="1967" t="n"/>
      <c r="AI867" s="1967" t="n"/>
      <c r="AJ867" s="1967" t="n"/>
      <c r="AK867" s="1997" t="n"/>
      <c r="AL867" s="1967" t="n"/>
      <c r="AM867" s="1967" t="n"/>
      <c r="AN867" s="1967" t="n"/>
      <c r="AO867" s="1967" t="n"/>
      <c r="AP867" s="1967" t="n"/>
      <c r="AQ867" s="1967" t="n"/>
      <c r="AR867" s="1967" t="n"/>
      <c r="AS867" s="1967" t="n"/>
      <c r="AT867" s="1967" t="n"/>
      <c r="AU867" s="1967" t="n"/>
      <c r="AV867" s="1874" t="n"/>
    </row>
    <row r="868" ht="14.4" customFormat="1" customHeight="1" s="1867">
      <c r="A868" s="1868" t="inlineStr">
        <is>
          <t>Most Recent FX</t>
        </is>
      </c>
      <c r="B868" s="1793">
        <f>IF(EXACT(MO.ReportFX,HP.TradeCurrency),1,IF(OR(INDEX(MO_SPT_FXAverage,1,MO.MRFPColumnNumber+1)="N/A",ISERROR(INDEX(MO_SPT_FXAverage,1,MO.MRFPColumnNumber+1))),MO.MRFX.Hardcoded,INDEX(MO_SPT_FXAverage,1,MO.MRFPColumnNumber+1)))</f>
        <v/>
      </c>
      <c r="C868" s="1967" t="n"/>
      <c r="D868" s="1967" t="n"/>
      <c r="E868" s="1967" t="n"/>
      <c r="F868" s="1967" t="n"/>
      <c r="G868" s="1967" t="n"/>
      <c r="H868" s="1967" t="n"/>
      <c r="I868" s="1967" t="n"/>
      <c r="J868" s="1967" t="n"/>
      <c r="K868" s="1967" t="n"/>
      <c r="L868" s="1967" t="n"/>
      <c r="M868" s="1967" t="n"/>
      <c r="N868" s="1967" t="n"/>
      <c r="O868" s="1967" t="n"/>
      <c r="P868" s="1967" t="n"/>
      <c r="Q868" s="1967" t="n"/>
      <c r="R868" s="1967" t="n"/>
      <c r="S868" s="1967" t="n"/>
      <c r="T868" s="1967" t="n"/>
      <c r="U868" s="1967" t="n"/>
      <c r="V868" s="1967" t="n"/>
      <c r="W868" s="1967" t="n"/>
      <c r="X868" s="1967" t="n"/>
      <c r="Y868" s="1967" t="n"/>
      <c r="Z868" s="1967" t="n"/>
      <c r="AA868" s="1967" t="n"/>
      <c r="AB868" s="1967" t="n"/>
      <c r="AC868" s="1967" t="n"/>
      <c r="AD868" s="1967" t="n"/>
      <c r="AE868" s="1967" t="n"/>
      <c r="AF868" s="1967" t="n"/>
      <c r="AG868" s="1967" t="n"/>
      <c r="AH868" s="1967" t="n"/>
      <c r="AI868" s="1967" t="n"/>
      <c r="AJ868" s="1967" t="n"/>
      <c r="AK868" s="1997" t="n"/>
      <c r="AL868" s="1967" t="n"/>
      <c r="AM868" s="1967" t="n"/>
      <c r="AN868" s="1967" t="n"/>
      <c r="AO868" s="1967" t="n"/>
      <c r="AP868" s="1967" t="n"/>
      <c r="AQ868" s="1967" t="n"/>
      <c r="AR868" s="1967" t="n"/>
      <c r="AS868" s="1967" t="n"/>
      <c r="AT868" s="1967" t="n"/>
      <c r="AU868" s="1967" t="n"/>
      <c r="AV868" s="1874" t="n"/>
    </row>
    <row r="869" ht="14.4" customFormat="1" customHeight="1" s="1867">
      <c r="A869" s="1868" t="inlineStr">
        <is>
          <t>Most Recent FX Hardcoded</t>
        </is>
      </c>
      <c r="B869" s="1983" t="n">
        <v>1</v>
      </c>
      <c r="C869" s="1967" t="n"/>
      <c r="D869" s="1967" t="n"/>
      <c r="E869" s="1967" t="n"/>
      <c r="F869" s="1967" t="n"/>
      <c r="G869" s="1967" t="n"/>
      <c r="H869" s="1967" t="n"/>
      <c r="I869" s="1967" t="n"/>
      <c r="J869" s="1967" t="n"/>
      <c r="K869" s="1967" t="n"/>
      <c r="L869" s="1967" t="n"/>
      <c r="M869" s="1967" t="n"/>
      <c r="N869" s="1967" t="n"/>
      <c r="O869" s="1967" t="n"/>
      <c r="P869" s="1967" t="n"/>
      <c r="Q869" s="1967" t="n"/>
      <c r="R869" s="1967" t="n"/>
      <c r="S869" s="1967" t="n"/>
      <c r="T869" s="1967" t="n"/>
      <c r="U869" s="1967" t="n"/>
      <c r="V869" s="1967" t="n"/>
      <c r="W869" s="1967" t="n"/>
      <c r="X869" s="1967" t="n"/>
      <c r="Y869" s="1967" t="n"/>
      <c r="Z869" s="1967" t="n"/>
      <c r="AA869" s="1967" t="n"/>
      <c r="AB869" s="1967" t="n"/>
      <c r="AC869" s="1967" t="n"/>
      <c r="AD869" s="1967" t="n"/>
      <c r="AE869" s="1967" t="n"/>
      <c r="AF869" s="1967" t="n"/>
      <c r="AG869" s="1967" t="n"/>
      <c r="AH869" s="1967" t="n"/>
      <c r="AI869" s="1967" t="n"/>
      <c r="AJ869" s="1967" t="n"/>
      <c r="AK869" s="1997" t="n"/>
      <c r="AL869" s="1967" t="n"/>
      <c r="AM869" s="1967" t="n"/>
      <c r="AN869" s="1967" t="n"/>
      <c r="AO869" s="1967" t="n"/>
      <c r="AP869" s="1967" t="n"/>
      <c r="AQ869" s="1967" t="n"/>
      <c r="AR869" s="1967" t="n"/>
      <c r="AS869" s="1967" t="n"/>
      <c r="AT869" s="1967" t="n"/>
      <c r="AU869" s="1967" t="n"/>
      <c r="AV869" s="1874" t="n"/>
    </row>
    <row r="870" ht="14.4" customFormat="1" customHeight="1" s="1480">
      <c r="A870" s="1481" t="inlineStr">
        <is>
          <t>MRFP Column Number</t>
        </is>
      </c>
      <c r="B870" s="1488">
        <f>MATCH(MO.MRFP,MO_Common_ColumnHeader,0)</f>
        <v/>
      </c>
      <c r="C870" s="1562" t="n"/>
      <c r="D870" s="1562" t="n"/>
      <c r="E870" s="1562" t="n"/>
      <c r="F870" s="1562" t="n"/>
      <c r="G870" s="1562" t="n"/>
      <c r="H870" s="1562" t="n"/>
      <c r="I870" s="1562" t="n"/>
      <c r="J870" s="1562" t="n"/>
      <c r="K870" s="1562" t="n"/>
      <c r="L870" s="1562" t="n"/>
      <c r="M870" s="1562" t="n"/>
      <c r="N870" s="1562" t="n"/>
      <c r="O870" s="1562" t="n"/>
      <c r="P870" s="1562" t="n"/>
      <c r="Q870" s="1562" t="n"/>
      <c r="R870" s="1562" t="n"/>
      <c r="S870" s="1562" t="n"/>
      <c r="T870" s="1562" t="n"/>
      <c r="U870" s="1562" t="n"/>
      <c r="V870" s="1562" t="n"/>
      <c r="W870" s="1562" t="n"/>
      <c r="X870" s="1562" t="n"/>
      <c r="Y870" s="1562" t="n"/>
      <c r="Z870" s="1562" t="n"/>
      <c r="AA870" s="1562" t="n"/>
      <c r="AB870" s="1562" t="n"/>
      <c r="AC870" s="1562" t="n"/>
      <c r="AD870" s="1562" t="n"/>
      <c r="AE870" s="1562" t="n"/>
      <c r="AF870" s="1562" t="n"/>
      <c r="AG870" s="1562" t="n"/>
      <c r="AH870" s="1562" t="n"/>
      <c r="AI870" s="1562" t="n"/>
      <c r="AJ870" s="1562" t="n"/>
      <c r="AK870" s="1563" t="n"/>
      <c r="AL870" s="1562" t="n"/>
      <c r="AM870" s="1562" t="n"/>
      <c r="AN870" s="1562" t="n"/>
      <c r="AO870" s="1562" t="n"/>
      <c r="AP870" s="1562" t="n"/>
      <c r="AQ870" s="1562" t="n"/>
      <c r="AR870" s="1562" t="n"/>
      <c r="AS870" s="1562" t="n"/>
      <c r="AT870" s="1562" t="n"/>
      <c r="AU870" s="1562" t="n"/>
      <c r="AV870" s="1488" t="n"/>
    </row>
    <row r="871" ht="14.4" customFormat="1" customHeight="1" s="1480">
      <c r="A871" s="1481" t="inlineStr">
        <is>
          <t>Most Recent Fiscal Period (MRFP)</t>
        </is>
      </c>
      <c r="B871" s="1573" t="inlineStr">
        <is>
          <t>Q3-2025</t>
        </is>
      </c>
      <c r="C871" s="1562" t="n"/>
      <c r="D871" s="1562" t="n"/>
      <c r="E871" s="1562" t="n"/>
      <c r="F871" s="1562" t="n"/>
      <c r="G871" s="1562" t="n"/>
      <c r="H871" s="1562" t="n"/>
      <c r="I871" s="1562" t="n"/>
      <c r="J871" s="1562" t="n"/>
      <c r="K871" s="1562" t="n"/>
      <c r="L871" s="1562" t="n"/>
      <c r="M871" s="1562" t="n"/>
      <c r="N871" s="1562" t="n"/>
      <c r="O871" s="1562" t="n"/>
      <c r="P871" s="1562" t="n"/>
      <c r="Q871" s="1562" t="n"/>
      <c r="R871" s="1562" t="n"/>
      <c r="S871" s="1562" t="n"/>
      <c r="T871" s="1562" t="n"/>
      <c r="U871" s="1562" t="n"/>
      <c r="V871" s="1562" t="n"/>
      <c r="W871" s="1562" t="n"/>
      <c r="X871" s="1562" t="n"/>
      <c r="Y871" s="1562" t="n"/>
      <c r="Z871" s="1562" t="n"/>
      <c r="AA871" s="1562" t="n"/>
      <c r="AB871" s="1562" t="n"/>
      <c r="AC871" s="1562" t="n"/>
      <c r="AD871" s="1562" t="n"/>
      <c r="AE871" s="1562" t="n"/>
      <c r="AF871" s="1562" t="n"/>
      <c r="AG871" s="1562" t="n"/>
      <c r="AH871" s="1562" t="n"/>
      <c r="AI871" s="1562" t="n"/>
      <c r="AJ871" s="1562" t="n"/>
      <c r="AK871" s="1563" t="n"/>
      <c r="AL871" s="1562" t="n"/>
      <c r="AM871" s="1562" t="n"/>
      <c r="AN871" s="1562" t="n"/>
      <c r="AO871" s="1562" t="n"/>
      <c r="AP871" s="1562" t="n"/>
      <c r="AQ871" s="1562" t="n"/>
      <c r="AR871" s="1562" t="n"/>
      <c r="AS871" s="1562" t="n"/>
      <c r="AT871" s="1562" t="n"/>
      <c r="AU871" s="1562" t="n"/>
      <c r="AV871" s="1488" t="n"/>
    </row>
    <row r="872" ht="14.4" customFormat="1" customHeight="1" s="1480">
      <c r="A872" s="1481" t="inlineStr">
        <is>
          <t>Current Fiscal Year</t>
        </is>
      </c>
      <c r="B872" s="1488">
        <f>"FY"&amp;RIGHT(MO.MRFP,4)</f>
        <v/>
      </c>
      <c r="C872" s="1562" t="n"/>
      <c r="D872" s="1562" t="n"/>
      <c r="E872" s="1562" t="n"/>
      <c r="F872" s="1562" t="n"/>
      <c r="G872" s="1562" t="n"/>
      <c r="H872" s="1562" t="n"/>
      <c r="I872" s="1562" t="n"/>
      <c r="J872" s="1562" t="n"/>
      <c r="K872" s="1562" t="n"/>
      <c r="L872" s="1562" t="n"/>
      <c r="M872" s="1562" t="n"/>
      <c r="N872" s="1562" t="n"/>
      <c r="O872" s="1562" t="n"/>
      <c r="P872" s="1562" t="n"/>
      <c r="Q872" s="1562" t="n"/>
      <c r="R872" s="1562" t="n"/>
      <c r="S872" s="1562" t="n"/>
      <c r="T872" s="1562" t="n"/>
      <c r="U872" s="1562" t="n"/>
      <c r="V872" s="1562" t="n"/>
      <c r="W872" s="1562" t="n"/>
      <c r="X872" s="1562" t="n"/>
      <c r="Y872" s="1562" t="n"/>
      <c r="Z872" s="1562" t="n"/>
      <c r="AA872" s="1562" t="n"/>
      <c r="AB872" s="1562" t="n"/>
      <c r="AC872" s="1562" t="n"/>
      <c r="AD872" s="1562" t="n"/>
      <c r="AE872" s="1562" t="n"/>
      <c r="AF872" s="1562" t="n"/>
      <c r="AG872" s="1562" t="n"/>
      <c r="AH872" s="1562" t="n"/>
      <c r="AI872" s="1562" t="n"/>
      <c r="AJ872" s="1562" t="n"/>
      <c r="AK872" s="1563" t="n"/>
      <c r="AL872" s="1562" t="n"/>
      <c r="AM872" s="1562" t="n"/>
      <c r="AN872" s="1562" t="n"/>
      <c r="AO872" s="1562" t="n"/>
      <c r="AP872" s="1562" t="n"/>
      <c r="AQ872" s="1562" t="n"/>
      <c r="AR872" s="1562" t="n"/>
      <c r="AS872" s="1562" t="n"/>
      <c r="AT872" s="1562" t="n"/>
      <c r="AU872" s="1562" t="n"/>
      <c r="AV872" s="1488" t="n"/>
    </row>
    <row r="873" ht="14.4" customFormat="1" customHeight="1" s="1480">
      <c r="A873" s="1481" t="inlineStr">
        <is>
          <t>First Forecast Fiscal Year</t>
        </is>
      </c>
      <c r="B873" s="1488">
        <f>"FY"&amp;RIGHT(MO.MRFP,4)+IF(LEFT(MO.MRFP,2)="FY",1,0)</f>
        <v/>
      </c>
      <c r="C873" s="1562" t="n"/>
      <c r="D873" s="1562" t="n"/>
      <c r="E873" s="1562" t="n"/>
      <c r="F873" s="1562" t="n"/>
      <c r="G873" s="1562" t="n"/>
      <c r="H873" s="1562" t="n"/>
      <c r="I873" s="1562" t="n"/>
      <c r="J873" s="1562" t="n"/>
      <c r="K873" s="1562" t="n"/>
      <c r="L873" s="1562" t="n"/>
      <c r="M873" s="1562" t="n"/>
      <c r="N873" s="1562" t="n"/>
      <c r="O873" s="1562" t="n"/>
      <c r="P873" s="1562" t="n"/>
      <c r="Q873" s="1562" t="n"/>
      <c r="R873" s="1562" t="n"/>
      <c r="S873" s="1562" t="n"/>
      <c r="T873" s="1562" t="n"/>
      <c r="U873" s="1562" t="n"/>
      <c r="V873" s="1562" t="n"/>
      <c r="W873" s="1562" t="n"/>
      <c r="X873" s="1562" t="n"/>
      <c r="Y873" s="1562" t="n"/>
      <c r="Z873" s="1562" t="n"/>
      <c r="AA873" s="1562" t="n"/>
      <c r="AB873" s="1562" t="n"/>
      <c r="AC873" s="1562" t="n"/>
      <c r="AD873" s="1562" t="n"/>
      <c r="AE873" s="1562" t="n"/>
      <c r="AF873" s="1562" t="n"/>
      <c r="AG873" s="1562" t="n"/>
      <c r="AH873" s="1562" t="n"/>
      <c r="AI873" s="1562" t="n"/>
      <c r="AJ873" s="1562" t="n"/>
      <c r="AK873" s="1563" t="n"/>
      <c r="AL873" s="1562" t="n"/>
      <c r="AM873" s="1562" t="n"/>
      <c r="AN873" s="1562" t="n"/>
      <c r="AO873" s="1562" t="n"/>
      <c r="AP873" s="1562" t="n"/>
      <c r="AQ873" s="1562" t="n"/>
      <c r="AR873" s="1562" t="n"/>
      <c r="AS873" s="1562" t="n"/>
      <c r="AT873" s="1562" t="n"/>
      <c r="AU873" s="1562" t="n"/>
      <c r="AV873" s="1488" t="n"/>
    </row>
    <row r="874" ht="14.4" customFormat="1" customHeight="1" s="1480">
      <c r="A874" s="1481" t="inlineStr">
        <is>
          <t>KPI Count</t>
        </is>
      </c>
      <c r="B874" s="1488">
        <f>COUNTA(tb_KPIs)-1</f>
        <v/>
      </c>
      <c r="C874" s="1562" t="n"/>
      <c r="D874" s="1562" t="n"/>
      <c r="E874" s="1562" t="n"/>
      <c r="F874" s="1562" t="n"/>
      <c r="G874" s="1562" t="n"/>
      <c r="H874" s="1562" t="n"/>
      <c r="I874" s="1562" t="n"/>
      <c r="J874" s="1562" t="n"/>
      <c r="K874" s="1562" t="n"/>
      <c r="L874" s="1562" t="n"/>
      <c r="M874" s="1562" t="n"/>
      <c r="N874" s="1562" t="n"/>
      <c r="O874" s="1562" t="n"/>
      <c r="P874" s="1562" t="n"/>
      <c r="Q874" s="1562" t="n"/>
      <c r="R874" s="1562" t="n"/>
      <c r="S874" s="1562" t="n"/>
      <c r="T874" s="1562" t="n"/>
      <c r="U874" s="1562" t="n"/>
      <c r="V874" s="1562" t="n"/>
      <c r="W874" s="1562" t="n"/>
      <c r="X874" s="1562" t="n"/>
      <c r="Y874" s="1562" t="n"/>
      <c r="Z874" s="1562" t="n"/>
      <c r="AA874" s="1562" t="n"/>
      <c r="AB874" s="1562" t="n"/>
      <c r="AC874" s="1562" t="n"/>
      <c r="AD874" s="1562" t="n"/>
      <c r="AE874" s="1562" t="n"/>
      <c r="AF874" s="1562" t="n"/>
      <c r="AG874" s="1562" t="n"/>
      <c r="AH874" s="1562" t="n"/>
      <c r="AI874" s="1562" t="n"/>
      <c r="AJ874" s="1562" t="n"/>
      <c r="AK874" s="1563" t="n"/>
      <c r="AL874" s="1562" t="n"/>
      <c r="AM874" s="1562" t="n"/>
      <c r="AN874" s="1562" t="n"/>
      <c r="AO874" s="1562" t="n"/>
      <c r="AP874" s="1562" t="n"/>
      <c r="AQ874" s="1562" t="n"/>
      <c r="AR874" s="1562" t="n"/>
      <c r="AS874" s="1562" t="n"/>
      <c r="AT874" s="1562" t="n"/>
      <c r="AU874" s="1562" t="n"/>
      <c r="AV874" s="1488" t="n"/>
    </row>
    <row r="875" ht="14.4" customFormat="1" customHeight="1" s="1480">
      <c r="A875" s="1999" t="inlineStr">
        <is>
          <t>Data Source Index</t>
        </is>
      </c>
      <c r="B875" s="2000">
        <f>IF(MO.DataSourceName="Bloomberg",1,IF(MO.DataSourceName="Capital IQ",2,IF(MO.DataSourceName="FactSet",3,IF(MO.DataSourceName="Refinitiv",4,1))))</f>
        <v/>
      </c>
      <c r="C875" s="1562" t="n"/>
      <c r="D875" s="1562" t="n"/>
      <c r="E875" s="1562" t="n"/>
      <c r="F875" s="1562" t="n"/>
      <c r="G875" s="1562" t="n"/>
      <c r="H875" s="1562" t="n"/>
      <c r="I875" s="1562" t="n"/>
      <c r="J875" s="1562" t="n"/>
      <c r="K875" s="1562" t="n"/>
      <c r="L875" s="1562" t="n"/>
      <c r="M875" s="1562" t="n"/>
      <c r="N875" s="1562" t="n"/>
      <c r="O875" s="1562" t="n"/>
      <c r="P875" s="1562" t="n"/>
      <c r="Q875" s="1562" t="n"/>
      <c r="R875" s="1562" t="n"/>
      <c r="S875" s="1562" t="n"/>
      <c r="T875" s="1562" t="n"/>
      <c r="U875" s="1562" t="n"/>
      <c r="V875" s="1562" t="n"/>
      <c r="W875" s="1562" t="n"/>
      <c r="X875" s="1562" t="n"/>
      <c r="Y875" s="1562" t="n"/>
      <c r="Z875" s="1562" t="n"/>
      <c r="AA875" s="1562" t="n"/>
      <c r="AB875" s="1562" t="n"/>
      <c r="AC875" s="1562" t="n"/>
      <c r="AD875" s="1562" t="n"/>
      <c r="AE875" s="1562" t="n"/>
      <c r="AF875" s="1562" t="n"/>
      <c r="AG875" s="1562" t="n"/>
      <c r="AH875" s="1562" t="n"/>
      <c r="AI875" s="1562" t="n"/>
      <c r="AJ875" s="1562" t="n"/>
      <c r="AK875" s="1563" t="n"/>
      <c r="AL875" s="1562" t="n"/>
      <c r="AM875" s="1562" t="n"/>
      <c r="AN875" s="1562" t="n"/>
      <c r="AO875" s="1562" t="n"/>
      <c r="AP875" s="1562" t="n"/>
      <c r="AQ875" s="1562" t="n"/>
      <c r="AR875" s="1562" t="n"/>
      <c r="AS875" s="1562" t="n"/>
      <c r="AT875" s="1562" t="n"/>
      <c r="AU875" s="1562" t="n"/>
      <c r="AV875" s="1488" t="n"/>
    </row>
    <row r="876" ht="14.4" customHeight="1" s="877">
      <c r="A876" s="668" t="n"/>
      <c r="B876" s="668" t="n"/>
      <c r="C876" s="668" t="n"/>
      <c r="D876" s="668" t="n"/>
      <c r="E876" s="668" t="n"/>
      <c r="F876" s="668" t="n"/>
      <c r="G876" s="668" t="n"/>
      <c r="H876" s="668" t="n"/>
      <c r="I876" s="668" t="n"/>
      <c r="J876" s="668" t="n"/>
      <c r="K876" s="668" t="n"/>
      <c r="L876" s="668" t="n"/>
      <c r="M876" s="668" t="n"/>
      <c r="N876" s="668" t="n"/>
      <c r="O876" s="668" t="n"/>
      <c r="P876" s="668" t="n"/>
      <c r="Q876" s="668" t="n"/>
      <c r="R876" s="668" t="n"/>
      <c r="S876" s="668" t="n"/>
      <c r="T876" s="668" t="n"/>
      <c r="U876" s="668" t="n"/>
      <c r="V876" s="668" t="n"/>
      <c r="W876" s="668" t="n"/>
      <c r="X876" s="668" t="n"/>
      <c r="Y876" s="668" t="n"/>
      <c r="Z876" s="668" t="n"/>
      <c r="AA876" s="668" t="n"/>
      <c r="AB876" s="668" t="n"/>
      <c r="AC876" s="668" t="n"/>
      <c r="AD876" s="668" t="n"/>
      <c r="AE876" s="668" t="n"/>
      <c r="AF876" s="668" t="n"/>
      <c r="AG876" s="668" t="n"/>
      <c r="AH876" s="668" t="n"/>
      <c r="AI876" s="668" t="n"/>
      <c r="AJ876" s="668" t="n"/>
      <c r="AK876" s="293" t="n"/>
      <c r="AL876" s="668" t="n"/>
      <c r="AM876" s="668" t="n"/>
      <c r="AN876" s="668" t="n"/>
      <c r="AO876" s="668" t="n"/>
      <c r="AP876" s="668" t="n"/>
      <c r="AQ876" s="668" t="n"/>
      <c r="AR876" s="668" t="n"/>
      <c r="AS876" s="668" t="n"/>
      <c r="AT876" s="668" t="n"/>
      <c r="AU876" s="668" t="n"/>
      <c r="AV876" s="787" t="n"/>
    </row>
    <row r="877" ht="14.4" customHeight="1" s="877">
      <c r="A877" s="2001" t="inlineStr">
        <is>
          <t>Tegus</t>
        </is>
      </c>
      <c r="B877" s="786" t="n"/>
      <c r="C877" s="786" t="n"/>
      <c r="D877" s="786" t="n"/>
      <c r="E877" s="786" t="n"/>
      <c r="F877" s="786" t="n"/>
      <c r="G877" s="786" t="n"/>
      <c r="H877" s="786" t="n"/>
      <c r="I877" s="786" t="n"/>
      <c r="J877" s="786" t="n"/>
      <c r="K877" s="786" t="n"/>
      <c r="L877" s="786" t="n"/>
      <c r="M877" s="786" t="n"/>
      <c r="N877" s="786" t="n"/>
      <c r="O877" s="786" t="n"/>
      <c r="P877" s="786" t="n"/>
      <c r="Q877" s="786" t="n"/>
      <c r="R877" s="786" t="n"/>
      <c r="S877" s="786" t="n"/>
      <c r="T877" s="786" t="n"/>
      <c r="U877" s="786" t="n"/>
      <c r="V877" s="786" t="n"/>
      <c r="W877" s="786" t="n"/>
      <c r="X877" s="786" t="n"/>
      <c r="Y877" s="786" t="n"/>
      <c r="Z877" s="786" t="n"/>
      <c r="AA877" s="786" t="n"/>
      <c r="AB877" s="786" t="n"/>
      <c r="AC877" s="786" t="n"/>
      <c r="AD877" s="786" t="n"/>
      <c r="AE877" s="786" t="n"/>
      <c r="AF877" s="786" t="n"/>
      <c r="AG877" s="786" t="n"/>
      <c r="AH877" s="786" t="n"/>
      <c r="AI877" s="786" t="n"/>
      <c r="AJ877" s="786" t="n"/>
      <c r="AK877" s="786" t="n"/>
      <c r="AL877" s="786" t="n"/>
      <c r="AM877" s="786" t="n"/>
      <c r="AN877" s="786" t="n"/>
      <c r="AO877" s="786" t="n"/>
      <c r="AP877" s="786" t="n"/>
      <c r="AQ877" s="786" t="n"/>
      <c r="AR877" s="786" t="n"/>
      <c r="AS877" s="786" t="n"/>
      <c r="AT877" s="786" t="n"/>
      <c r="AU877" s="786" t="n"/>
      <c r="AV877" s="787" t="n"/>
    </row>
    <row r="878" ht="14.4" customHeight="1" s="877">
      <c r="A878" s="787" t="n"/>
      <c r="B878" s="787" t="n"/>
      <c r="C878" s="787" t="n"/>
      <c r="D878" s="787" t="n"/>
      <c r="E878" s="787" t="n"/>
      <c r="F878" s="787" t="n"/>
      <c r="G878" s="787" t="n"/>
      <c r="H878" s="787" t="n"/>
      <c r="I878" s="787" t="n"/>
      <c r="J878" s="787" t="n"/>
      <c r="K878" s="787" t="n"/>
      <c r="L878" s="787" t="n"/>
      <c r="M878" s="787" t="n"/>
      <c r="N878" s="787" t="n"/>
      <c r="O878" s="787" t="n"/>
      <c r="P878" s="787" t="n"/>
      <c r="Q878" s="787" t="n"/>
      <c r="R878" s="787" t="n"/>
      <c r="S878" s="787" t="n"/>
      <c r="T878" s="787" t="n"/>
      <c r="U878" s="787" t="n"/>
      <c r="V878" s="787" t="n"/>
      <c r="W878" s="787" t="n"/>
      <c r="X878" s="787" t="n"/>
      <c r="Y878" s="787" t="n"/>
      <c r="Z878" s="787" t="n"/>
      <c r="AA878" s="787" t="n"/>
      <c r="AB878" s="787" t="n"/>
      <c r="AC878" s="787" t="n"/>
      <c r="AD878" s="787" t="n"/>
      <c r="AE878" s="787" t="n"/>
      <c r="AF878" s="787" t="n"/>
      <c r="AG878" s="787" t="n"/>
      <c r="AH878" s="787" t="n"/>
      <c r="AI878" s="787" t="n"/>
      <c r="AJ878" s="787" t="n"/>
      <c r="AK878" s="787" t="n"/>
      <c r="AL878" s="787" t="n"/>
      <c r="AM878" s="787" t="n"/>
      <c r="AN878" s="787" t="n"/>
      <c r="AO878" s="787" t="n"/>
      <c r="AP878" s="787" t="n"/>
      <c r="AQ878" s="787" t="n"/>
      <c r="AR878" s="787" t="n"/>
      <c r="AS878" s="787" t="n"/>
      <c r="AT878" s="787" t="n"/>
      <c r="AU878" s="787" t="n"/>
      <c r="AV878" s="787" t="n"/>
    </row>
  </sheetData>
  <conditionalFormatting sqref="C299:AC299 AE299:AU299">
    <cfRule type="cellIs" priority="228" operator="equal" dxfId="1">
      <formula>0</formula>
    </cfRule>
    <cfRule type="cellIs" priority="227" operator="notEqual" dxfId="0">
      <formula>0</formula>
    </cfRule>
  </conditionalFormatting>
  <conditionalFormatting sqref="C630:W630 Y630:AC630 AF630:AU630">
    <cfRule type="cellIs" priority="226" operator="equal" dxfId="1">
      <formula>0</formula>
    </cfRule>
    <cfRule type="cellIs" priority="225" operator="notEqual" dxfId="0">
      <formula>0</formula>
    </cfRule>
  </conditionalFormatting>
  <conditionalFormatting sqref="C728:AU728">
    <cfRule type="cellIs" priority="224" operator="equal" dxfId="1">
      <formula>0</formula>
    </cfRule>
    <cfRule type="cellIs" priority="223" operator="notEqual" dxfId="0">
      <formula>0</formula>
    </cfRule>
  </conditionalFormatting>
  <conditionalFormatting sqref="C731:AH732 C733:AU737 C738:W738 C739:AU741 C742:AH742 C743:W743 C744:AU745 C746:W752 Y743:AU743 Y746:AU752 AB738:AC738 AF738:AU738 AJ731:AU732 AJ742:AL742 AN742:AU742">
    <cfRule type="cellIs" priority="222" operator="equal" dxfId="1">
      <formula>0</formula>
    </cfRule>
    <cfRule type="cellIs" priority="221" operator="notEqual" dxfId="0">
      <formula>0</formula>
    </cfRule>
  </conditionalFormatting>
  <dataValidations count="1">
    <dataValidation sqref="B479" showDropDown="0" showInputMessage="1" showErrorMessage="1" allowBlank="1" type="list">
      <formula1>OFFSET(tb_ValuationToggle,1,0,4,1)</formula1>
    </dataValidation>
  </dataValidations>
  <hyperlinks>
    <hyperlink xmlns:r="http://schemas.openxmlformats.org/officeDocument/2006/relationships" ref="A1" display="CoreWeave" r:id="rId1"/>
  </hyperlinks>
  <pageMargins left="0" right="0" top="0.393700787401575" bottom="0" header="0.196850393700787" footer="0"/>
  <pageSetup orientation="landscape" paperSize="1" scale="45" fitToHeight="0"/>
  <headerFooter>
    <oddHeader>&amp;CCoreWeave&amp;RPage &amp;P</oddHeader>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28"/>
  <sheetViews>
    <sheetView topLeftCell="A1" workbookViewId="0">
      <pane ySplit="5" topLeftCell="A6" activePane="bottomLeft" state="frozen"/>
      <selection pane="topLeft" activeCell="A1" sqref="A1"/>
      <selection pane="bottomLeft" activeCell="A1" sqref="A1"/>
    </sheetView>
  </sheetViews>
  <sheetFormatPr baseColWidth="8" defaultColWidth="8.88428571428571" defaultRowHeight="14.4"/>
  <cols>
    <col width="3.28571428571429" customWidth="1" style="876" min="1" max="1"/>
    <col width="16.5714285714286" bestFit="1" customWidth="1" style="877" min="2" max="2"/>
    <col width="2.71428571428571" customWidth="1" style="877" min="3" max="3"/>
    <col width="24" customWidth="1" style="878" min="4" max="4"/>
    <col hidden="1" outlineLevel="1" width="21.7142857142857" customWidth="1" style="879" min="5" max="5"/>
    <col collapsed="1" width="14.4285714285714" bestFit="1" customWidth="1" style="877" min="6" max="6"/>
    <col hidden="1" outlineLevel="1" width="14.4285714285714" customWidth="1" style="877" min="7" max="7"/>
    <col collapsed="1" width="2.71428571428571" customWidth="1" style="877" min="8" max="8"/>
    <col width="9.571428571428569" bestFit="1" customWidth="1" style="877" min="9" max="11"/>
    <col width="2.71428571428571" customWidth="1" style="877" min="12" max="12"/>
    <col width="8.857142857142859" bestFit="1" customWidth="1" style="877" min="13" max="13"/>
    <col width="11.8571428571429" bestFit="1" customWidth="1" style="878" min="14" max="14"/>
    <col width="2.71428571428571" customWidth="1" style="877" min="15" max="15"/>
    <col width="13.4285714285714" bestFit="1" customWidth="1" style="877" min="16" max="16"/>
    <col width="14.2857142857143" bestFit="1" customWidth="1" style="1432" min="17" max="17"/>
    <col width="2.71428571428571" customWidth="1" style="877" min="18" max="18"/>
    <col width="10.8571428571429" bestFit="1" customWidth="1" style="880" min="19" max="19"/>
    <col width="21.8571428571429" bestFit="1" customWidth="1" style="881" min="20" max="20"/>
    <col width="8.857142857142859" customWidth="1" style="877" min="21" max="16384"/>
  </cols>
  <sheetData>
    <row r="1" ht="28.8" customHeight="1" s="877">
      <c r="A1" s="855" t="n"/>
      <c r="B1" s="2002">
        <f>MO.CompanyName</f>
        <v/>
      </c>
      <c r="C1" s="668" t="n"/>
      <c r="D1" s="668" t="n"/>
      <c r="E1" s="857" t="n"/>
      <c r="F1" s="668" t="n"/>
      <c r="G1" s="668" t="n"/>
      <c r="H1" s="668" t="n"/>
      <c r="I1" s="668" t="n"/>
      <c r="J1" s="668" t="n"/>
      <c r="K1" s="668" t="n"/>
      <c r="L1" s="668" t="n"/>
      <c r="M1" s="668" t="n"/>
      <c r="N1" s="668" t="n"/>
      <c r="O1" s="668" t="n"/>
      <c r="P1" s="668" t="n"/>
      <c r="Q1" s="1556" t="n"/>
      <c r="R1" s="668" t="n"/>
      <c r="S1" s="858" t="n"/>
      <c r="T1" s="668" t="n"/>
      <c r="U1" s="668" t="n"/>
    </row>
    <row r="2" ht="14.4" customHeight="1" s="877">
      <c r="A2" s="855" t="n"/>
      <c r="B2" s="856" t="inlineStr">
        <is>
          <t>Most Recent Period:</t>
        </is>
      </c>
      <c r="C2" s="668" t="n"/>
      <c r="D2" s="668" t="n"/>
      <c r="E2" s="857" t="n"/>
      <c r="F2" s="668">
        <f>UL.MRQ</f>
        <v/>
      </c>
      <c r="G2" s="668" t="n"/>
      <c r="H2" s="668" t="n"/>
      <c r="I2" s="668" t="n"/>
      <c r="J2" s="668" t="n"/>
      <c r="K2" s="668" t="n"/>
      <c r="L2" s="668" t="n"/>
      <c r="M2" s="668" t="n"/>
      <c r="N2" s="668" t="n"/>
      <c r="O2" s="668" t="n"/>
      <c r="P2" s="668" t="n"/>
      <c r="Q2" s="1556" t="n"/>
      <c r="R2" s="668" t="n"/>
      <c r="S2" s="858" t="n"/>
      <c r="T2" s="668" t="n"/>
      <c r="U2" s="668" t="n"/>
    </row>
    <row r="3" ht="14.4" customHeight="1" s="877">
      <c r="A3" s="855" t="n"/>
      <c r="B3" s="668" t="n"/>
      <c r="C3" s="668" t="n"/>
      <c r="D3" s="668" t="n"/>
      <c r="E3" s="857" t="n"/>
      <c r="F3" s="668" t="n"/>
      <c r="G3" s="668" t="n"/>
      <c r="H3" s="668" t="n"/>
      <c r="I3" s="668" t="n"/>
      <c r="J3" s="668" t="n"/>
      <c r="K3" s="668" t="n"/>
      <c r="L3" s="668" t="n"/>
      <c r="M3" s="668" t="n"/>
      <c r="N3" s="668" t="n"/>
      <c r="O3" s="668" t="n"/>
      <c r="P3" s="668" t="n"/>
      <c r="Q3" s="1556" t="n"/>
      <c r="R3" s="668" t="n"/>
      <c r="S3" s="668" t="n"/>
      <c r="T3" s="668" t="n"/>
      <c r="U3" s="668" t="n"/>
    </row>
    <row r="4" ht="14.4" customFormat="1" customHeight="1" s="882">
      <c r="A4" s="855" t="n"/>
      <c r="B4" s="860" t="n"/>
      <c r="C4" s="868" t="n"/>
      <c r="D4" s="860" t="n"/>
      <c r="E4" s="860" t="n"/>
      <c r="F4" s="860" t="n"/>
      <c r="G4" s="860" t="n"/>
      <c r="H4" s="868" t="n"/>
      <c r="I4" s="861" t="inlineStr">
        <is>
          <t>Guidance</t>
        </is>
      </c>
      <c r="J4" s="861" t="n"/>
      <c r="K4" s="861" t="n"/>
      <c r="L4" s="868" t="n"/>
      <c r="M4" s="861" t="inlineStr">
        <is>
          <t>Model</t>
        </is>
      </c>
      <c r="N4" s="861" t="n"/>
      <c r="O4" s="868" t="n"/>
      <c r="P4" s="861" t="inlineStr">
        <is>
          <t>Difference vs. Mid</t>
        </is>
      </c>
      <c r="Q4" s="861" t="n"/>
      <c r="R4" s="868" t="n"/>
      <c r="S4" s="861" t="inlineStr">
        <is>
          <t>Update Log</t>
        </is>
      </c>
      <c r="T4" s="861" t="n"/>
      <c r="U4" s="858" t="n"/>
    </row>
    <row r="5" ht="14.4" customFormat="1" customHeight="1" s="883">
      <c r="A5" s="855" t="n"/>
      <c r="B5" s="860" t="inlineStr">
        <is>
          <t>Type</t>
        </is>
      </c>
      <c r="C5" s="869" t="n"/>
      <c r="D5" s="860" t="inlineStr">
        <is>
          <t>Item</t>
        </is>
      </c>
      <c r="E5" s="860" t="inlineStr">
        <is>
          <t>Item Name</t>
        </is>
      </c>
      <c r="F5" s="860" t="inlineStr">
        <is>
          <t>Fiscal Period</t>
        </is>
      </c>
      <c r="G5" s="860" t="inlineStr">
        <is>
          <t>Base Period</t>
        </is>
      </c>
      <c r="H5" s="869" t="n"/>
      <c r="I5" s="862" t="inlineStr">
        <is>
          <t>Low</t>
        </is>
      </c>
      <c r="J5" s="862" t="inlineStr">
        <is>
          <t>High</t>
        </is>
      </c>
      <c r="K5" s="862" t="inlineStr">
        <is>
          <t>Mid</t>
        </is>
      </c>
      <c r="L5" s="869" t="n"/>
      <c r="M5" s="860" t="inlineStr">
        <is>
          <t>Type</t>
        </is>
      </c>
      <c r="N5" s="862" t="inlineStr">
        <is>
          <t>Output</t>
        </is>
      </c>
      <c r="O5" s="869" t="n"/>
      <c r="P5" s="862" t="inlineStr">
        <is>
          <t>Absolute</t>
        </is>
      </c>
      <c r="Q5" s="2003" t="inlineStr">
        <is>
          <t>Relative</t>
        </is>
      </c>
      <c r="R5" s="869" t="n"/>
      <c r="S5" s="862" t="inlineStr">
        <is>
          <t>Date</t>
        </is>
      </c>
      <c r="T5" s="862" t="inlineStr">
        <is>
          <t>Link</t>
        </is>
      </c>
      <c r="U5" s="859" t="n"/>
    </row>
    <row r="6" ht="14.4" customHeight="1" s="877">
      <c r="A6" s="855" t="n">
        <v>22</v>
      </c>
      <c r="B6" s="864">
        <f>IF(INDEX(MO_SNA_IsHistoricalPeriod,,MATCH(F6,MO_Common_ColumnHeader,0)),"Historical","Forward")</f>
        <v/>
      </c>
      <c r="C6" s="668" t="n"/>
      <c r="D6" s="870">
        <f>INDEX(INDIRECT(E6),0,COLUMN(MO_Common_Column_A))</f>
        <v/>
      </c>
      <c r="E6" s="865" t="inlineStr">
        <is>
          <t>MO_RIS_REV</t>
        </is>
      </c>
      <c r="F6" s="864" t="inlineStr">
        <is>
          <t>FY2025</t>
        </is>
      </c>
      <c r="G6" s="864" t="n"/>
      <c r="H6" s="668" t="n"/>
      <c r="I6" s="1561" t="n">
        <v>5050</v>
      </c>
      <c r="J6" s="1561" t="n">
        <v>5150</v>
      </c>
      <c r="K6" s="1561">
        <f>AVERAGE(I6:J6)</f>
        <v/>
      </c>
      <c r="L6" s="1562" t="n"/>
      <c r="M6" s="1561">
        <f>IF(INDEX(MO_SNA_IsHistoricalPeriod,,MATCH(F6,MO_Common_ColumnHeader,0)),"Actual","Estimate")</f>
        <v/>
      </c>
      <c r="N6" s="1561">
        <f>IFERROR(INDEX(INDIRECT(E6),0,MATCH(F6,MO_Common_ColumnHeader,0)),"N/A")</f>
        <v/>
      </c>
      <c r="O6" s="1562" t="n"/>
      <c r="P6" s="2004">
        <f>IF(ISNUMBER(N6),N6-K6,"N/A")</f>
        <v/>
      </c>
      <c r="Q6" s="2005">
        <f>IFERROR(IF(ISNUMBER(N6),(N6-K6)/ABS(K6),"N/A"),"N/A")</f>
        <v/>
      </c>
      <c r="R6" s="668" t="n"/>
      <c r="S6" s="867" t="n">
        <v>45971</v>
      </c>
      <c r="T6" s="874" t="inlineStr">
        <is>
          <t>Earnings Presentation</t>
        </is>
      </c>
      <c r="U6" s="668" t="n"/>
    </row>
    <row r="7" ht="14.4" customHeight="1" s="877">
      <c r="A7" s="855" t="n">
        <v>21</v>
      </c>
      <c r="B7" s="864">
        <f>IF(INDEX(MO_SNA_IsHistoricalPeriod,,MATCH(F7,MO_Common_ColumnHeader,0)),"Historical","Forward")</f>
        <v/>
      </c>
      <c r="C7" s="668" t="n"/>
      <c r="D7" s="870">
        <f>INDEX(INDIRECT(E7),0,COLUMN(MO_Common_Column_A))</f>
        <v/>
      </c>
      <c r="E7" s="865" t="inlineStr">
        <is>
          <t>MO_RIS_Reported_OperatingIncome_NONGAAP</t>
        </is>
      </c>
      <c r="F7" s="864" t="inlineStr">
        <is>
          <t>FY2025</t>
        </is>
      </c>
      <c r="G7" s="864" t="n"/>
      <c r="H7" s="668" t="n"/>
      <c r="I7" s="1561" t="n">
        <v>690</v>
      </c>
      <c r="J7" s="1561" t="n">
        <v>720</v>
      </c>
      <c r="K7" s="1561">
        <f>AVERAGE(I7:J7)</f>
        <v/>
      </c>
      <c r="L7" s="1562" t="n"/>
      <c r="M7" s="1561">
        <f>IF(INDEX(MO_SNA_IsHistoricalPeriod,,MATCH(F7,MO_Common_ColumnHeader,0)),"Actual","Estimate")</f>
        <v/>
      </c>
      <c r="N7" s="1561">
        <f>IFERROR(INDEX(INDIRECT(E7),0,MATCH(F7,MO_Common_ColumnHeader,0)),"N/A")</f>
        <v/>
      </c>
      <c r="O7" s="1562" t="n"/>
      <c r="P7" s="2004">
        <f>IF(ISNUMBER(N7),N7-K7,"N/A")</f>
        <v/>
      </c>
      <c r="Q7" s="2005">
        <f>IFERROR(IF(ISNUMBER(N7),(N7-K7)/ABS(K7),"N/A"),"N/A")</f>
        <v/>
      </c>
      <c r="R7" s="668" t="n"/>
      <c r="S7" s="867" t="n">
        <v>45971</v>
      </c>
      <c r="T7" s="874" t="inlineStr">
        <is>
          <t>Earnings Presentation</t>
        </is>
      </c>
      <c r="U7" s="668" t="n"/>
    </row>
    <row r="8" ht="14.4" customHeight="1" s="877">
      <c r="A8" s="855" t="n">
        <v>20</v>
      </c>
      <c r="B8" s="864">
        <f>IF(INDEX(MO_SNA_IsHistoricalPeriod,,MATCH(F8,MO_Common_ColumnHeader,0)),"Historical","Forward")</f>
        <v/>
      </c>
      <c r="C8" s="668" t="n"/>
      <c r="D8" s="870">
        <f>INDEX(INDIRECT(E8),0,COLUMN(MO_Common_Column_A))</f>
        <v/>
      </c>
      <c r="E8" s="865" t="inlineStr">
        <is>
          <t>MO_RIS_IE_Net</t>
        </is>
      </c>
      <c r="F8" s="864" t="inlineStr">
        <is>
          <t>FY2025</t>
        </is>
      </c>
      <c r="G8" s="864" t="n"/>
      <c r="H8" s="668" t="n"/>
      <c r="I8" s="1561" t="n">
        <v>1210</v>
      </c>
      <c r="J8" s="1561" t="n">
        <v>1250</v>
      </c>
      <c r="K8" s="1561">
        <f>AVERAGE(I8:J8)</f>
        <v/>
      </c>
      <c r="L8" s="1562" t="n"/>
      <c r="M8" s="1561">
        <f>IF(INDEX(MO_SNA_IsHistoricalPeriod,,MATCH(F8,MO_Common_ColumnHeader,0)),"Actual","Estimate")</f>
        <v/>
      </c>
      <c r="N8" s="1561">
        <f>IFERROR(INDEX(INDIRECT(E8),0,MATCH(F8,MO_Common_ColumnHeader,0)),"N/A")</f>
        <v/>
      </c>
      <c r="O8" s="1562" t="n"/>
      <c r="P8" s="2004">
        <f>IF(ISNUMBER(N8),N8-K8,"N/A")</f>
        <v/>
      </c>
      <c r="Q8" s="2005">
        <f>IFERROR(IF(ISNUMBER(N8),(N8-K8)/ABS(K8),"N/A"),"N/A")</f>
        <v/>
      </c>
      <c r="R8" s="668" t="n"/>
      <c r="S8" s="867" t="n">
        <v>45971</v>
      </c>
      <c r="T8" s="874" t="inlineStr">
        <is>
          <t>Earnings Presentation</t>
        </is>
      </c>
      <c r="U8" s="668" t="n"/>
    </row>
    <row r="9" ht="14.4" customHeight="1" s="877">
      <c r="A9" s="855" t="n">
        <v>19</v>
      </c>
      <c r="B9" s="864">
        <f>IF(INDEX(MO_SNA_IsHistoricalPeriod,,MATCH(F9,MO_Common_ColumnHeader,0)),"Historical","Forward")</f>
        <v/>
      </c>
      <c r="C9" s="668" t="n"/>
      <c r="D9" s="870">
        <f>INDEX(INDIRECT(E9),0,COLUMN(MO_Common_Column_A))</f>
        <v/>
      </c>
      <c r="E9" s="865" t="inlineStr">
        <is>
          <t>MO_CFSum_Capex</t>
        </is>
      </c>
      <c r="F9" s="864" t="inlineStr">
        <is>
          <t>FY2025</t>
        </is>
      </c>
      <c r="G9" s="864" t="n"/>
      <c r="H9" s="668" t="n"/>
      <c r="I9" s="1561" t="n">
        <v>-14000</v>
      </c>
      <c r="J9" s="1561" t="n">
        <v>-12000</v>
      </c>
      <c r="K9" s="1561">
        <f>AVERAGE(I9:J9)</f>
        <v/>
      </c>
      <c r="L9" s="1562" t="n"/>
      <c r="M9" s="1561">
        <f>IF(INDEX(MO_SNA_IsHistoricalPeriod,,MATCH(F9,MO_Common_ColumnHeader,0)),"Actual","Estimate")</f>
        <v/>
      </c>
      <c r="N9" s="1561">
        <f>IFERROR(INDEX(INDIRECT(E9),0,MATCH(F9,MO_Common_ColumnHeader,0)),"N/A")</f>
        <v/>
      </c>
      <c r="O9" s="1562" t="n"/>
      <c r="P9" s="2004">
        <f>IF(ISNUMBER(N9),N9-K9,"N/A")</f>
        <v/>
      </c>
      <c r="Q9" s="2005">
        <f>IFERROR(IF(ISNUMBER(N9),(N9-K9)/ABS(K9),"N/A"),"N/A")</f>
        <v/>
      </c>
      <c r="R9" s="668" t="n"/>
      <c r="S9" s="867" t="n">
        <v>45971</v>
      </c>
      <c r="T9" s="874" t="inlineStr">
        <is>
          <t>Earnings Presentation</t>
        </is>
      </c>
      <c r="U9" s="668" t="n"/>
    </row>
    <row r="10" ht="14.4" customHeight="1" s="877">
      <c r="A10" s="855" t="n">
        <v>18</v>
      </c>
      <c r="B10" s="668" t="n"/>
      <c r="C10" s="668" t="n"/>
      <c r="D10" s="856" t="n"/>
      <c r="E10" s="857" t="n"/>
      <c r="F10" s="668" t="n"/>
      <c r="G10" s="668" t="n"/>
      <c r="H10" s="668" t="n"/>
      <c r="I10" s="668" t="n"/>
      <c r="J10" s="668" t="n"/>
      <c r="K10" s="668" t="n"/>
      <c r="L10" s="668" t="n"/>
      <c r="M10" s="668" t="n"/>
      <c r="N10" s="668" t="n"/>
      <c r="O10" s="668" t="n"/>
      <c r="P10" s="856" t="n"/>
      <c r="Q10" s="1688" t="n"/>
      <c r="R10" s="668" t="n"/>
      <c r="S10" s="858" t="n"/>
      <c r="T10" s="875" t="n"/>
      <c r="U10" s="668" t="n"/>
    </row>
    <row r="11" ht="14.4" customHeight="1" s="877">
      <c r="A11" s="855" t="n">
        <v>17</v>
      </c>
      <c r="B11" s="864">
        <f>IF(INDEX(MO_SNA_IsHistoricalPeriod,,MATCH(F11,MO_Common_ColumnHeader,0)),"Historical","Forward")</f>
        <v/>
      </c>
      <c r="C11" s="668" t="n"/>
      <c r="D11" s="870">
        <f>INDEX(INDIRECT(E11),0,COLUMN(MO_Common_Column_A))</f>
        <v/>
      </c>
      <c r="E11" s="865" t="inlineStr">
        <is>
          <t>MO_RIS_REV</t>
        </is>
      </c>
      <c r="F11" s="864" t="inlineStr">
        <is>
          <t>FY2025</t>
        </is>
      </c>
      <c r="G11" s="864" t="n"/>
      <c r="H11" s="668" t="n"/>
      <c r="I11" s="1561" t="n">
        <v>5150</v>
      </c>
      <c r="J11" s="1561" t="n">
        <v>5350</v>
      </c>
      <c r="K11" s="1561">
        <f>AVERAGE(I11:J11)</f>
        <v/>
      </c>
      <c r="L11" s="1562" t="n"/>
      <c r="M11" s="1561">
        <f>IF(INDEX(MO_SNA_IsHistoricalPeriod,,MATCH(F11,MO_Common_ColumnHeader,0)),"Actual","Estimate")</f>
        <v/>
      </c>
      <c r="N11" s="1561">
        <f>IFERROR(INDEX(INDIRECT(E11),0,MATCH(F11,MO_Common_ColumnHeader,0)),"N/A")</f>
        <v/>
      </c>
      <c r="O11" s="1562" t="n"/>
      <c r="P11" s="2004">
        <f>IF(ISNUMBER(N11),N11-K11,"N/A")</f>
        <v/>
      </c>
      <c r="Q11" s="2005">
        <f>IFERROR(IF(ISNUMBER(N11),(N11-K11)/ABS(K11),"N/A"),"N/A")</f>
        <v/>
      </c>
      <c r="R11" s="668" t="n"/>
      <c r="S11" s="867" t="n">
        <v>45881</v>
      </c>
      <c r="T11" s="874" t="inlineStr">
        <is>
          <t>Earnings Presentation</t>
        </is>
      </c>
      <c r="U11" s="668" t="n"/>
    </row>
    <row r="12" ht="14.4" customHeight="1" s="877">
      <c r="A12" s="855" t="n">
        <v>16</v>
      </c>
      <c r="B12" s="864">
        <f>IF(INDEX(MO_SNA_IsHistoricalPeriod,,MATCH(F12,MO_Common_ColumnHeader,0)),"Historical","Forward")</f>
        <v/>
      </c>
      <c r="C12" s="668" t="n"/>
      <c r="D12" s="870">
        <f>INDEX(INDIRECT(E12),0,COLUMN(MO_Common_Column_A))</f>
        <v/>
      </c>
      <c r="E12" s="865" t="inlineStr">
        <is>
          <t>MO_RIS_Reported_OperatingIncome_NONGAAP</t>
        </is>
      </c>
      <c r="F12" s="864" t="inlineStr">
        <is>
          <t>FY2025</t>
        </is>
      </c>
      <c r="G12" s="864" t="n"/>
      <c r="H12" s="668" t="n"/>
      <c r="I12" s="1561" t="n">
        <v>800</v>
      </c>
      <c r="J12" s="1561" t="n">
        <v>830</v>
      </c>
      <c r="K12" s="1561">
        <f>AVERAGE(I12:J12)</f>
        <v/>
      </c>
      <c r="L12" s="1562" t="n"/>
      <c r="M12" s="1561">
        <f>IF(INDEX(MO_SNA_IsHistoricalPeriod,,MATCH(F12,MO_Common_ColumnHeader,0)),"Actual","Estimate")</f>
        <v/>
      </c>
      <c r="N12" s="1561">
        <f>IFERROR(INDEX(INDIRECT(E12),0,MATCH(F12,MO_Common_ColumnHeader,0)),"N/A")</f>
        <v/>
      </c>
      <c r="O12" s="1562" t="n"/>
      <c r="P12" s="2004">
        <f>IF(ISNUMBER(N12),N12-K12,"N/A")</f>
        <v/>
      </c>
      <c r="Q12" s="2005">
        <f>IFERROR(IF(ISNUMBER(N12),(N12-K12)/ABS(K12),"N/A"),"N/A")</f>
        <v/>
      </c>
      <c r="R12" s="668" t="n"/>
      <c r="S12" s="867" t="n">
        <v>45881</v>
      </c>
      <c r="T12" s="874" t="inlineStr">
        <is>
          <t>Earnings Presentation</t>
        </is>
      </c>
      <c r="U12" s="668" t="n"/>
    </row>
    <row r="13" ht="14.4" customHeight="1" s="877">
      <c r="A13" s="855" t="n">
        <v>15</v>
      </c>
      <c r="B13" s="864">
        <f>IF(INDEX(MO_SNA_IsHistoricalPeriod,,MATCH(F13,MO_Common_ColumnHeader,0)),"Historical","Forward")</f>
        <v/>
      </c>
      <c r="C13" s="668" t="n"/>
      <c r="D13" s="870">
        <f>INDEX(INDIRECT(E13),0,COLUMN(MO_Common_Column_A))</f>
        <v/>
      </c>
      <c r="E13" s="865" t="inlineStr">
        <is>
          <t>MO_CFSum_Capex</t>
        </is>
      </c>
      <c r="F13" s="864" t="inlineStr">
        <is>
          <t>FY2025</t>
        </is>
      </c>
      <c r="G13" s="864" t="n"/>
      <c r="H13" s="668" t="n"/>
      <c r="I13" s="1561" t="n">
        <v>-23000</v>
      </c>
      <c r="J13" s="1561" t="n">
        <v>-20000</v>
      </c>
      <c r="K13" s="1561">
        <f>AVERAGE(I13:J13)</f>
        <v/>
      </c>
      <c r="L13" s="1562" t="n"/>
      <c r="M13" s="1561">
        <f>IF(INDEX(MO_SNA_IsHistoricalPeriod,,MATCH(F13,MO_Common_ColumnHeader,0)),"Actual","Estimate")</f>
        <v/>
      </c>
      <c r="N13" s="1561">
        <f>IFERROR(INDEX(INDIRECT(E13),0,MATCH(F13,MO_Common_ColumnHeader,0)),"N/A")</f>
        <v/>
      </c>
      <c r="O13" s="1562" t="n"/>
      <c r="P13" s="2004">
        <f>IF(ISNUMBER(N13),N13-K13,"N/A")</f>
        <v/>
      </c>
      <c r="Q13" s="2005">
        <f>IFERROR(IF(ISNUMBER(N13),(N13-K13)/ABS(K13),"N/A"),"N/A")</f>
        <v/>
      </c>
      <c r="R13" s="668" t="n"/>
      <c r="S13" s="867" t="n">
        <v>45881</v>
      </c>
      <c r="T13" s="874" t="inlineStr">
        <is>
          <t>Earnings Presentation</t>
        </is>
      </c>
      <c r="U13" s="668" t="n"/>
    </row>
    <row r="14" ht="14.4" customHeight="1" s="877">
      <c r="A14" s="855" t="n">
        <v>14</v>
      </c>
      <c r="B14" s="668" t="n"/>
      <c r="C14" s="668" t="n"/>
      <c r="D14" s="856" t="n"/>
      <c r="E14" s="857" t="n"/>
      <c r="F14" s="668" t="n"/>
      <c r="G14" s="668" t="n"/>
      <c r="H14" s="668" t="n"/>
      <c r="I14" s="668" t="n"/>
      <c r="J14" s="668" t="n"/>
      <c r="K14" s="668" t="n"/>
      <c r="L14" s="668" t="n"/>
      <c r="M14" s="668" t="n"/>
      <c r="N14" s="668" t="n"/>
      <c r="O14" s="668" t="n"/>
      <c r="P14" s="856" t="n"/>
      <c r="Q14" s="1688" t="n"/>
      <c r="R14" s="668" t="n"/>
      <c r="S14" s="858" t="n"/>
      <c r="T14" s="875" t="n"/>
      <c r="U14" s="668" t="n"/>
    </row>
    <row r="15" ht="14.4" customHeight="1" s="877">
      <c r="A15" s="855" t="n">
        <v>13</v>
      </c>
      <c r="B15" s="864">
        <f>IF(INDEX(MO_SNA_IsHistoricalPeriod,,MATCH(F15,MO_Common_ColumnHeader,0)),"Historical","Forward")</f>
        <v/>
      </c>
      <c r="C15" s="668" t="n"/>
      <c r="D15" s="870">
        <f>INDEX(INDIRECT(E15),0,COLUMN(MO_Common_Column_A))</f>
        <v/>
      </c>
      <c r="E15" s="865" t="inlineStr">
        <is>
          <t>MO_RIS_REV</t>
        </is>
      </c>
      <c r="F15" s="864" t="inlineStr">
        <is>
          <t>Q3-2025</t>
        </is>
      </c>
      <c r="G15" s="864" t="n"/>
      <c r="H15" s="668" t="n"/>
      <c r="I15" s="1561" t="n">
        <v>1260</v>
      </c>
      <c r="J15" s="1561" t="n">
        <v>1300</v>
      </c>
      <c r="K15" s="1561">
        <f>AVERAGE(I15:J15)</f>
        <v/>
      </c>
      <c r="L15" s="1562" t="n"/>
      <c r="M15" s="1561">
        <f>IF(INDEX(MO_SNA_IsHistoricalPeriod,,MATCH(F15,MO_Common_ColumnHeader,0)),"Actual","Estimate")</f>
        <v/>
      </c>
      <c r="N15" s="1561">
        <f>IFERROR(INDEX(INDIRECT(E15),0,MATCH(F15,MO_Common_ColumnHeader,0)),"N/A")</f>
        <v/>
      </c>
      <c r="O15" s="1562" t="n"/>
      <c r="P15" s="2004">
        <f>IF(ISNUMBER(N15),N15-K15,"N/A")</f>
        <v/>
      </c>
      <c r="Q15" s="2005">
        <f>IFERROR(IF(ISNUMBER(N15),(N15-K15)/ABS(K15),"N/A"),"N/A")</f>
        <v/>
      </c>
      <c r="R15" s="668" t="n"/>
      <c r="S15" s="867" t="n">
        <v>45881</v>
      </c>
      <c r="T15" s="874" t="inlineStr">
        <is>
          <t>Earnings Presentation</t>
        </is>
      </c>
      <c r="U15" s="668" t="n"/>
    </row>
    <row r="16" ht="14.4" customHeight="1" s="877">
      <c r="A16" s="855" t="n">
        <v>12</v>
      </c>
      <c r="B16" s="864">
        <f>IF(INDEX(MO_SNA_IsHistoricalPeriod,,MATCH(F16,MO_Common_ColumnHeader,0)),"Historical","Forward")</f>
        <v/>
      </c>
      <c r="C16" s="668" t="n"/>
      <c r="D16" s="870">
        <f>INDEX(INDIRECT(E16),0,COLUMN(MO_Common_Column_A))</f>
        <v/>
      </c>
      <c r="E16" s="865" t="inlineStr">
        <is>
          <t>MO_RIS_Reported_OperatingIncome_NONGAAP</t>
        </is>
      </c>
      <c r="F16" s="864" t="inlineStr">
        <is>
          <t>Q3-2025</t>
        </is>
      </c>
      <c r="G16" s="864" t="n"/>
      <c r="H16" s="668" t="n"/>
      <c r="I16" s="1561" t="n">
        <v>160</v>
      </c>
      <c r="J16" s="1561" t="n">
        <v>190</v>
      </c>
      <c r="K16" s="1561">
        <f>AVERAGE(I16:J16)</f>
        <v/>
      </c>
      <c r="L16" s="1562" t="n"/>
      <c r="M16" s="1561">
        <f>IF(INDEX(MO_SNA_IsHistoricalPeriod,,MATCH(F16,MO_Common_ColumnHeader,0)),"Actual","Estimate")</f>
        <v/>
      </c>
      <c r="N16" s="1561">
        <f>IFERROR(INDEX(INDIRECT(E16),0,MATCH(F16,MO_Common_ColumnHeader,0)),"N/A")</f>
        <v/>
      </c>
      <c r="O16" s="1562" t="n"/>
      <c r="P16" s="2004">
        <f>IF(ISNUMBER(N16),N16-K16,"N/A")</f>
        <v/>
      </c>
      <c r="Q16" s="2005">
        <f>IFERROR(IF(ISNUMBER(N16),(N16-K16)/ABS(K16),"N/A"),"N/A")</f>
        <v/>
      </c>
      <c r="R16" s="668" t="n"/>
      <c r="S16" s="867" t="n">
        <v>45881</v>
      </c>
      <c r="T16" s="874" t="inlineStr">
        <is>
          <t>Earnings Presentation</t>
        </is>
      </c>
      <c r="U16" s="668" t="n"/>
    </row>
    <row r="17" ht="14.4" customHeight="1" s="877">
      <c r="A17" s="855" t="n">
        <v>11</v>
      </c>
      <c r="B17" s="864">
        <f>IF(INDEX(MO_SNA_IsHistoricalPeriod,,MATCH(F17,MO_Common_ColumnHeader,0)),"Historical","Forward")</f>
        <v/>
      </c>
      <c r="C17" s="668" t="n"/>
      <c r="D17" s="870">
        <f>INDEX(INDIRECT(E17),0,COLUMN(MO_Common_Column_A))</f>
        <v/>
      </c>
      <c r="E17" s="865" t="inlineStr">
        <is>
          <t>MO_RIS_IE_Net</t>
        </is>
      </c>
      <c r="F17" s="864" t="inlineStr">
        <is>
          <t>Q3-2025</t>
        </is>
      </c>
      <c r="G17" s="864" t="n"/>
      <c r="H17" s="668" t="n"/>
      <c r="I17" s="1561" t="n">
        <v>350</v>
      </c>
      <c r="J17" s="1561" t="n">
        <v>390</v>
      </c>
      <c r="K17" s="1561">
        <f>AVERAGE(I17:J17)</f>
        <v/>
      </c>
      <c r="L17" s="1562" t="n"/>
      <c r="M17" s="1561">
        <f>IF(INDEX(MO_SNA_IsHistoricalPeriod,,MATCH(F17,MO_Common_ColumnHeader,0)),"Actual","Estimate")</f>
        <v/>
      </c>
      <c r="N17" s="1561">
        <f>IFERROR(INDEX(INDIRECT(E17),0,MATCH(F17,MO_Common_ColumnHeader,0)),"N/A")</f>
        <v/>
      </c>
      <c r="O17" s="1562" t="n"/>
      <c r="P17" s="2004">
        <f>IF(ISNUMBER(N17),N17-K17,"N/A")</f>
        <v/>
      </c>
      <c r="Q17" s="2005">
        <f>IFERROR(IF(ISNUMBER(N17),(N17-K17)/ABS(K17),"N/A"),"N/A")</f>
        <v/>
      </c>
      <c r="R17" s="668" t="n"/>
      <c r="S17" s="867" t="n">
        <v>45881</v>
      </c>
      <c r="T17" s="874" t="inlineStr">
        <is>
          <t>Earnings Presentation</t>
        </is>
      </c>
      <c r="U17" s="668" t="n"/>
    </row>
    <row r="18" ht="14.4" customHeight="1" s="877">
      <c r="A18" s="855" t="n">
        <v>10</v>
      </c>
      <c r="B18" s="864">
        <f>IF(INDEX(MO_SNA_IsHistoricalPeriod,,MATCH(F18,MO_Common_ColumnHeader,0)),"Historical","Forward")</f>
        <v/>
      </c>
      <c r="C18" s="668" t="n"/>
      <c r="D18" s="870">
        <f>INDEX(INDIRECT(E18),0,COLUMN(MO_Common_Column_A))</f>
        <v/>
      </c>
      <c r="E18" s="865" t="inlineStr">
        <is>
          <t>MO_CFSum_Capex</t>
        </is>
      </c>
      <c r="F18" s="864" t="inlineStr">
        <is>
          <t>Q3-2025</t>
        </is>
      </c>
      <c r="G18" s="864" t="n"/>
      <c r="H18" s="668" t="n"/>
      <c r="I18" s="1561" t="n">
        <v>-3400</v>
      </c>
      <c r="J18" s="1561" t="n">
        <v>-2900</v>
      </c>
      <c r="K18" s="1561">
        <f>AVERAGE(I18:J18)</f>
        <v/>
      </c>
      <c r="L18" s="1562" t="n"/>
      <c r="M18" s="1561">
        <f>IF(INDEX(MO_SNA_IsHistoricalPeriod,,MATCH(F18,MO_Common_ColumnHeader,0)),"Actual","Estimate")</f>
        <v/>
      </c>
      <c r="N18" s="1561">
        <f>IFERROR(INDEX(INDIRECT(E18),0,MATCH(F18,MO_Common_ColumnHeader,0)),"N/A")</f>
        <v/>
      </c>
      <c r="O18" s="1562" t="n"/>
      <c r="P18" s="2004">
        <f>IF(ISNUMBER(N18),N18-K18,"N/A")</f>
        <v/>
      </c>
      <c r="Q18" s="2005">
        <f>IFERROR(IF(ISNUMBER(N18),(N18-K18)/ABS(K18),"N/A"),"N/A")</f>
        <v/>
      </c>
      <c r="R18" s="668" t="n"/>
      <c r="S18" s="867" t="n">
        <v>45881</v>
      </c>
      <c r="T18" s="874" t="inlineStr">
        <is>
          <t>Earnings Presentation</t>
        </is>
      </c>
      <c r="U18" s="668" t="n"/>
    </row>
    <row r="19" ht="14.4" customHeight="1" s="877">
      <c r="A19" s="855" t="n">
        <v>9</v>
      </c>
      <c r="B19" s="668" t="n"/>
      <c r="C19" s="668" t="n"/>
      <c r="D19" s="856" t="n"/>
      <c r="E19" s="857" t="n"/>
      <c r="F19" s="668" t="n"/>
      <c r="G19" s="668" t="n"/>
      <c r="H19" s="668" t="n"/>
      <c r="I19" s="668" t="n"/>
      <c r="J19" s="668" t="n"/>
      <c r="K19" s="668" t="n"/>
      <c r="L19" s="668" t="n"/>
      <c r="M19" s="668" t="n"/>
      <c r="N19" s="668" t="n"/>
      <c r="O19" s="668" t="n"/>
      <c r="P19" s="856" t="n"/>
      <c r="Q19" s="1688" t="n"/>
      <c r="R19" s="668" t="n"/>
      <c r="S19" s="858" t="n"/>
      <c r="T19" s="875" t="n"/>
      <c r="U19" s="668" t="n"/>
    </row>
    <row r="20" ht="14.4" customHeight="1" s="877">
      <c r="A20" s="855" t="n">
        <v>8</v>
      </c>
      <c r="B20" s="864">
        <f>IF(INDEX(MO_SNA_IsHistoricalPeriod,,MATCH(F20,MO_Common_ColumnHeader,0)),"Historical","Forward")</f>
        <v/>
      </c>
      <c r="C20" s="668" t="n"/>
      <c r="D20" s="870">
        <f>INDEX(INDIRECT(E20),0,COLUMN(MO_Common_Column_A))</f>
        <v/>
      </c>
      <c r="E20" s="865" t="inlineStr">
        <is>
          <t>MO_RIS_REV</t>
        </is>
      </c>
      <c r="F20" s="864" t="inlineStr">
        <is>
          <t>FY2025</t>
        </is>
      </c>
      <c r="G20" s="864" t="n"/>
      <c r="H20" s="668" t="n"/>
      <c r="I20" s="1561" t="n">
        <v>4900</v>
      </c>
      <c r="J20" s="1561" t="n">
        <v>5100</v>
      </c>
      <c r="K20" s="1561">
        <f>AVERAGE(I20:J20)</f>
        <v/>
      </c>
      <c r="L20" s="1562" t="n"/>
      <c r="M20" s="1561">
        <f>IF(INDEX(MO_SNA_IsHistoricalPeriod,,MATCH(F20,MO_Common_ColumnHeader,0)),"Actual","Estimate")</f>
        <v/>
      </c>
      <c r="N20" s="1561">
        <f>IFERROR(INDEX(INDIRECT(E20),0,MATCH(F20,MO_Common_ColumnHeader,0)),"N/A")</f>
        <v/>
      </c>
      <c r="O20" s="1562" t="n"/>
      <c r="P20" s="2004">
        <f>IF(ISNUMBER(N20),N20-K20,"N/A")</f>
        <v/>
      </c>
      <c r="Q20" s="2005">
        <f>IFERROR(IF(ISNUMBER(N20),(N20-K20)/ABS(K20),"N/A"),"N/A")</f>
        <v/>
      </c>
      <c r="R20" s="668" t="n"/>
      <c r="S20" s="867" t="n">
        <v>45791</v>
      </c>
      <c r="T20" s="874" t="inlineStr">
        <is>
          <t>Earnings Presentation</t>
        </is>
      </c>
      <c r="U20" s="668" t="n"/>
    </row>
    <row r="21" ht="14.4" customHeight="1" s="877">
      <c r="A21" s="855" t="n">
        <v>7</v>
      </c>
      <c r="B21" s="864">
        <f>IF(INDEX(MO_SNA_IsHistoricalPeriod,,MATCH(F21,MO_Common_ColumnHeader,0)),"Historical","Forward")</f>
        <v/>
      </c>
      <c r="C21" s="668" t="n"/>
      <c r="D21" s="870">
        <f>INDEX(INDIRECT(E21),0,COLUMN(MO_Common_Column_A))</f>
        <v/>
      </c>
      <c r="E21" s="865" t="inlineStr">
        <is>
          <t>MO_RIS_Reported_OperatingIncome_NONGAAP</t>
        </is>
      </c>
      <c r="F21" s="864" t="inlineStr">
        <is>
          <t>FY2025</t>
        </is>
      </c>
      <c r="G21" s="864" t="n"/>
      <c r="H21" s="668" t="n"/>
      <c r="I21" s="1561" t="n">
        <v>800</v>
      </c>
      <c r="J21" s="1561" t="n">
        <v>830</v>
      </c>
      <c r="K21" s="1561">
        <f>AVERAGE(I21:J21)</f>
        <v/>
      </c>
      <c r="L21" s="1562" t="n"/>
      <c r="M21" s="1561">
        <f>IF(INDEX(MO_SNA_IsHistoricalPeriod,,MATCH(F21,MO_Common_ColumnHeader,0)),"Actual","Estimate")</f>
        <v/>
      </c>
      <c r="N21" s="1561">
        <f>IFERROR(INDEX(INDIRECT(E21),0,MATCH(F21,MO_Common_ColumnHeader,0)),"N/A")</f>
        <v/>
      </c>
      <c r="O21" s="1562" t="n"/>
      <c r="P21" s="2004">
        <f>IF(ISNUMBER(N21),N21-K21,"N/A")</f>
        <v/>
      </c>
      <c r="Q21" s="2005">
        <f>IFERROR(IF(ISNUMBER(N21),(N21-K21)/ABS(K21),"N/A"),"N/A")</f>
        <v/>
      </c>
      <c r="R21" s="668" t="n"/>
      <c r="S21" s="867" t="n">
        <v>45791</v>
      </c>
      <c r="T21" s="874" t="inlineStr">
        <is>
          <t>Earnings Presentation</t>
        </is>
      </c>
      <c r="U21" s="668" t="n"/>
    </row>
    <row r="22" ht="14.4" customHeight="1" s="877">
      <c r="A22" s="855" t="n">
        <v>6</v>
      </c>
      <c r="B22" s="864">
        <f>IF(INDEX(MO_SNA_IsHistoricalPeriod,,MATCH(F22,MO_Common_ColumnHeader,0)),"Historical","Forward")</f>
        <v/>
      </c>
      <c r="C22" s="668" t="n"/>
      <c r="D22" s="870">
        <f>INDEX(INDIRECT(E22),0,COLUMN(MO_Common_Column_A))</f>
        <v/>
      </c>
      <c r="E22" s="865" t="inlineStr">
        <is>
          <t>MO_CFSum_Capex</t>
        </is>
      </c>
      <c r="F22" s="864" t="inlineStr">
        <is>
          <t>FY2025</t>
        </is>
      </c>
      <c r="G22" s="864" t="n"/>
      <c r="H22" s="668" t="n"/>
      <c r="I22" s="1561" t="n">
        <v>-23000</v>
      </c>
      <c r="J22" s="1561" t="n">
        <v>-20000</v>
      </c>
      <c r="K22" s="1561">
        <f>AVERAGE(I22:J22)</f>
        <v/>
      </c>
      <c r="L22" s="1562" t="n"/>
      <c r="M22" s="1561">
        <f>IF(INDEX(MO_SNA_IsHistoricalPeriod,,MATCH(F22,MO_Common_ColumnHeader,0)),"Actual","Estimate")</f>
        <v/>
      </c>
      <c r="N22" s="1561">
        <f>IFERROR(INDEX(INDIRECT(E22),0,MATCH(F22,MO_Common_ColumnHeader,0)),"N/A")</f>
        <v/>
      </c>
      <c r="O22" s="1562" t="n"/>
      <c r="P22" s="2004">
        <f>IF(ISNUMBER(N22),N22-K22,"N/A")</f>
        <v/>
      </c>
      <c r="Q22" s="2005">
        <f>IFERROR(IF(ISNUMBER(N22),(N22-K22)/ABS(K22),"N/A"),"N/A")</f>
        <v/>
      </c>
      <c r="R22" s="668" t="n"/>
      <c r="S22" s="867" t="n">
        <v>45791</v>
      </c>
      <c r="T22" s="874" t="inlineStr">
        <is>
          <t>Earnings Presentation</t>
        </is>
      </c>
      <c r="U22" s="668" t="n"/>
    </row>
    <row r="23" ht="14.4" customHeight="1" s="877">
      <c r="A23" s="855" t="n">
        <v>5</v>
      </c>
      <c r="B23" s="668" t="n"/>
      <c r="C23" s="668" t="n"/>
      <c r="D23" s="856" t="n"/>
      <c r="E23" s="857" t="n"/>
      <c r="F23" s="668" t="n"/>
      <c r="G23" s="668" t="n"/>
      <c r="H23" s="668" t="n"/>
      <c r="I23" s="668" t="n"/>
      <c r="J23" s="668" t="n"/>
      <c r="K23" s="668" t="n"/>
      <c r="L23" s="668" t="n"/>
      <c r="M23" s="668" t="n"/>
      <c r="N23" s="668" t="n"/>
      <c r="O23" s="668" t="n"/>
      <c r="P23" s="856" t="n"/>
      <c r="Q23" s="1688" t="n"/>
      <c r="R23" s="668" t="n"/>
      <c r="S23" s="858" t="n"/>
      <c r="T23" s="875" t="n"/>
      <c r="U23" s="668" t="n"/>
    </row>
    <row r="24" ht="14.4" customHeight="1" s="877">
      <c r="A24" s="855" t="n">
        <v>4</v>
      </c>
      <c r="B24" s="864">
        <f>IF(INDEX(MO_SNA_IsHistoricalPeriod,,MATCH(F24,MO_Common_ColumnHeader,0)),"Historical","Forward")</f>
        <v/>
      </c>
      <c r="C24" s="668" t="n"/>
      <c r="D24" s="870">
        <f>INDEX(INDIRECT(E24),0,COLUMN(MO_Common_Column_A))</f>
        <v/>
      </c>
      <c r="E24" s="865" t="inlineStr">
        <is>
          <t>MO_RIS_REV</t>
        </is>
      </c>
      <c r="F24" s="864" t="inlineStr">
        <is>
          <t>Q2-2025</t>
        </is>
      </c>
      <c r="G24" s="864" t="n"/>
      <c r="H24" s="668" t="n"/>
      <c r="I24" s="1561" t="n">
        <v>1060</v>
      </c>
      <c r="J24" s="1561" t="n">
        <v>1100</v>
      </c>
      <c r="K24" s="1561">
        <f>AVERAGE(I24:J24)</f>
        <v/>
      </c>
      <c r="L24" s="1562" t="n"/>
      <c r="M24" s="1561">
        <f>IF(INDEX(MO_SNA_IsHistoricalPeriod,,MATCH(F24,MO_Common_ColumnHeader,0)),"Actual","Estimate")</f>
        <v/>
      </c>
      <c r="N24" s="1561">
        <f>IFERROR(INDEX(INDIRECT(E24),0,MATCH(F24,MO_Common_ColumnHeader,0)),"N/A")</f>
        <v/>
      </c>
      <c r="O24" s="1562" t="n"/>
      <c r="P24" s="2004">
        <f>IF(ISNUMBER(N24),N24-K24,"N/A")</f>
        <v/>
      </c>
      <c r="Q24" s="2005">
        <f>IFERROR(IF(ISNUMBER(N24),(N24-K24)/ABS(K24),"N/A"),"N/A")</f>
        <v/>
      </c>
      <c r="R24" s="668" t="n"/>
      <c r="S24" s="867" t="n">
        <v>45791</v>
      </c>
      <c r="T24" s="874" t="inlineStr">
        <is>
          <t>Earnings Presentation</t>
        </is>
      </c>
      <c r="U24" s="668" t="n"/>
    </row>
    <row r="25" ht="14.4" customHeight="1" s="877">
      <c r="A25" s="855" t="n">
        <v>3</v>
      </c>
      <c r="B25" s="864">
        <f>IF(INDEX(MO_SNA_IsHistoricalPeriod,,MATCH(F25,MO_Common_ColumnHeader,0)),"Historical","Forward")</f>
        <v/>
      </c>
      <c r="C25" s="668" t="n"/>
      <c r="D25" s="870">
        <f>INDEX(INDIRECT(E25),0,COLUMN(MO_Common_Column_A))</f>
        <v/>
      </c>
      <c r="E25" s="865" t="inlineStr">
        <is>
          <t>MO_RIS_Reported_OperatingIncome_NONGAAP</t>
        </is>
      </c>
      <c r="F25" s="864" t="inlineStr">
        <is>
          <t>Q2-2025</t>
        </is>
      </c>
      <c r="G25" s="864" t="n"/>
      <c r="H25" s="668" t="n"/>
      <c r="I25" s="1561" t="n">
        <v>140</v>
      </c>
      <c r="J25" s="1561" t="n">
        <v>170</v>
      </c>
      <c r="K25" s="1561">
        <f>AVERAGE(I25:J25)</f>
        <v/>
      </c>
      <c r="L25" s="1562" t="n"/>
      <c r="M25" s="1561">
        <f>IF(INDEX(MO_SNA_IsHistoricalPeriod,,MATCH(F25,MO_Common_ColumnHeader,0)),"Actual","Estimate")</f>
        <v/>
      </c>
      <c r="N25" s="1561">
        <f>IFERROR(INDEX(INDIRECT(E25),0,MATCH(F25,MO_Common_ColumnHeader,0)),"N/A")</f>
        <v/>
      </c>
      <c r="O25" s="1562" t="n"/>
      <c r="P25" s="2004">
        <f>IF(ISNUMBER(N25),N25-K25,"N/A")</f>
        <v/>
      </c>
      <c r="Q25" s="2005">
        <f>IFERROR(IF(ISNUMBER(N25),(N25-K25)/ABS(K25),"N/A"),"N/A")</f>
        <v/>
      </c>
      <c r="R25" s="668" t="n"/>
      <c r="S25" s="867" t="n">
        <v>45791</v>
      </c>
      <c r="T25" s="874" t="inlineStr">
        <is>
          <t>Earnings Presentation</t>
        </is>
      </c>
      <c r="U25" s="668" t="n"/>
    </row>
    <row r="26" ht="14.4" customHeight="1" s="877">
      <c r="A26" s="855" t="n">
        <v>2</v>
      </c>
      <c r="B26" s="864">
        <f>IF(INDEX(MO_SNA_IsHistoricalPeriod,,MATCH(F26,MO_Common_ColumnHeader,0)),"Historical","Forward")</f>
        <v/>
      </c>
      <c r="C26" s="668" t="n"/>
      <c r="D26" s="870">
        <f>INDEX(INDIRECT(E26),0,COLUMN(MO_Common_Column_A))</f>
        <v/>
      </c>
      <c r="E26" s="865" t="inlineStr">
        <is>
          <t>MO_RIS_IE_Net</t>
        </is>
      </c>
      <c r="F26" s="864" t="inlineStr">
        <is>
          <t>Q2-2025</t>
        </is>
      </c>
      <c r="G26" s="864" t="n"/>
      <c r="H26" s="668" t="n"/>
      <c r="I26" s="1561" t="n">
        <v>260</v>
      </c>
      <c r="J26" s="1561" t="n">
        <v>300</v>
      </c>
      <c r="K26" s="1561">
        <f>AVERAGE(I26:J26)</f>
        <v/>
      </c>
      <c r="L26" s="1562" t="n"/>
      <c r="M26" s="1561">
        <f>IF(INDEX(MO_SNA_IsHistoricalPeriod,,MATCH(F26,MO_Common_ColumnHeader,0)),"Actual","Estimate")</f>
        <v/>
      </c>
      <c r="N26" s="1561">
        <f>IFERROR(INDEX(INDIRECT(E26),0,MATCH(F26,MO_Common_ColumnHeader,0)),"N/A")</f>
        <v/>
      </c>
      <c r="O26" s="1562" t="n"/>
      <c r="P26" s="2004">
        <f>IF(ISNUMBER(N26),N26-K26,"N/A")</f>
        <v/>
      </c>
      <c r="Q26" s="2005">
        <f>IFERROR(IF(ISNUMBER(N26),(N26-K26)/ABS(K26),"N/A"),"N/A")</f>
        <v/>
      </c>
      <c r="R26" s="668" t="n"/>
      <c r="S26" s="867" t="n">
        <v>45791</v>
      </c>
      <c r="T26" s="874" t="inlineStr">
        <is>
          <t>Earnings Presentation</t>
        </is>
      </c>
      <c r="U26" s="668" t="n"/>
    </row>
    <row r="27" ht="14.4" customHeight="1" s="877">
      <c r="A27" s="855" t="n">
        <v>1</v>
      </c>
      <c r="B27" s="864">
        <f>IF(INDEX(MO_SNA_IsHistoricalPeriod,,MATCH(F27,MO_Common_ColumnHeader,0)),"Historical","Forward")</f>
        <v/>
      </c>
      <c r="C27" s="668" t="n"/>
      <c r="D27" s="870">
        <f>INDEX(INDIRECT(E27),0,COLUMN(MO_Common_Column_A))</f>
        <v/>
      </c>
      <c r="E27" s="865" t="inlineStr">
        <is>
          <t>MO_CFSum_Capex</t>
        </is>
      </c>
      <c r="F27" s="864" t="inlineStr">
        <is>
          <t>Q2-2025</t>
        </is>
      </c>
      <c r="G27" s="864" t="n"/>
      <c r="H27" s="668" t="n"/>
      <c r="I27" s="1561" t="n">
        <v>-3500</v>
      </c>
      <c r="J27" s="1561" t="n">
        <v>-3000</v>
      </c>
      <c r="K27" s="1561">
        <f>AVERAGE(I27:J27)</f>
        <v/>
      </c>
      <c r="L27" s="1562" t="n"/>
      <c r="M27" s="1561">
        <f>IF(INDEX(MO_SNA_IsHistoricalPeriod,,MATCH(F27,MO_Common_ColumnHeader,0)),"Actual","Estimate")</f>
        <v/>
      </c>
      <c r="N27" s="1561">
        <f>IFERROR(INDEX(INDIRECT(E27),0,MATCH(F27,MO_Common_ColumnHeader,0)),"N/A")</f>
        <v/>
      </c>
      <c r="O27" s="1562" t="n"/>
      <c r="P27" s="2004">
        <f>IF(ISNUMBER(N27),N27-K27,"N/A")</f>
        <v/>
      </c>
      <c r="Q27" s="2005">
        <f>IFERROR(IF(ISNUMBER(N27),(N27-K27)/ABS(K27),"N/A"),"N/A")</f>
        <v/>
      </c>
      <c r="R27" s="668" t="n"/>
      <c r="S27" s="867" t="n">
        <v>45791</v>
      </c>
      <c r="T27" s="874" t="inlineStr">
        <is>
          <t>Earnings Presentation</t>
        </is>
      </c>
      <c r="U27" s="668" t="n"/>
    </row>
    <row r="28" ht="14.4" customHeight="1" s="877">
      <c r="A28" s="855" t="n">
        <v>0</v>
      </c>
      <c r="B28" s="668" t="n"/>
      <c r="C28" s="668" t="n"/>
      <c r="D28" s="668" t="n"/>
      <c r="E28" s="857" t="n"/>
      <c r="F28" s="668" t="n"/>
      <c r="G28" s="668" t="n"/>
      <c r="H28" s="668" t="n"/>
      <c r="I28" s="668" t="n"/>
      <c r="J28" s="668" t="n"/>
      <c r="K28" s="668" t="n"/>
      <c r="L28" s="668" t="n"/>
      <c r="M28" s="668" t="n"/>
      <c r="N28" s="668" t="n"/>
      <c r="O28" s="668" t="n"/>
      <c r="P28" s="668" t="n"/>
      <c r="Q28" s="1556" t="n"/>
      <c r="R28" s="668" t="n"/>
      <c r="S28" s="858" t="n"/>
      <c r="T28" s="668" t="n"/>
      <c r="U28" s="668" t="n"/>
    </row>
  </sheetData>
  <autoFilter ref="A5:U5"/>
  <conditionalFormatting sqref="Q1:Q3 Q5 Q24:Q26 Q28">
    <cfRule type="colorScale" priority="25">
      <colorScale>
        <cfvo type="num" val="-0.1"/>
        <cfvo type="num" val="0"/>
        <cfvo type="num" val="0.1"/>
        <color rgb="FFF8696B"/>
        <color rgb="FFFFEB84"/>
        <color rgb="FF63BE7B"/>
      </colorScale>
    </cfRule>
  </conditionalFormatting>
  <conditionalFormatting sqref="Q23">
    <cfRule type="colorScale" priority="23">
      <colorScale>
        <cfvo type="num" val="-0.1"/>
        <cfvo type="num" val="0"/>
        <cfvo type="num" val="0.1"/>
        <color rgb="FFF8696B"/>
        <color rgb="FFFFEB84"/>
        <color rgb="FF63BE7B"/>
      </colorScale>
    </cfRule>
  </conditionalFormatting>
  <conditionalFormatting sqref="Q27">
    <cfRule type="colorScale" priority="22">
      <colorScale>
        <cfvo type="num" val="-0.1"/>
        <cfvo type="num" val="0"/>
        <cfvo type="num" val="0.1"/>
        <color rgb="FFF8696B"/>
        <color rgb="FFFFEB84"/>
        <color rgb="FF63BE7B"/>
      </colorScale>
    </cfRule>
  </conditionalFormatting>
  <conditionalFormatting sqref="Q20:Q21">
    <cfRule type="colorScale" priority="21">
      <colorScale>
        <cfvo type="num" val="-0.1"/>
        <cfvo type="num" val="0"/>
        <cfvo type="num" val="0.1"/>
        <color rgb="FFF8696B"/>
        <color rgb="FFFFEB84"/>
        <color rgb="FF63BE7B"/>
      </colorScale>
    </cfRule>
  </conditionalFormatting>
  <conditionalFormatting sqref="Q22">
    <cfRule type="colorScale" priority="20">
      <colorScale>
        <cfvo type="num" val="-0.1"/>
        <cfvo type="num" val="0"/>
        <cfvo type="num" val="0.1"/>
        <color rgb="FFF8696B"/>
        <color rgb="FFFFEB84"/>
        <color rgb="FF63BE7B"/>
      </colorScale>
    </cfRule>
  </conditionalFormatting>
  <conditionalFormatting sqref="Q15:Q17 Q19">
    <cfRule type="colorScale" priority="14">
      <colorScale>
        <cfvo type="num" val="-0.1"/>
        <cfvo type="num" val="0"/>
        <cfvo type="num" val="0.1"/>
        <color rgb="FFF8696B"/>
        <color rgb="FFFFEB84"/>
        <color rgb="FF63BE7B"/>
      </colorScale>
    </cfRule>
  </conditionalFormatting>
  <conditionalFormatting sqref="Q14">
    <cfRule type="colorScale" priority="13">
      <colorScale>
        <cfvo type="num" val="-0.1"/>
        <cfvo type="num" val="0"/>
        <cfvo type="num" val="0.1"/>
        <color rgb="FFF8696B"/>
        <color rgb="FFFFEB84"/>
        <color rgb="FF63BE7B"/>
      </colorScale>
    </cfRule>
  </conditionalFormatting>
  <conditionalFormatting sqref="Q18">
    <cfRule type="colorScale" priority="12">
      <colorScale>
        <cfvo type="num" val="-0.1"/>
        <cfvo type="num" val="0"/>
        <cfvo type="num" val="0.1"/>
        <color rgb="FFF8696B"/>
        <color rgb="FFFFEB84"/>
        <color rgb="FF63BE7B"/>
      </colorScale>
    </cfRule>
  </conditionalFormatting>
  <conditionalFormatting sqref="Q11:Q12">
    <cfRule type="colorScale" priority="11">
      <colorScale>
        <cfvo type="num" val="-0.1"/>
        <cfvo type="num" val="0"/>
        <cfvo type="num" val="0.1"/>
        <color rgb="FFF8696B"/>
        <color rgb="FFFFEB84"/>
        <color rgb="FF63BE7B"/>
      </colorScale>
    </cfRule>
  </conditionalFormatting>
  <conditionalFormatting sqref="Q13">
    <cfRule type="colorScale" priority="10">
      <colorScale>
        <cfvo type="num" val="-0.1"/>
        <cfvo type="num" val="0"/>
        <cfvo type="num" val="0.1"/>
        <color rgb="FFF8696B"/>
        <color rgb="FFFFEB84"/>
        <color rgb="FF63BE7B"/>
      </colorScale>
    </cfRule>
  </conditionalFormatting>
  <conditionalFormatting sqref="Q10">
    <cfRule type="colorScale" priority="4">
      <colorScale>
        <cfvo type="num" val="-0.1"/>
        <cfvo type="num" val="0"/>
        <cfvo type="num" val="0.1"/>
        <color rgb="FFF8696B"/>
        <color rgb="FFFFEB84"/>
        <color rgb="FF63BE7B"/>
      </colorScale>
    </cfRule>
  </conditionalFormatting>
  <conditionalFormatting sqref="Q6:Q7">
    <cfRule type="colorScale" priority="3">
      <colorScale>
        <cfvo type="num" val="-0.1"/>
        <cfvo type="num" val="0"/>
        <cfvo type="num" val="0.1"/>
        <color rgb="FFF8696B"/>
        <color rgb="FFFFEB84"/>
        <color rgb="FF63BE7B"/>
      </colorScale>
    </cfRule>
  </conditionalFormatting>
  <conditionalFormatting sqref="Q9">
    <cfRule type="colorScale" priority="2">
      <colorScale>
        <cfvo type="num" val="-0.1"/>
        <cfvo type="num" val="0"/>
        <cfvo type="num" val="0.1"/>
        <color rgb="FFF8696B"/>
        <color rgb="FFFFEB84"/>
        <color rgb="FF63BE7B"/>
      </colorScale>
    </cfRule>
  </conditionalFormatting>
  <conditionalFormatting sqref="Q8">
    <cfRule type="colorScale" priority="1">
      <colorScale>
        <cfvo type="num" val="-0.1"/>
        <cfvo type="num" val="0"/>
        <cfvo type="num" val="0.1"/>
        <color rgb="FFF8696B"/>
        <color rgb="FFFFEB84"/>
        <color rgb="FF63BE7B"/>
      </colorScale>
    </cfRule>
  </conditionalFormatting>
  <hyperlinks>
    <hyperlink xmlns:r="http://schemas.openxmlformats.org/officeDocument/2006/relationships" ref="T6" display="Earnings Presentation" r:id="rId1"/>
    <hyperlink xmlns:r="http://schemas.openxmlformats.org/officeDocument/2006/relationships" ref="T7" display="Earnings Presentation" r:id="rId2"/>
    <hyperlink xmlns:r="http://schemas.openxmlformats.org/officeDocument/2006/relationships" ref="T8" display="Earnings Presentation" r:id="rId3"/>
    <hyperlink xmlns:r="http://schemas.openxmlformats.org/officeDocument/2006/relationships" ref="T9" display="Earnings Presentation" r:id="rId4"/>
    <hyperlink xmlns:r="http://schemas.openxmlformats.org/officeDocument/2006/relationships" ref="T11" display="Earnings Presentation" r:id="rId5"/>
    <hyperlink xmlns:r="http://schemas.openxmlformats.org/officeDocument/2006/relationships" ref="T12" display="Earnings Presentation" r:id="rId6"/>
    <hyperlink xmlns:r="http://schemas.openxmlformats.org/officeDocument/2006/relationships" ref="T13" display="Earnings Presentation" r:id="rId7"/>
    <hyperlink xmlns:r="http://schemas.openxmlformats.org/officeDocument/2006/relationships" ref="T15" display="Earnings Presentation" r:id="rId8"/>
    <hyperlink xmlns:r="http://schemas.openxmlformats.org/officeDocument/2006/relationships" ref="T16" display="Earnings Presentation" r:id="rId9"/>
    <hyperlink xmlns:r="http://schemas.openxmlformats.org/officeDocument/2006/relationships" ref="T17" display="Earnings Presentation" r:id="rId10"/>
    <hyperlink xmlns:r="http://schemas.openxmlformats.org/officeDocument/2006/relationships" ref="T18" display="Earnings Presentation" r:id="rId11"/>
    <hyperlink xmlns:r="http://schemas.openxmlformats.org/officeDocument/2006/relationships" ref="T20" display="Earnings Presentation" r:id="rId12"/>
    <hyperlink xmlns:r="http://schemas.openxmlformats.org/officeDocument/2006/relationships" ref="T21" display="Earnings Presentation" r:id="rId13"/>
    <hyperlink xmlns:r="http://schemas.openxmlformats.org/officeDocument/2006/relationships" ref="T22" display="Earnings Presentation" r:id="rId14"/>
    <hyperlink xmlns:r="http://schemas.openxmlformats.org/officeDocument/2006/relationships" ref="T24" display="Earnings Presentation" r:id="rId15"/>
    <hyperlink xmlns:r="http://schemas.openxmlformats.org/officeDocument/2006/relationships" ref="T25" display="Earnings Presentation" r:id="rId16"/>
    <hyperlink xmlns:r="http://schemas.openxmlformats.org/officeDocument/2006/relationships" ref="T26" display="Earnings Presentation" r:id="rId17"/>
    <hyperlink xmlns:r="http://schemas.openxmlformats.org/officeDocument/2006/relationships" ref="T27" display="Earnings Presentation" r:id="rId18"/>
  </hyperlinks>
  <pageMargins left="0.7" right="0.7" top="0.75" bottom="0.75" header="0.3" footer="0.3"/>
  <pageSetup orientation="portrait" paperSize="1"/>
</worksheet>
</file>

<file path=xl/worksheets/sheet5.xml><?xml version="1.0" encoding="utf-8"?>
<worksheet xmlns="http://schemas.openxmlformats.org/spreadsheetml/2006/main">
  <sheetPr>
    <outlinePr summaryBelow="1" summaryRight="1"/>
    <pageSetUpPr/>
  </sheetPr>
  <dimension ref="A1:AX115"/>
  <sheetViews>
    <sheetView topLeftCell="A1" workbookViewId="0">
      <selection activeCell="A1" sqref="A1"/>
    </sheetView>
  </sheetViews>
  <sheetFormatPr baseColWidth="8" defaultRowHeight="14.4" outlineLevelRow="1"/>
  <cols>
    <col width="82.5714285714286" bestFit="1" customWidth="1" style="877" min="1" max="1"/>
    <col width="9.71428571428571" customWidth="1" style="877" min="2" max="2"/>
    <col width="13.2857142857143" bestFit="1" customWidth="1" style="877" min="3" max="3"/>
    <col width="11.2857142857143" customWidth="1" style="877" min="4" max="4"/>
    <col width="9.71428571428571" customWidth="1" style="877" min="5" max="7"/>
    <col width="10.1428571428571" bestFit="1" customWidth="1" style="877" min="8" max="8"/>
  </cols>
  <sheetData>
    <row r="1" ht="28.8" customHeight="1" s="877">
      <c r="A1" s="2002">
        <f>MO.CompanyName</f>
        <v/>
      </c>
      <c r="B1" s="1422" t="n"/>
      <c r="C1" s="1422" t="n"/>
      <c r="D1" s="1422" t="n"/>
      <c r="E1" s="1422" t="n"/>
      <c r="F1" s="1422" t="n"/>
      <c r="G1" s="1422" t="n"/>
      <c r="H1" s="476" t="n"/>
      <c r="I1" s="476" t="n"/>
      <c r="J1" s="476" t="n"/>
      <c r="K1" s="566" t="n"/>
    </row>
    <row r="2" ht="15" customHeight="1" s="877">
      <c r="A2" s="2006">
        <f>CHOOSE(MO.DataSourceIndex,MO.Ticker.Bloomberg,MO.Ticker.CapIQ,MO.Ticker.FactSet,MO.Ticker.Thomson)</f>
        <v/>
      </c>
      <c r="B2" s="530" t="n"/>
      <c r="C2" s="511" t="n"/>
      <c r="D2" s="511" t="n"/>
      <c r="E2" s="511" t="n"/>
      <c r="F2" s="579" t="n"/>
      <c r="G2" s="579" t="n"/>
      <c r="H2" s="476" t="n"/>
      <c r="I2" s="476" t="n"/>
      <c r="J2" s="476" t="n"/>
      <c r="K2" s="566" t="n"/>
    </row>
    <row r="3" ht="14.4" customHeight="1" s="877">
      <c r="A3" s="2007" t="inlineStr">
        <is>
          <t>Last Update Event:</t>
        </is>
      </c>
      <c r="B3" s="476" t="n"/>
      <c r="C3" s="578">
        <f>FP.UpdateEvent</f>
        <v/>
      </c>
      <c r="D3" s="568" t="n"/>
      <c r="E3" s="568" t="n"/>
      <c r="F3" s="567" t="n"/>
      <c r="G3" s="567" t="n"/>
      <c r="H3" s="476" t="n"/>
      <c r="I3" s="476" t="n"/>
      <c r="J3" s="476" t="n"/>
      <c r="K3" s="566" t="n"/>
    </row>
    <row r="4" ht="14.4" customHeight="1" s="877">
      <c r="A4" s="2007" t="inlineStr">
        <is>
          <t>Period of the IPO:</t>
        </is>
      </c>
      <c r="B4" s="476" t="n"/>
      <c r="C4" s="578" t="inlineStr">
        <is>
          <t>Q1-2025</t>
        </is>
      </c>
      <c r="D4" s="568" t="n"/>
      <c r="E4" s="568" t="n"/>
      <c r="F4" s="567" t="n"/>
      <c r="G4" s="567" t="n"/>
      <c r="H4" s="476" t="n"/>
      <c r="I4" s="476" t="n"/>
      <c r="J4" s="476" t="n"/>
      <c r="K4" s="566" t="n"/>
    </row>
    <row r="5" ht="15.75" customHeight="1" s="877">
      <c r="A5" s="2007" t="inlineStr">
        <is>
          <t>Trading Date:</t>
        </is>
      </c>
      <c r="B5" s="476" t="n"/>
      <c r="C5" s="601" t="n">
        <v>45744</v>
      </c>
      <c r="D5" s="568" t="n"/>
      <c r="E5" s="568" t="n"/>
      <c r="F5" s="567" t="n"/>
      <c r="G5" s="567" t="n"/>
      <c r="H5" s="476" t="n"/>
      <c r="I5" s="476" t="n"/>
      <c r="J5" s="476" t="n"/>
      <c r="K5" s="566" t="n"/>
    </row>
    <row r="6" hidden="1" outlineLevel="1" ht="15.75" customHeight="1" s="877">
      <c r="A6" s="2008" t="inlineStr">
        <is>
          <t>Commenced Trading:</t>
        </is>
      </c>
      <c r="B6" s="574" t="n"/>
      <c r="C6" s="576">
        <f>IFERROR(AND(ISNUMBER(IPO.TradingDate),TODAY()&gt;=IPO.TradingDate),FALSE)</f>
        <v/>
      </c>
      <c r="D6" s="575" t="n"/>
      <c r="E6" s="575" t="n"/>
      <c r="F6" s="211" t="n"/>
      <c r="G6" s="211" t="n"/>
      <c r="H6" s="574" t="n"/>
      <c r="I6" s="574" t="n"/>
      <c r="J6" s="574" t="n"/>
      <c r="K6" s="573" t="n"/>
      <c r="L6" s="572" t="n"/>
      <c r="M6" s="572" t="n"/>
      <c r="N6" s="572" t="n"/>
      <c r="O6" s="572" t="n"/>
      <c r="P6" s="572" t="n"/>
      <c r="Q6" s="572" t="n"/>
      <c r="R6" s="572" t="n"/>
      <c r="S6" s="572" t="n"/>
      <c r="T6" s="572" t="n"/>
      <c r="U6" s="572" t="n"/>
      <c r="V6" s="572" t="n"/>
      <c r="W6" s="572" t="n"/>
      <c r="X6" s="572" t="n"/>
      <c r="Y6" s="572" t="n"/>
      <c r="Z6" s="572" t="n"/>
      <c r="AA6" s="572" t="n"/>
      <c r="AB6" s="572" t="n"/>
      <c r="AC6" s="572" t="n"/>
      <c r="AD6" s="572" t="n"/>
      <c r="AE6" s="572" t="n"/>
      <c r="AF6" s="572" t="n"/>
      <c r="AG6" s="572" t="n"/>
      <c r="AH6" s="572" t="n"/>
      <c r="AI6" s="572" t="n"/>
      <c r="AJ6" s="572" t="n"/>
      <c r="AK6" s="572" t="n"/>
      <c r="AL6" s="572" t="n"/>
      <c r="AM6" s="572" t="n"/>
      <c r="AN6" s="572" t="n"/>
      <c r="AO6" s="572" t="n"/>
      <c r="AP6" s="572" t="n"/>
      <c r="AQ6" s="572" t="n"/>
      <c r="AR6" s="572" t="n"/>
      <c r="AS6" s="572" t="n"/>
      <c r="AT6" s="572" t="n"/>
      <c r="AU6" s="572" t="n"/>
      <c r="AV6" s="572" t="n"/>
      <c r="AW6" s="572" t="n"/>
      <c r="AX6" s="572" t="n"/>
    </row>
    <row r="7" collapsed="1" ht="15.75" customHeight="1" s="877">
      <c r="A7" s="2007" t="n"/>
      <c r="B7" s="570" t="n"/>
      <c r="C7" s="569" t="n"/>
      <c r="D7" s="568" t="n"/>
      <c r="E7" s="568" t="n"/>
      <c r="F7" s="567" t="n"/>
      <c r="G7" s="567" t="n"/>
      <c r="H7" s="476" t="n"/>
      <c r="I7" s="476" t="n"/>
      <c r="J7" s="476" t="n"/>
      <c r="K7" s="566" t="n"/>
    </row>
    <row r="8" ht="15.75" customHeight="1" s="877">
      <c r="A8" s="2009" t="inlineStr">
        <is>
          <t>Total Transaction Summary</t>
        </is>
      </c>
      <c r="B8" s="1433" t="n"/>
      <c r="C8" s="1433" t="n"/>
      <c r="D8" s="512" t="n"/>
      <c r="E8" s="476" t="n"/>
      <c r="F8" s="476" t="n"/>
      <c r="G8" s="476" t="n"/>
      <c r="H8" s="476" t="n"/>
      <c r="I8" s="476" t="n"/>
      <c r="J8" s="476" t="n"/>
      <c r="K8" s="530" t="n"/>
    </row>
    <row r="9" ht="15.75" customHeight="1" s="877">
      <c r="A9" s="556" t="inlineStr">
        <is>
          <t>IPO Price in Reporting Currency, $</t>
        </is>
      </c>
      <c r="C9" s="2010" t="n">
        <v>40</v>
      </c>
      <c r="D9" s="2011">
        <f>IF(_xlfn.ISFORMULA(C9),"Dependant","Variable")</f>
        <v/>
      </c>
      <c r="E9" s="476" t="n"/>
      <c r="F9" s="2009" t="inlineStr">
        <is>
          <t>Lock-Up Agreements</t>
        </is>
      </c>
      <c r="G9" s="565" t="n"/>
      <c r="H9" s="565" t="n"/>
      <c r="I9" s="565" t="n"/>
      <c r="J9" s="564" t="n"/>
      <c r="K9" s="530" t="n"/>
    </row>
    <row r="10" ht="15.75" customHeight="1" s="877">
      <c r="A10" s="537" t="inlineStr">
        <is>
          <t>Total Shares Issued in Financing Including Secondary, mm</t>
        </is>
      </c>
      <c r="B10" s="2012" t="n"/>
      <c r="C10" s="2013">
        <f>C19</f>
        <v/>
      </c>
      <c r="D10" s="2014" t="n"/>
      <c r="E10" s="476" t="n"/>
      <c r="F10" s="2015" t="inlineStr">
        <is>
          <t>In connection with this offering, all of our directors and executive officers, the selling stockholders, and certain other holders that together represent approximately 84.0% of our outstanding Class A common stock and securities directly or indirectly convertible into or exchangeable or exercisable for our Class A common stock are subject to lock-up agreements with the underwriters pursuant to which they have agreed, subject to certain exceptions, that without the prior written consent of Morgan Stanley &amp; Co. LLC (“Morgan Stanley”), on behalf of the underwriters, and Magnetar, they will not, in accordance with the terms of such agreements during the period ending on the earlier of (i) the close of trading on the second trading day after the date that we publicly announce earnings for the second quarter following the most recent period for which financial statements are included in this prospectus, and (ii) 180 days after the date of this prospectus (such period, the “Lock-up Period”):
(1) offer, pledge, sell, contract to sell, sell any option or contract to purchase, purchase any option or contract to sell, grant any option, right, or warrant to purchase, lend, or otherwise transfer or dispose of, directly or indirectly, any shares of our Class A common stock and securities directly or indirectly convertible into or exchangeable or exercisable for our Class A common stock;
(2) enter into any swap, hedging transaction, or other arrangement that transfers to another, in whole or in part, any of the economic consequences of ownership of our Class A common stock, whether any such transaction described above is to be settled by delivery of our Class A common stock or such other securities, in cash or otherwise;
(3) publicly disclose the intention to take any of the actions restricted by clause (1) or (2) above; or
(4) make any demand for, or exercise any right with respect to, the registration of any shares of our Class A common stock or any security convertible into or exercisable or exchangeable for our Class A common stock.
Furthermore, an additional approximately 14.3% of our outstanding Class A common stock and securities directly or indirectly convertible into or exchangeable or exercisable for our Class A common stock are subject to the market standoff provisions, pursuant to which such holders agreed to not lend, offer, sell, contract to sell, sell any option or contract to purchase, purchase any option or contract to sell, grant any option, right, or warrant to purchase, or otherwise transfer or dispose of, directly or indirectly, any shares of our Class A common stock or any securities convertible into or exercisable or exchangeable for our Class A common stock held immediately prior to the effectiveness of this registration statement, or enter into any swap or other arrangement that transfers to another, in whole or in part, any of the economic consequences of ownership of such Class A common stock during the Lock-up Period. The forms and specific restrictive provisions within these market standoff provisions vary among security holders. For example, although some of these market standoff agreements do not specifically restrict hedging transactions and others may be subject to different interpretations between us and security holders as to whether they restrict hedging, our insider trading policy prohibits hedging by all of our current directors, officers, employees, contractors, and consultants. Sales, short sales, or hedging transactions involving our equity securities, whether before or after this offering and whether or not we believe them to be prohibited, could adversely affect the price of our Class A common stock.
As a result of the foregoing, substantially all of our outstanding Class A common stock and securities directly or indirectly convertible into or exchangeable or exercisable for our Class A common stock are subject to a lock-up agreement or market standoff provisions during the Lock-up Period. We have agreed to enforce all such market standoff restrictions on behalf of the underwriters and not to amend or waive any such market standoff provisions during the Lock-up Period without the prior written consent of Magnetar and Morgan Stanley, on behalf of the underwriters, provided that we may release shares from such restrictions to the extent such shares would be entitled to release under the form of lock-up agreement with the underwriters entered into by our directors and executive officers, the selling stockholders, and certain other holders of our securities as described herein.
Certain of our security holders that are not bound by market standoff restrictions or lock-up agreements could enter into transactions with respect to those shares of our Class A common stock that negatively impact our stock price. In addition, a security holder who is neither subject to market standoff restrictions with us nor a lock-up agreement with the underwriters may be able to sell, short sell, transfer, pledge, or otherwise dispose of or attempt to sell, short sell, transfer, hedge, pledge, or otherwise dispose of their equity interests at any time, subject to our insider trading policy, as applicable, and applicable securities laws.
In addition, pursuant to certain exceptions to the lock-up agreements and market standoff agreements, up to approximately 727,342 shares of our Class A common stock will be eligible for sale in the open market during the Lock-up Period in sell-to-cover transactions in order to satisfy tax withholding obligations. Furthermore, approximately 963,140 shares of our outstanding Class A common stock and securities directly or indirectly convertible into or exchangeable or exercisable for our common stock held by our current employees and service providers (excluding the Management Holders and directors) may be sold at the close of trading of the second trading day after the date that we publicly announce earnings for the first quarter following the most recent period for which financial statements are included in this prospectus, if the closing price per share of our Class A common stock on Nasdaq for any five trading days out of the ten consecutive trading day period including at least one day occurring after the Initial Post-Offering Earnings Release Date is at least 25% greater than the initial public offering price of our Class A common stock set forth on the cover of this prospectus.
(Page 229-230)</t>
        </is>
      </c>
      <c r="G10" s="1406" t="n"/>
      <c r="H10" s="1406" t="n"/>
      <c r="I10" s="1406" t="n"/>
      <c r="J10" s="1407" t="n"/>
      <c r="K10" s="530" t="n"/>
    </row>
    <row r="11" ht="15.75" customHeight="1" s="877">
      <c r="A11" s="2016" t="inlineStr">
        <is>
          <t>Total Transaction Size, mm</t>
        </is>
      </c>
      <c r="B11" s="2017" t="n"/>
      <c r="C11" s="2017">
        <f>C9*C10</f>
        <v/>
      </c>
      <c r="D11" s="2014" t="n"/>
      <c r="E11" s="476" t="n"/>
      <c r="F11" s="1408" t="n"/>
      <c r="J11" s="1409" t="n"/>
      <c r="K11" s="530" t="n"/>
    </row>
    <row r="12" ht="15.75" customHeight="1" s="877">
      <c r="A12" s="556" t="n"/>
      <c r="B12" s="2018" t="n"/>
      <c r="C12" s="2019" t="n"/>
      <c r="D12" s="2014" t="n"/>
      <c r="E12" s="476" t="n"/>
      <c r="F12" s="1408" t="n"/>
      <c r="J12" s="1409" t="n"/>
      <c r="K12" s="530" t="n"/>
    </row>
    <row r="13" ht="15.75" customHeight="1" s="877">
      <c r="A13" s="552" t="inlineStr">
        <is>
          <t>Class A Treasury IPO Shares Issued, mm</t>
        </is>
      </c>
      <c r="B13" s="2020" t="n"/>
      <c r="C13" s="2021" t="n">
        <v>36.59</v>
      </c>
      <c r="D13" s="2011">
        <f>IF(_xlfn.ISFORMULA(C13),"Dependant","Variable")</f>
        <v/>
      </c>
      <c r="E13" s="476" t="n"/>
      <c r="F13" s="1408" t="n"/>
      <c r="J13" s="1409" t="n"/>
      <c r="K13" s="530" t="n"/>
    </row>
    <row r="14" ht="15.75" customHeight="1" s="877">
      <c r="A14" s="552" t="inlineStr">
        <is>
          <t>Class A Treasury Shares Issued from Overallotment, mm</t>
        </is>
      </c>
      <c r="B14" s="2022">
        <f>5.625/IPO.TreasurySharesIssued</f>
        <v/>
      </c>
      <c r="C14" s="1896">
        <f>IF(D14="Yes",C13*B14,0)</f>
        <v/>
      </c>
      <c r="D14" s="558" t="inlineStr">
        <is>
          <t>Yes</t>
        </is>
      </c>
      <c r="F14" s="1408" t="n"/>
      <c r="J14" s="1409" t="n"/>
      <c r="K14" s="530" t="n"/>
    </row>
    <row r="15" ht="15.75" customHeight="1" s="877">
      <c r="A15" s="552" t="inlineStr">
        <is>
          <t>Class A Treasury Shares Issued in Concurrent Private Placement, mm</t>
        </is>
      </c>
      <c r="B15" s="2022" t="n"/>
      <c r="C15" s="1896" t="n">
        <v>0</v>
      </c>
      <c r="D15" s="2011" t="n"/>
      <c r="E15" s="476" t="n"/>
      <c r="F15" s="1408" t="n"/>
      <c r="J15" s="1409" t="n"/>
      <c r="K15" s="530" t="n"/>
    </row>
    <row r="16" ht="15.75" customHeight="1" s="877">
      <c r="A16" s="551" t="inlineStr">
        <is>
          <t xml:space="preserve">Class A Treasury IPO Shares Issued Including Overallotment, mm </t>
        </is>
      </c>
      <c r="B16" s="2023" t="n"/>
      <c r="C16" s="2024">
        <f>C13+C14+C15</f>
        <v/>
      </c>
      <c r="D16" s="2011" t="n"/>
      <c r="E16" s="476" t="n"/>
      <c r="F16" s="1408" t="n"/>
      <c r="J16" s="1409" t="n"/>
      <c r="K16" s="530" t="n"/>
    </row>
    <row r="17" ht="15.75" customHeight="1" s="877">
      <c r="A17" s="539" t="inlineStr">
        <is>
          <t>Class A Secondary Shares Issued, mm</t>
        </is>
      </c>
      <c r="B17" s="2020" t="n"/>
      <c r="C17" s="2021" t="n">
        <v>0.91</v>
      </c>
      <c r="D17" s="476" t="n"/>
      <c r="E17" s="476" t="n"/>
      <c r="F17" s="1408" t="n"/>
      <c r="J17" s="1409" t="n"/>
      <c r="K17" s="530" t="n"/>
    </row>
    <row r="18" ht="15.75" customHeight="1" s="877">
      <c r="A18" s="537" t="inlineStr">
        <is>
          <t>Secondary Shares Issued from Overallotment, mm</t>
        </is>
      </c>
      <c r="B18" s="2025" t="n">
        <v>0</v>
      </c>
      <c r="C18" s="2026">
        <f>IF(D18="Yes",C17*B18,0)</f>
        <v/>
      </c>
      <c r="D18" s="558" t="inlineStr">
        <is>
          <t>No</t>
        </is>
      </c>
      <c r="E18" s="476" t="n"/>
      <c r="F18" s="1408" t="n"/>
      <c r="J18" s="1409" t="n"/>
      <c r="K18" s="530" t="n"/>
    </row>
    <row r="19" ht="15.75" customHeight="1" s="877">
      <c r="A19" s="2027" t="inlineStr">
        <is>
          <t>Total Shares Issued in Financing Including Secondary, mm</t>
        </is>
      </c>
      <c r="B19" s="2017" t="n"/>
      <c r="C19" s="2017">
        <f>C16+C17+C18</f>
        <v/>
      </c>
      <c r="D19" s="476" t="n"/>
      <c r="E19" s="476" t="n"/>
      <c r="F19" s="1410" t="n"/>
      <c r="G19" s="1411" t="n"/>
      <c r="H19" s="1411" t="n"/>
      <c r="I19" s="1411" t="n"/>
      <c r="J19" s="1412" t="n"/>
      <c r="K19" s="530" t="n"/>
    </row>
    <row r="20" ht="15.75" customHeight="1" s="877">
      <c r="A20" s="556" t="n"/>
      <c r="B20" s="2010" t="n"/>
      <c r="C20" s="2010" t="n"/>
      <c r="D20" s="2014" t="n"/>
      <c r="E20" s="476" t="n"/>
      <c r="F20" s="554" t="n"/>
      <c r="G20" s="554" t="n"/>
      <c r="H20" s="554" t="n"/>
      <c r="I20" s="554" t="n"/>
      <c r="J20" s="554" t="n"/>
      <c r="K20" s="530" t="n"/>
    </row>
    <row r="21" ht="15.75" customHeight="1" s="877">
      <c r="A21" s="2009" t="inlineStr">
        <is>
          <t>IPO Proceeds Details</t>
        </is>
      </c>
      <c r="B21" s="2028" t="n"/>
      <c r="C21" s="2028" t="n"/>
      <c r="D21" s="512" t="n"/>
      <c r="E21" s="476" t="n"/>
      <c r="F21" s="476" t="n"/>
      <c r="G21" s="476" t="n"/>
      <c r="H21" s="476" t="n"/>
      <c r="I21" s="476" t="n"/>
      <c r="J21" s="476" t="n"/>
      <c r="K21" s="530" t="n"/>
    </row>
    <row r="22" ht="15.75" customHeight="1" s="877">
      <c r="A22" s="552" t="inlineStr">
        <is>
          <t>Gross IPO Amount to Company, mm</t>
        </is>
      </c>
      <c r="B22" s="597" t="n"/>
      <c r="C22" s="2021">
        <f>C9*C13</f>
        <v/>
      </c>
      <c r="D22" s="2011">
        <f>IF(_xlfn.ISFORMULA(C22),"Dependant","Variable")</f>
        <v/>
      </c>
      <c r="E22" s="476" t="n"/>
      <c r="F22" s="476" t="n"/>
      <c r="G22" s="476" t="n"/>
      <c r="H22" s="476" t="n"/>
      <c r="I22" s="476" t="n"/>
      <c r="J22" s="476" t="n"/>
      <c r="K22" s="530" t="n"/>
    </row>
    <row r="23" ht="15.75" customHeight="1" s="877">
      <c r="A23" s="552" t="inlineStr">
        <is>
          <t>Gross Overallotment Amount to Company, mm</t>
        </is>
      </c>
      <c r="B23" s="2022" t="n"/>
      <c r="C23" s="1896">
        <f>C9*C14</f>
        <v/>
      </c>
      <c r="D23" s="2014" t="n"/>
      <c r="E23" s="2029" t="n"/>
      <c r="F23" s="2030" t="n"/>
      <c r="G23" s="2030" t="n"/>
      <c r="H23" s="2030" t="n"/>
      <c r="I23" s="2030" t="n"/>
      <c r="J23" s="2030" t="n"/>
      <c r="K23" s="530" t="n"/>
    </row>
    <row r="24" ht="15.75" customHeight="1" s="877">
      <c r="A24" s="552" t="inlineStr">
        <is>
          <t>Gross Amount from Concurrent Private Placement, mm</t>
        </is>
      </c>
      <c r="B24" s="2022" t="n"/>
      <c r="C24" s="1896">
        <f>C9*C15</f>
        <v/>
      </c>
      <c r="D24" s="2014" t="n"/>
      <c r="E24" s="2029" t="n"/>
      <c r="F24" s="2030" t="n"/>
      <c r="G24" s="2030" t="n"/>
      <c r="H24" s="2030" t="n"/>
      <c r="I24" s="2030" t="n"/>
      <c r="J24" s="2030" t="n"/>
      <c r="K24" s="530" t="n"/>
    </row>
    <row r="25" ht="15.75" customHeight="1" s="877">
      <c r="A25" s="551" t="inlineStr">
        <is>
          <t>Total Gross IPO Amount to Company Including Overallotment, mm</t>
        </is>
      </c>
      <c r="B25" s="2031" t="n"/>
      <c r="C25" s="2032">
        <f>C22+C23+C24</f>
        <v/>
      </c>
      <c r="D25" s="2014" t="n"/>
      <c r="E25" s="2029" t="n"/>
      <c r="F25" s="2030" t="n"/>
      <c r="G25" s="2030" t="n"/>
      <c r="H25" s="2030" t="n"/>
      <c r="I25" s="2030" t="n"/>
      <c r="J25" s="2030" t="n"/>
      <c r="K25" s="530" t="n"/>
    </row>
    <row r="26" ht="15.75" customHeight="1" s="877">
      <c r="A26" s="539" t="inlineStr">
        <is>
          <t>IPO Fees Dependant on Transaction Size, mm</t>
        </is>
      </c>
      <c r="B26" s="1478">
        <f>IF(IPO.OverallotmentToggle="No",0.024596,0.036124)</f>
        <v/>
      </c>
      <c r="C26" s="2033">
        <f>-B26*C25</f>
        <v/>
      </c>
      <c r="D26" s="2014" t="n"/>
      <c r="E26" s="2029" t="n"/>
      <c r="F26" s="2030" t="n"/>
      <c r="G26" s="2030" t="n"/>
      <c r="H26" s="2030" t="n"/>
      <c r="I26" s="2030" t="n"/>
      <c r="J26" s="2030" t="n"/>
      <c r="K26" s="530" t="n"/>
    </row>
    <row r="27" ht="15.75" customHeight="1" s="877">
      <c r="A27" s="537" t="inlineStr">
        <is>
          <t>Other IPO expenses, mm</t>
        </is>
      </c>
      <c r="B27" s="2034" t="n"/>
      <c r="C27" s="2035" t="n">
        <v>-27.6</v>
      </c>
      <c r="D27" s="2014" t="n"/>
      <c r="E27" s="2029" t="n"/>
      <c r="F27" s="2030" t="n"/>
      <c r="G27" s="2030" t="n"/>
      <c r="H27" s="2030" t="n"/>
      <c r="I27" s="2030" t="n"/>
      <c r="J27" s="2030" t="n"/>
      <c r="K27" s="530" t="n"/>
    </row>
    <row r="28" ht="15.75" customHeight="1" s="877">
      <c r="A28" s="2027" t="inlineStr">
        <is>
          <t>IPO Amount to Company Including Overallotment Less Fees, mm</t>
        </is>
      </c>
      <c r="B28" s="2036" t="n"/>
      <c r="C28" s="2017">
        <f>C25+C26+C27</f>
        <v/>
      </c>
      <c r="D28" s="2037" t="n"/>
      <c r="E28" s="2029" t="n"/>
      <c r="F28" s="2030" t="n"/>
      <c r="G28" s="2030" t="n"/>
      <c r="H28" s="2030" t="n"/>
      <c r="I28" s="2030" t="n"/>
      <c r="J28" s="2030" t="n"/>
      <c r="K28" s="530" t="n"/>
    </row>
    <row r="29" ht="15.75" customHeight="1" s="877">
      <c r="A29" s="546" t="n"/>
      <c r="B29" s="533" t="n"/>
      <c r="C29" s="533" t="n"/>
      <c r="D29" s="512" t="n"/>
      <c r="F29" s="530" t="n"/>
      <c r="G29" s="530" t="n"/>
      <c r="H29" s="530" t="n"/>
      <c r="I29" s="476" t="n"/>
      <c r="J29" s="476" t="n"/>
      <c r="K29" s="476" t="n"/>
    </row>
    <row r="30" ht="15.75" customHeight="1" s="877">
      <c r="A30" s="2009" t="inlineStr">
        <is>
          <t>Share Analysis</t>
        </is>
      </c>
      <c r="B30" s="1434" t="n"/>
      <c r="C30" s="1434" t="n"/>
      <c r="D30" s="512" t="n"/>
      <c r="E30" s="511" t="n"/>
      <c r="F30" s="530" t="n"/>
      <c r="G30" s="530" t="n"/>
      <c r="H30" s="476" t="n"/>
      <c r="I30" s="476" t="n"/>
      <c r="J30" s="476" t="n"/>
      <c r="K30" s="476" t="n"/>
    </row>
    <row r="31" ht="15.75" customHeight="1" s="877">
      <c r="A31" s="2038" t="inlineStr">
        <is>
          <t>Pre-Existing Class A Common Shares, mm</t>
        </is>
      </c>
      <c r="B31" s="2039" t="n"/>
      <c r="C31" s="2039" t="n">
        <v>300.657406</v>
      </c>
      <c r="D31" s="2014" t="n"/>
      <c r="E31" s="511" t="n"/>
      <c r="F31" s="530" t="n"/>
      <c r="G31" s="530" t="n"/>
      <c r="H31" s="2029" t="n"/>
      <c r="I31" s="2029" t="n"/>
      <c r="J31" s="2029" t="n"/>
      <c r="K31" s="476" t="n"/>
    </row>
    <row r="32" ht="15.75" customHeight="1" s="877">
      <c r="A32" s="2040" t="inlineStr">
        <is>
          <t>Pre-Existing Class B Common Shares, mm</t>
        </is>
      </c>
      <c r="B32" s="2041" t="n"/>
      <c r="C32" s="2041" t="n">
        <v>118.10204</v>
      </c>
      <c r="D32" s="2014" t="n"/>
      <c r="E32" s="511" t="n"/>
      <c r="F32" s="2029" t="n"/>
      <c r="G32" s="2029" t="n"/>
      <c r="H32" s="2029" t="n"/>
      <c r="I32" s="2029" t="n"/>
      <c r="J32" s="2029" t="n"/>
      <c r="K32" s="476" t="n"/>
    </row>
    <row r="33" ht="15.75" customHeight="1" s="877">
      <c r="A33" s="2042" t="inlineStr">
        <is>
          <t>Pre-IPO Pro Forma Shares, mm</t>
        </is>
      </c>
      <c r="B33" s="2036" t="n"/>
      <c r="C33" s="2036">
        <f>C31+C32</f>
        <v/>
      </c>
      <c r="D33" s="2014" t="n"/>
      <c r="E33" s="511" t="n"/>
      <c r="F33" s="2030" t="n"/>
      <c r="G33" s="2030" t="n"/>
      <c r="H33" s="2030" t="n"/>
      <c r="I33" s="2030" t="n"/>
      <c r="J33" s="2030" t="n"/>
      <c r="K33" s="476" t="n"/>
    </row>
    <row r="34" ht="15.75" customFormat="1" customHeight="1" s="1418">
      <c r="A34" s="2038" t="inlineStr">
        <is>
          <t>Class A Treasury IPO Shares Issued, mm</t>
        </is>
      </c>
      <c r="B34" s="2039" t="n"/>
      <c r="C34" s="2039">
        <f>C16</f>
        <v/>
      </c>
      <c r="D34" s="2021" t="n"/>
      <c r="E34" s="2043" t="n"/>
      <c r="F34" s="2029" t="n"/>
      <c r="G34" s="2029" t="n"/>
      <c r="H34" s="2029" t="n"/>
      <c r="I34" s="2029" t="n"/>
      <c r="J34" s="2029" t="n"/>
      <c r="K34" s="2029" t="n"/>
    </row>
    <row r="35" ht="15.75" customFormat="1" customHeight="1" s="1418">
      <c r="A35" s="2044" t="inlineStr">
        <is>
          <t>Class A Treasury Shares Issued in Concurrent Private Placement, mm</t>
        </is>
      </c>
      <c r="B35" s="2039" t="n"/>
      <c r="C35" s="1896" t="n">
        <v>8.75</v>
      </c>
      <c r="D35" s="2021" t="n"/>
      <c r="E35" s="2043" t="n"/>
      <c r="F35" s="2029" t="n"/>
      <c r="G35" s="2029" t="n"/>
      <c r="H35" s="2029" t="n"/>
      <c r="I35" s="2029" t="n"/>
      <c r="J35" s="2029" t="n"/>
      <c r="K35" s="2029" t="n"/>
    </row>
    <row r="36" ht="15.75" customHeight="1" s="877">
      <c r="A36" s="2045" t="inlineStr">
        <is>
          <t>Post-IPO and Concurrent Private Placement Pro Forma Basic Shares, mm</t>
        </is>
      </c>
      <c r="B36" s="2046" t="n"/>
      <c r="C36" s="2046">
        <f>C33+C34+C35</f>
        <v/>
      </c>
      <c r="D36" s="2014" t="n"/>
      <c r="E36" s="511" t="n"/>
      <c r="F36" s="2030" t="n"/>
      <c r="G36" s="2030" t="n"/>
      <c r="H36" s="2030" t="n"/>
      <c r="I36" s="2030" t="n"/>
      <c r="J36" s="2030" t="n"/>
      <c r="K36" s="2030" t="n"/>
    </row>
    <row r="37" ht="15.75" customHeight="1" s="877">
      <c r="A37" s="2038" t="inlineStr">
        <is>
          <t>Stock Options (treasury method, based on toggle), mm</t>
        </is>
      </c>
      <c r="B37" s="2039" t="n"/>
      <c r="C37" s="1896">
        <f>IF($D$37="Vested",IF(C9&gt;C68,C60-C60*C68/C9,0),IF(C9&gt;C67,C59-C59*C67/C9,0)+IF(C9&gt;C69,C61-C61*C69/C9,0))</f>
        <v/>
      </c>
      <c r="D37" s="545" t="inlineStr">
        <is>
          <t>Outstanding</t>
        </is>
      </c>
      <c r="E37" s="511" t="n"/>
      <c r="F37" s="2029" t="n"/>
      <c r="G37" s="2029" t="n"/>
      <c r="H37" s="2029" t="n"/>
      <c r="I37" s="2029" t="n"/>
      <c r="J37" s="2029" t="n"/>
      <c r="K37" s="2029" t="n"/>
    </row>
    <row r="38" ht="15.75" customHeight="1" s="877">
      <c r="A38" s="2038" t="inlineStr">
        <is>
          <t>Warrants, mm</t>
        </is>
      </c>
      <c r="B38" s="2039" t="n"/>
      <c r="C38" s="1896">
        <f>IF(C9&gt;C73,C72-C72*C73/C9,0)+IF(C9&gt;C75,C74-C74*C75/C9,0)</f>
        <v/>
      </c>
      <c r="D38" s="2014" t="n"/>
      <c r="E38" s="511" t="n"/>
      <c r="F38" s="2029" t="n"/>
      <c r="G38" s="2029" t="n"/>
      <c r="H38" s="2029" t="n"/>
      <c r="I38" s="2029" t="n"/>
      <c r="J38" s="2029" t="n"/>
      <c r="K38" s="2029" t="n"/>
    </row>
    <row r="39" ht="15.75" customHeight="1" s="877">
      <c r="A39" s="2040" t="inlineStr">
        <is>
          <t>RSUs, mm</t>
        </is>
      </c>
      <c r="B39" s="2041" t="n"/>
      <c r="C39" s="2026">
        <f>C78</f>
        <v/>
      </c>
      <c r="D39" s="2014" t="n"/>
      <c r="E39" s="511" t="n"/>
      <c r="F39" s="2029" t="n"/>
      <c r="G39" s="2029" t="n"/>
      <c r="H39" s="2029" t="n"/>
      <c r="I39" s="2029" t="n"/>
      <c r="J39" s="2029" t="n"/>
      <c r="K39" s="2029" t="n"/>
    </row>
    <row r="40" ht="15.75" customHeight="1" s="877">
      <c r="A40" s="2042" t="inlineStr">
        <is>
          <t>Post-IPO and Concurrent Private Placement Pro Forma Diluted Shares, mm</t>
        </is>
      </c>
      <c r="B40" s="2036" t="n"/>
      <c r="C40" s="2036">
        <f>IPO.ShareCount.WAB+SUM(C37:C39)</f>
        <v/>
      </c>
      <c r="D40" s="2014" t="n"/>
      <c r="E40" s="511" t="n"/>
      <c r="F40" s="2030" t="n"/>
      <c r="G40" s="2030" t="n"/>
      <c r="H40" s="2030" t="n"/>
      <c r="I40" s="2030" t="n"/>
      <c r="J40" s="2030" t="n"/>
      <c r="K40" s="2030" t="n"/>
    </row>
    <row r="41" ht="15.75" customHeight="1" s="877">
      <c r="A41" s="1616" t="n"/>
      <c r="B41" s="2022" t="n"/>
      <c r="C41" s="2022" t="n"/>
      <c r="D41" s="512" t="n"/>
      <c r="E41" s="511" t="n"/>
      <c r="F41" s="511" t="n"/>
      <c r="G41" s="511" t="n"/>
      <c r="H41" s="476" t="n"/>
      <c r="I41" s="476" t="n"/>
      <c r="J41" s="476" t="n"/>
      <c r="K41" s="476" t="n"/>
    </row>
    <row r="42" ht="15.75" customHeight="1" s="877">
      <c r="A42" s="2047" t="inlineStr">
        <is>
          <t>Post-IPO Pro Forma Class A Common Shares, mm</t>
        </is>
      </c>
      <c r="B42" s="2036" t="n"/>
      <c r="C42" s="2036">
        <f>C31+C34+C35</f>
        <v/>
      </c>
      <c r="D42" s="512" t="n"/>
      <c r="E42" s="511" t="n"/>
      <c r="F42" s="511" t="n"/>
      <c r="G42" s="511" t="n"/>
      <c r="H42" s="476" t="n"/>
      <c r="I42" s="476" t="n"/>
      <c r="J42" s="476" t="n"/>
      <c r="K42" s="476" t="n"/>
    </row>
    <row r="43" ht="15.75" customHeight="1" s="877">
      <c r="A43" s="2048" t="inlineStr">
        <is>
          <t>Post-IPO Pro Forma Class B Common Shares, mm</t>
        </is>
      </c>
      <c r="B43" s="2049" t="n"/>
      <c r="C43" s="2049">
        <f>C32</f>
        <v/>
      </c>
      <c r="D43" s="512" t="n"/>
      <c r="E43" s="511" t="n"/>
      <c r="F43" s="511" t="n"/>
      <c r="G43" s="511" t="n"/>
      <c r="H43" s="476" t="n"/>
      <c r="I43" s="476" t="n"/>
      <c r="J43" s="476" t="n"/>
      <c r="K43" s="476" t="n"/>
    </row>
    <row r="44" ht="15.75" customHeight="1" s="877">
      <c r="A44" s="2042" t="inlineStr">
        <is>
          <t>Post-IPO Pro Forma Total Common Shares, mm</t>
        </is>
      </c>
      <c r="B44" s="2036" t="n"/>
      <c r="C44" s="1444">
        <f>C42+C43</f>
        <v/>
      </c>
      <c r="D44" s="512" t="n"/>
      <c r="E44" s="511" t="n"/>
      <c r="F44" s="511" t="n"/>
      <c r="G44" s="511" t="n"/>
      <c r="H44" s="476" t="n"/>
      <c r="I44" s="476" t="n"/>
      <c r="J44" s="476" t="n"/>
      <c r="K44" s="476" t="n"/>
    </row>
    <row r="45" ht="15.75" customHeight="1" s="877">
      <c r="A45" s="1616" t="n"/>
      <c r="B45" s="2022" t="n"/>
      <c r="C45" s="2022" t="n"/>
      <c r="D45" s="512" t="n"/>
      <c r="E45" s="511" t="n"/>
      <c r="F45" s="511" t="n"/>
      <c r="G45" s="511" t="n"/>
      <c r="H45" s="476" t="n"/>
      <c r="I45" s="476" t="n"/>
      <c r="J45" s="476" t="n"/>
      <c r="K45" s="476" t="n"/>
    </row>
    <row r="46" ht="15.75" customHeight="1" s="877">
      <c r="A46" s="2009" t="inlineStr">
        <is>
          <t>EV Calculation</t>
        </is>
      </c>
      <c r="B46" s="1434" t="n"/>
      <c r="C46" s="1434" t="n"/>
      <c r="D46" s="512" t="n"/>
      <c r="E46" s="511" t="n"/>
      <c r="F46" s="530" t="n"/>
      <c r="G46" s="530" t="n"/>
      <c r="H46" s="476" t="n"/>
      <c r="I46" s="476" t="n"/>
      <c r="J46" s="476" t="n"/>
      <c r="K46" s="476" t="n"/>
    </row>
    <row r="47" ht="15.75" customHeight="1" s="877">
      <c r="A47" s="534" t="inlineStr">
        <is>
          <t>Post- Deal Market Cap (Pro Forma as Adjusted), mm</t>
        </is>
      </c>
      <c r="B47" s="533" t="n"/>
      <c r="C47" s="2050">
        <f>C40*C9</f>
        <v/>
      </c>
      <c r="D47" s="512" t="n"/>
      <c r="E47" s="511" t="n"/>
      <c r="F47" s="530" t="n"/>
      <c r="G47" s="530" t="n"/>
      <c r="H47" s="476" t="n"/>
      <c r="I47" s="476" t="n"/>
      <c r="J47" s="476" t="n"/>
      <c r="K47" s="476" t="n"/>
    </row>
    <row r="48" ht="15.75" customHeight="1" s="877">
      <c r="A48" s="539" t="inlineStr">
        <is>
          <t>Post-Deal Debt (Pro Forma as Adjusted), mm</t>
        </is>
      </c>
      <c r="B48" s="512" t="n"/>
      <c r="C48" s="2051">
        <f>INDEX(MO_BSS_Debt,0,MATCH($C$4,MO_Common_ColumnHeader,0))</f>
        <v/>
      </c>
      <c r="D48" s="512" t="n"/>
      <c r="E48" s="511" t="n"/>
      <c r="F48" s="530" t="n"/>
      <c r="G48" s="530" t="n"/>
      <c r="H48" s="476" t="n"/>
      <c r="I48" s="476" t="n"/>
      <c r="J48" s="476" t="n"/>
      <c r="K48" s="476" t="n"/>
    </row>
    <row r="49" ht="15.75" customHeight="1" s="877">
      <c r="A49" s="539" t="inlineStr">
        <is>
          <t>Post-Deal Operating Lease Liability (Pro Forma as Adjusted), mm</t>
        </is>
      </c>
      <c r="B49" s="512" t="n"/>
      <c r="C49" s="2051">
        <f>IFERROR(IFERROR(INDEX(MO_BSS_Lease_Airline,0,MATCH($C$4,MO_Common_ColumnHeader,0)),INDEX(MO_BSS_OL,0,MATCH($C$4,MO_Common_ColumnHeader,0))),0)</f>
        <v/>
      </c>
      <c r="D49" s="512" t="n"/>
      <c r="E49" s="511" t="n"/>
      <c r="F49" s="530" t="n"/>
      <c r="G49" s="530" t="n"/>
      <c r="H49" s="476" t="n"/>
      <c r="I49" s="476" t="n"/>
      <c r="J49" s="476" t="n"/>
      <c r="K49" s="476" t="n"/>
    </row>
    <row r="50" ht="15.75" customHeight="1" s="877">
      <c r="A50" s="539" t="inlineStr">
        <is>
          <t>Post-Deal Cash (Pro Forma as Adjusted), mm</t>
        </is>
      </c>
      <c r="B50" s="512" t="n"/>
      <c r="C50" s="2051">
        <f>-INDEX(MO_BSS_Cash,0,MATCH($C$4,MO_Common_ColumnHeader,0))</f>
        <v/>
      </c>
      <c r="D50" s="512" t="n"/>
      <c r="E50" s="511" t="n"/>
      <c r="F50" s="530" t="n"/>
      <c r="G50" s="530" t="n"/>
      <c r="H50" s="476" t="n"/>
      <c r="I50" s="476" t="n"/>
      <c r="J50" s="476" t="n"/>
      <c r="K50" s="476" t="n"/>
    </row>
    <row r="51" ht="15.75" customHeight="1" s="877">
      <c r="A51" s="537" t="inlineStr">
        <is>
          <t>Post-Deal Other EV Components (Pro Forma as Adjusted), mm</t>
        </is>
      </c>
      <c r="B51" s="536" t="n"/>
      <c r="C51" s="2052">
        <f>INDEX(MO_VA_EVCalc_NCI,0,MATCH($C$4,MO_Common_ColumnHeader,0))+INDEX(MO_VA_EVCalc_Other,0,MATCH($C$4,MO_Common_ColumnHeader,0))+INDEX(MO_VA_EVCalc_Prefs,0,MATCH($C$4,MO_Common_ColumnHeader,0))</f>
        <v/>
      </c>
      <c r="D51" s="512" t="n"/>
      <c r="E51" s="511" t="n"/>
      <c r="F51" s="530" t="n"/>
      <c r="G51" s="530" t="n"/>
      <c r="H51" s="476" t="n"/>
      <c r="I51" s="476" t="n"/>
      <c r="J51" s="476" t="n"/>
      <c r="K51" s="476" t="n"/>
    </row>
    <row r="52" ht="15.75" customHeight="1" s="877">
      <c r="A52" s="534" t="inlineStr">
        <is>
          <t>Post-Deal Enterprise Value (Pro Forma as Adjusted), mm</t>
        </is>
      </c>
      <c r="B52" s="533" t="n"/>
      <c r="C52" s="2050">
        <f>SUM(C47:C51)</f>
        <v/>
      </c>
      <c r="D52" s="512" t="n"/>
      <c r="E52" s="511" t="n"/>
      <c r="F52" s="530" t="n"/>
      <c r="G52" s="530" t="n"/>
      <c r="H52" s="476" t="n"/>
      <c r="I52" s="476" t="n"/>
      <c r="J52" s="476" t="n"/>
      <c r="K52" s="476" t="n"/>
    </row>
    <row r="53" ht="15.75" customHeight="1" s="877">
      <c r="A53" s="2053" t="n"/>
      <c r="B53" s="511" t="n"/>
      <c r="C53" s="511" t="n"/>
      <c r="D53" s="512" t="n"/>
      <c r="E53" s="511" t="n"/>
      <c r="F53" s="530" t="n"/>
      <c r="G53" s="530" t="n"/>
      <c r="H53" s="476" t="n"/>
      <c r="I53" s="476" t="n"/>
      <c r="J53" s="476" t="n"/>
      <c r="K53" s="476" t="n"/>
    </row>
    <row r="54" ht="15.75" customHeight="1" s="877">
      <c r="A54" s="2009" t="inlineStr">
        <is>
          <t>Options</t>
        </is>
      </c>
      <c r="B54" s="1434" t="n"/>
      <c r="C54" s="1434" t="n"/>
      <c r="D54" s="512" t="n"/>
      <c r="E54" s="511" t="n"/>
      <c r="F54" s="511" t="n"/>
      <c r="G54" s="511" t="n"/>
      <c r="H54" s="476" t="n"/>
      <c r="I54" s="476" t="n"/>
      <c r="J54" s="476" t="n"/>
      <c r="K54" s="476" t="n"/>
    </row>
    <row r="55" hidden="1" outlineLevel="1" ht="15.75" customHeight="1" s="877">
      <c r="A55" s="2042" t="inlineStr">
        <is>
          <t>Options Outstanding as of Dec 31, 2023, mm</t>
        </is>
      </c>
      <c r="B55" s="2036" t="n"/>
      <c r="C55" s="2036" t="n">
        <v>51.239</v>
      </c>
      <c r="D55" s="512" t="n"/>
      <c r="E55" s="511" t="n"/>
      <c r="F55" s="511" t="n"/>
      <c r="G55" s="511" t="n"/>
      <c r="H55" s="2030" t="n"/>
      <c r="I55" s="2030" t="n"/>
      <c r="J55" s="2030" t="n"/>
      <c r="K55" s="2030" t="n"/>
    </row>
    <row r="56" hidden="1" outlineLevel="1" ht="15.75" customHeight="1" s="877">
      <c r="A56" s="1467" t="inlineStr">
        <is>
          <t>Options Granted During 2024, mm</t>
        </is>
      </c>
      <c r="B56" s="2039" t="n"/>
      <c r="C56" s="2039" t="n">
        <v>0</v>
      </c>
      <c r="D56" s="512" t="n"/>
      <c r="E56" s="511" t="n"/>
      <c r="F56" s="511" t="n"/>
      <c r="G56" s="511" t="n"/>
      <c r="H56" s="2029" t="n"/>
      <c r="I56" s="2029" t="n"/>
      <c r="J56" s="2029" t="n"/>
      <c r="K56" s="2029" t="n"/>
    </row>
    <row r="57" hidden="1" outlineLevel="1" ht="15.75" customHeight="1" s="877">
      <c r="A57" s="1467" t="inlineStr">
        <is>
          <t>Options Exercised During 2024, mm</t>
        </is>
      </c>
      <c r="B57" s="2039" t="n"/>
      <c r="C57" s="2039" t="n">
        <v>-2.872</v>
      </c>
      <c r="D57" s="512" t="n"/>
      <c r="E57" s="511" t="n"/>
      <c r="F57" s="511" t="n"/>
      <c r="G57" s="511" t="n"/>
      <c r="H57" s="2029" t="n"/>
      <c r="I57" s="2029" t="n"/>
      <c r="J57" s="2029" t="n"/>
      <c r="K57" s="2029" t="n"/>
    </row>
    <row r="58" hidden="1" outlineLevel="1" ht="15.75" customHeight="1" s="877">
      <c r="A58" s="1467" t="inlineStr">
        <is>
          <t>Options Forfeited, Expired, or Cancelled During 2024, mm</t>
        </is>
      </c>
      <c r="B58" s="2039" t="n"/>
      <c r="C58" s="2039" t="n">
        <v>-1.148</v>
      </c>
      <c r="D58" s="512" t="n"/>
      <c r="E58" s="511" t="n"/>
      <c r="F58" s="511" t="n"/>
      <c r="G58" s="511" t="n"/>
      <c r="H58" s="2029" t="n"/>
      <c r="I58" s="2029" t="n"/>
      <c r="J58" s="2029" t="n"/>
      <c r="K58" s="2029" t="n"/>
    </row>
    <row r="59" hidden="1" outlineLevel="1" ht="15.75" customHeight="1" s="877">
      <c r="A59" s="2045" t="inlineStr">
        <is>
          <t>Options Outstanding as of December 31, 2024, mm</t>
        </is>
      </c>
      <c r="B59" s="2046" t="n"/>
      <c r="C59" s="2046" t="n">
        <v>46.57758</v>
      </c>
      <c r="D59" s="512" t="n"/>
      <c r="E59" s="511" t="n"/>
      <c r="F59" s="511" t="n"/>
      <c r="G59" s="511" t="n"/>
      <c r="H59" s="2029" t="n"/>
      <c r="I59" s="2029" t="n"/>
      <c r="J59" s="2029" t="n"/>
      <c r="K59" s="2029" t="n"/>
    </row>
    <row r="60" hidden="1" outlineLevel="1" ht="15.75" customHeight="1" s="877">
      <c r="A60" s="2042" t="inlineStr">
        <is>
          <t>Options Vested as of December 31, 2024, mm</t>
        </is>
      </c>
      <c r="B60" s="2036" t="n"/>
      <c r="C60" s="2036">
        <f>31.019-0.641</f>
        <v/>
      </c>
      <c r="D60" s="512" t="n"/>
      <c r="E60" s="511" t="n"/>
      <c r="F60" s="511" t="n"/>
      <c r="G60" s="511" t="n"/>
      <c r="H60" s="2029" t="n"/>
      <c r="I60" s="2029" t="n"/>
      <c r="J60" s="2029" t="n"/>
      <c r="K60" s="2029" t="n"/>
    </row>
    <row r="61" hidden="1" outlineLevel="1" ht="15.75" customHeight="1" s="877">
      <c r="A61" s="2042" t="inlineStr">
        <is>
          <t>Options Granted after December 31, 2024, mm</t>
        </is>
      </c>
      <c r="B61" s="2036" t="n"/>
      <c r="C61" s="2036" t="n"/>
      <c r="D61" s="512" t="n"/>
      <c r="E61" s="511" t="n"/>
      <c r="F61" s="511" t="n"/>
      <c r="G61" s="511" t="n"/>
      <c r="H61" s="2029" t="n"/>
      <c r="I61" s="2029" t="n"/>
      <c r="J61" s="2029" t="n"/>
      <c r="K61" s="2029" t="n"/>
    </row>
    <row r="62" hidden="1" outlineLevel="1" ht="15.75" customHeight="1" s="877">
      <c r="A62" s="1513" t="n"/>
      <c r="B62" s="2036" t="n"/>
      <c r="C62" s="2036" t="n"/>
      <c r="D62" s="512" t="n"/>
      <c r="E62" s="511" t="n"/>
      <c r="F62" s="511" t="n"/>
      <c r="G62" s="511" t="n"/>
      <c r="H62" s="2029" t="n"/>
      <c r="I62" s="2029" t="n"/>
      <c r="J62" s="2029" t="n"/>
      <c r="K62" s="2029" t="n"/>
    </row>
    <row r="63" hidden="1" outlineLevel="1" ht="15.75" customHeight="1" s="877">
      <c r="A63" s="2054" t="inlineStr">
        <is>
          <t>Weighted Average Exercise Price - Options Outstanding as of Dec 31, 2023, $</t>
        </is>
      </c>
      <c r="B63" s="2055" t="n"/>
      <c r="C63" s="2055" t="n">
        <v>1.75</v>
      </c>
      <c r="D63" s="512" t="n"/>
      <c r="E63" s="511" t="n"/>
      <c r="F63" s="511" t="n"/>
      <c r="G63" s="511" t="n"/>
      <c r="H63" s="2056" t="n"/>
      <c r="I63" s="2056" t="n"/>
      <c r="J63" s="2056" t="n"/>
      <c r="K63" s="2056" t="n"/>
    </row>
    <row r="64" hidden="1" outlineLevel="1" ht="15.75" customHeight="1" s="877">
      <c r="A64" s="2057" t="inlineStr">
        <is>
          <t>Weighted Average Exercise Price - Options Granted During 2024, $</t>
        </is>
      </c>
      <c r="B64" s="2058" t="n"/>
      <c r="C64" s="2058" t="n">
        <v>0</v>
      </c>
      <c r="D64" s="512" t="n"/>
      <c r="E64" s="511" t="n"/>
      <c r="F64" s="511" t="n"/>
      <c r="G64" s="511" t="n"/>
      <c r="H64" s="2059" t="n"/>
      <c r="I64" s="2059" t="n"/>
      <c r="J64" s="2059" t="n"/>
      <c r="K64" s="2059" t="n"/>
    </row>
    <row r="65" hidden="1" outlineLevel="1" ht="15.75" customHeight="1" s="877">
      <c r="A65" s="2057" t="inlineStr">
        <is>
          <t>Weighted Average Exercise Price - Options Exercised During 2024, $</t>
        </is>
      </c>
      <c r="B65" s="2058" t="n"/>
      <c r="C65" s="2058" t="n">
        <v>1.01</v>
      </c>
      <c r="D65" s="512" t="n"/>
      <c r="E65" s="511" t="n"/>
      <c r="F65" s="511" t="n"/>
      <c r="G65" s="511" t="n"/>
      <c r="H65" s="2059" t="n"/>
      <c r="I65" s="2059" t="n"/>
      <c r="J65" s="2059" t="n"/>
      <c r="K65" s="2059" t="n"/>
    </row>
    <row r="66" hidden="1" outlineLevel="1" ht="15.75" customHeight="1" s="877">
      <c r="A66" s="2057" t="inlineStr">
        <is>
          <t>Weighted Average Exercise Price - Options Forfeited, Expired, or Cancelled During 2024, $</t>
        </is>
      </c>
      <c r="B66" s="2058" t="n"/>
      <c r="C66" s="2058" t="n">
        <v>4.05</v>
      </c>
      <c r="D66" s="512" t="n"/>
      <c r="E66" s="511" t="n"/>
      <c r="F66" s="511" t="n"/>
      <c r="G66" s="511" t="n"/>
      <c r="H66" s="2059" t="n"/>
      <c r="I66" s="2059" t="n"/>
      <c r="J66" s="2059" t="n"/>
      <c r="K66" s="2059" t="n"/>
    </row>
    <row r="67" hidden="1" outlineLevel="1" ht="15.75" customHeight="1" s="877">
      <c r="A67" s="2060" t="inlineStr">
        <is>
          <t>Weighted Average Exercise Price - Options Outstanding as of  December 31, 2024, $</t>
        </is>
      </c>
      <c r="B67" s="2061" t="n"/>
      <c r="C67" s="2061" t="n">
        <v>1.75</v>
      </c>
      <c r="D67" s="512" t="n"/>
      <c r="E67" s="511" t="n"/>
      <c r="F67" s="511" t="n"/>
      <c r="G67" s="511" t="n"/>
      <c r="H67" s="2059" t="n"/>
      <c r="I67" s="2059" t="n"/>
      <c r="J67" s="2059" t="n"/>
      <c r="K67" s="2059" t="n"/>
    </row>
    <row r="68" hidden="1" outlineLevel="1" ht="15.75" customHeight="1" s="877">
      <c r="A68" s="2062" t="inlineStr">
        <is>
          <t>Weighted Average Exercise Price - Options Vested as of December 31, 2024, $</t>
        </is>
      </c>
      <c r="B68" s="2055" t="n"/>
      <c r="C68" s="2055">
        <f>(31.019*0.98-0.641*1.38)/C60</f>
        <v/>
      </c>
      <c r="D68" s="512" t="n"/>
      <c r="E68" s="511" t="n"/>
      <c r="F68" s="511" t="n"/>
      <c r="G68" s="511" t="n"/>
      <c r="H68" s="2059" t="n"/>
      <c r="I68" s="2059" t="n"/>
      <c r="J68" s="2059" t="n"/>
      <c r="K68" s="2059" t="n"/>
    </row>
    <row r="69" hidden="1" outlineLevel="1" ht="15.75" customHeight="1" s="877">
      <c r="A69" s="2062" t="inlineStr">
        <is>
          <t>Weighted Average Exercise Price - Options Granted after December 31, 2024, $</t>
        </is>
      </c>
      <c r="B69" s="2055" t="n"/>
      <c r="C69" s="2055" t="n"/>
      <c r="D69" s="512" t="n"/>
      <c r="E69" s="511" t="n"/>
      <c r="F69" s="511" t="n"/>
      <c r="G69" s="511" t="n"/>
      <c r="H69" s="2059" t="n"/>
      <c r="I69" s="2059" t="n"/>
      <c r="J69" s="2059" t="n"/>
      <c r="K69" s="2059" t="n"/>
    </row>
    <row r="70" collapsed="1" ht="15.75" customHeight="1" s="877">
      <c r="A70" s="1616" t="n"/>
      <c r="B70" s="2022" t="n"/>
      <c r="C70" s="2022" t="n"/>
      <c r="D70" s="512" t="n"/>
      <c r="E70" s="511" t="n"/>
      <c r="F70" s="511" t="n"/>
      <c r="G70" s="511" t="n"/>
      <c r="H70" s="476" t="n"/>
      <c r="I70" s="476" t="n"/>
      <c r="J70" s="476" t="n"/>
      <c r="K70" s="476" t="n"/>
    </row>
    <row r="71" ht="15.75" customHeight="1" s="877">
      <c r="A71" s="2009" t="inlineStr">
        <is>
          <t>Warrants</t>
        </is>
      </c>
      <c r="B71" s="1434" t="n"/>
      <c r="C71" s="2028" t="n"/>
      <c r="D71" s="512" t="n"/>
      <c r="E71" s="511" t="n"/>
      <c r="F71" s="511" t="n"/>
      <c r="G71" s="511" t="n"/>
      <c r="H71" s="476" t="n"/>
      <c r="I71" s="476" t="n"/>
      <c r="J71" s="476" t="n"/>
      <c r="K71" s="476" t="n"/>
    </row>
    <row r="72" hidden="1" outlineLevel="1" ht="15.75" customHeight="1" s="877">
      <c r="A72" s="1568" t="inlineStr">
        <is>
          <t>Warrants 1 Converted to Common Shares, mm</t>
        </is>
      </c>
      <c r="B72" s="2063" t="n"/>
      <c r="C72" s="2046" t="n">
        <v>7.807282</v>
      </c>
      <c r="D72" s="512" t="n"/>
      <c r="E72" s="511" t="n"/>
      <c r="F72" s="511" t="n"/>
      <c r="G72" s="511" t="n"/>
      <c r="H72" s="2029" t="n"/>
      <c r="I72" s="2029" t="n"/>
      <c r="J72" s="2029" t="n"/>
      <c r="K72" s="2029" t="n"/>
    </row>
    <row r="73" hidden="1" outlineLevel="1" ht="15.75" customHeight="1" s="877">
      <c r="A73" s="2057" t="inlineStr">
        <is>
          <t>Weighted Average Exercise Price of Warrants 1, $</t>
        </is>
      </c>
      <c r="B73" s="2064" t="n"/>
      <c r="C73" s="2058" t="n">
        <v>0.0005</v>
      </c>
      <c r="D73" s="512" t="n"/>
      <c r="E73" s="511" t="n"/>
      <c r="F73" s="511" t="n"/>
      <c r="G73" s="511" t="n"/>
      <c r="H73" s="2059" t="n"/>
      <c r="I73" s="2059" t="n"/>
      <c r="J73" s="2059" t="n"/>
      <c r="K73" s="2059" t="n"/>
    </row>
    <row r="74" hidden="1" outlineLevel="1" ht="15.75" customHeight="1" s="877">
      <c r="A74" s="1513" t="inlineStr">
        <is>
          <t>Warrants 2 Converted to Common Shares, mm</t>
        </is>
      </c>
      <c r="B74" s="1444" t="n"/>
      <c r="C74" s="2036" t="n">
        <v>4.337386</v>
      </c>
      <c r="D74" s="512" t="n"/>
      <c r="E74" s="511" t="n"/>
      <c r="F74" s="511" t="n"/>
      <c r="G74" s="511" t="n"/>
      <c r="H74" s="2029" t="n"/>
      <c r="I74" s="2029" t="n"/>
      <c r="J74" s="2029" t="n"/>
      <c r="K74" s="2029" t="n"/>
    </row>
    <row r="75" hidden="1" outlineLevel="1" ht="15.75" customHeight="1" s="877">
      <c r="A75" s="2057" t="inlineStr">
        <is>
          <t>Weighted Average Exercise Price of Warrants 2, $</t>
        </is>
      </c>
      <c r="B75" s="2064" t="n"/>
      <c r="C75" s="2058" t="n">
        <v>4.33</v>
      </c>
      <c r="D75" s="512" t="n"/>
      <c r="E75" s="511" t="n"/>
      <c r="F75" s="511" t="n"/>
      <c r="G75" s="511" t="n"/>
      <c r="H75" s="2059" t="n"/>
      <c r="I75" s="2059" t="n"/>
      <c r="J75" s="2059" t="n"/>
      <c r="K75" s="2059" t="n"/>
    </row>
    <row r="76" collapsed="1" ht="15.75" customHeight="1" s="877">
      <c r="A76" s="1616" t="n"/>
      <c r="B76" s="2022" t="n"/>
      <c r="C76" s="2022" t="n"/>
      <c r="D76" s="512" t="n"/>
      <c r="E76" s="511" t="n"/>
      <c r="F76" s="511" t="n"/>
      <c r="G76" s="511" t="n"/>
      <c r="H76" s="476" t="n"/>
      <c r="I76" s="476" t="n"/>
      <c r="J76" s="476" t="n"/>
      <c r="K76" s="476" t="n"/>
    </row>
    <row r="77" ht="15.75" customHeight="1" s="877">
      <c r="A77" s="2009" t="inlineStr">
        <is>
          <t>RSUs</t>
        </is>
      </c>
      <c r="B77" s="1434" t="n"/>
      <c r="C77" s="2028" t="n"/>
      <c r="D77" s="512" t="n"/>
      <c r="E77" s="511" t="n"/>
      <c r="F77" s="511" t="n"/>
      <c r="G77" s="511" t="n"/>
      <c r="H77" s="476" t="n"/>
      <c r="I77" s="476" t="n"/>
      <c r="J77" s="476" t="n"/>
      <c r="K77" s="476" t="n"/>
    </row>
    <row r="78" hidden="1" outlineLevel="1" ht="15.75" customHeight="1" s="877">
      <c r="A78" s="1513" t="inlineStr">
        <is>
          <t>Total RSUs</t>
        </is>
      </c>
      <c r="B78" s="1444" t="n"/>
      <c r="C78" s="2036">
        <f>14.98222+8.75332</f>
        <v/>
      </c>
      <c r="D78" s="512" t="n"/>
      <c r="E78" s="511" t="n"/>
      <c r="F78" s="511" t="n"/>
      <c r="G78" s="511" t="n"/>
      <c r="H78" s="2029" t="n"/>
      <c r="I78" s="2029" t="n"/>
      <c r="J78" s="2029" t="n"/>
      <c r="K78" s="2029" t="n"/>
    </row>
    <row r="79" collapsed="1" ht="15.75" customHeight="1" s="877">
      <c r="A79" s="1616" t="n"/>
      <c r="B79" s="2022" t="n"/>
      <c r="C79" s="2022" t="n"/>
      <c r="D79" s="512" t="n"/>
      <c r="E79" s="511" t="n"/>
      <c r="F79" s="511" t="n"/>
      <c r="G79" s="511" t="n"/>
      <c r="H79" s="476" t="n"/>
      <c r="I79" s="476" t="n"/>
      <c r="J79" s="476" t="n"/>
      <c r="K79" s="476" t="n"/>
    </row>
    <row r="80" ht="15.75" customHeight="1" s="877">
      <c r="A80" s="1431" t="inlineStr">
        <is>
          <t>USD</t>
        </is>
      </c>
      <c r="B80" s="510" t="n"/>
      <c r="C80" s="510" t="n"/>
      <c r="D80" s="509" t="n"/>
      <c r="E80" s="2065">
        <f>CONCATENATE("FY",RIGHT(IPO.Period,4))</f>
        <v/>
      </c>
      <c r="F80" s="507">
        <f>CONCATENATE("FY",RIGHT(E80,4)+1)</f>
        <v/>
      </c>
      <c r="G80" s="507">
        <f>CONCATENATE("FY",RIGHT(F80,4)+1)</f>
        <v/>
      </c>
      <c r="H80" s="507">
        <f>CONCATENATE("FY",RIGHT(G80,4)+1)</f>
        <v/>
      </c>
      <c r="I80" s="476" t="n"/>
      <c r="J80" s="476" t="n"/>
      <c r="K80" s="476" t="n"/>
    </row>
    <row r="81" ht="15.75" customHeight="1" s="877">
      <c r="A81" s="2009" t="inlineStr">
        <is>
          <t>Valuation Multiples</t>
        </is>
      </c>
      <c r="B81" s="1434" t="n"/>
      <c r="C81" s="1434" t="n"/>
      <c r="D81" s="1434" t="n"/>
      <c r="E81" s="1433" t="n"/>
      <c r="F81" s="1434" t="n"/>
      <c r="G81" s="1434" t="n"/>
      <c r="H81" s="1434" t="n"/>
      <c r="I81" s="476" t="n"/>
      <c r="J81" s="476" t="n"/>
      <c r="K81" s="476" t="n"/>
    </row>
    <row r="82" ht="15.75" customHeight="1" s="877">
      <c r="A82" s="2054" t="inlineStr">
        <is>
          <t>IPO Price, $</t>
        </is>
      </c>
      <c r="B82" s="2066" t="n"/>
      <c r="C82" s="2066" t="n"/>
      <c r="D82" s="2067" t="n"/>
      <c r="E82" s="2068">
        <f>$C$9</f>
        <v/>
      </c>
      <c r="F82" s="2069">
        <f>$C$9</f>
        <v/>
      </c>
      <c r="G82" s="2069">
        <f>$C$9</f>
        <v/>
      </c>
      <c r="H82" s="2069">
        <f>$C$9</f>
        <v/>
      </c>
      <c r="I82" s="2056" t="n"/>
      <c r="J82" s="2056" t="n"/>
      <c r="K82" s="476" t="n"/>
    </row>
    <row r="83" ht="15.75" customHeight="1" s="877">
      <c r="A83" s="1513" t="n"/>
      <c r="B83" s="2070" t="n"/>
      <c r="C83" s="2070" t="n"/>
      <c r="D83" s="2071" t="n"/>
      <c r="E83" s="2072" t="n"/>
      <c r="F83" s="2073" t="n"/>
      <c r="G83" s="2073" t="n"/>
      <c r="H83" s="2073" t="n"/>
      <c r="I83" s="2030" t="n"/>
      <c r="J83" s="2030" t="n"/>
      <c r="K83" s="476" t="n"/>
    </row>
    <row r="84" ht="15.75" customHeight="1" s="877">
      <c r="A84" s="1513" t="inlineStr">
        <is>
          <t>Sales, mm</t>
        </is>
      </c>
      <c r="B84" s="2070" t="n"/>
      <c r="C84" s="2070" t="n"/>
      <c r="D84" s="2071" t="n"/>
      <c r="E84" s="2074">
        <f>IFERROR(IF(LEFT($A$84,(FIND(",",$A$84,1)-1))="Sales",INDEX(MO_RIS_REV,0,MATCH(E$80,MO_Common_ColumnHeader,0)),IFERROR(INDEX(MO_RIS_GP_NONGAAP,0,MATCH(E$80,MO_Common_ColumnHeader,0)),INDEX(MO_RIS_GP,0,MATCH(E$80,MO_Common_ColumnHeader,0)))),"N/A")</f>
        <v/>
      </c>
      <c r="F84" s="2074">
        <f>IFERROR(IF(LEFT($A$84,(FIND(",",$A$84,1)-1))="Sales",INDEX(MO_RIS_REV,0,MATCH(F$80,MO_Common_ColumnHeader,0)),IFERROR(INDEX(MO_RIS_GP_NONGAAP,0,MATCH(F$80,MO_Common_ColumnHeader,0)),INDEX(MO_RIS_GP,0,MATCH(F$80,MO_Common_ColumnHeader,0)))),"N/A")</f>
        <v/>
      </c>
      <c r="G84" s="2074">
        <f>IFERROR(IF(LEFT($A$84,(FIND(",",$A$84,1)-1))="Sales",INDEX(MO_RIS_REV,0,MATCH(G$80,MO_Common_ColumnHeader,0)),IFERROR(INDEX(MO_RIS_GP_NONGAAP,0,MATCH(G$80,MO_Common_ColumnHeader,0)),INDEX(MO_RIS_GP,0,MATCH(G$80,MO_Common_ColumnHeader,0)))),"N/A")</f>
        <v/>
      </c>
      <c r="H84" s="2074">
        <f>IFERROR(IF(LEFT($A$84,(FIND(",",$A$84,1)-1))="Sales",INDEX(MO_RIS_REV,0,MATCH(H$80,MO_Common_ColumnHeader,0)),IFERROR(INDEX(MO_RIS_GP_NONGAAP,0,MATCH(H$80,MO_Common_ColumnHeader,0)),INDEX(MO_RIS_GP,0,MATCH(H$80,MO_Common_ColumnHeader,0)))),"N/A")</f>
        <v/>
      </c>
      <c r="I84" s="2030" t="n"/>
      <c r="J84" s="2030" t="n"/>
      <c r="K84" s="476" t="n"/>
    </row>
    <row r="85" ht="15.75" customHeight="1" s="877">
      <c r="A85" s="2075">
        <f>"EV/"&amp;LEFT(A84,(FIND(",",A84,1)-1))&amp;" at Current IPO Price, x"</f>
        <v/>
      </c>
      <c r="B85" s="2076" t="n"/>
      <c r="C85" s="2076" t="n"/>
      <c r="D85" s="2071" t="n"/>
      <c r="E85" s="500">
        <f>$C$52/E84</f>
        <v/>
      </c>
      <c r="F85" s="500">
        <f>$C$52/F84</f>
        <v/>
      </c>
      <c r="G85" s="500">
        <f>$C$52/G84</f>
        <v/>
      </c>
      <c r="H85" s="500">
        <f>$C$52/H84</f>
        <v/>
      </c>
      <c r="I85" s="2077" t="n"/>
      <c r="J85" s="2077" t="n"/>
      <c r="K85" s="476" t="n"/>
    </row>
    <row r="86" ht="15.75" customHeight="1" s="877">
      <c r="A86" s="2075">
        <f>"Solving for EV/"&amp;LEFT(A84,(FIND(",",A84,1)-1))&amp;" Multiple, x"</f>
        <v/>
      </c>
      <c r="B86" s="2076" t="n"/>
      <c r="C86" s="2076" t="n"/>
      <c r="D86" s="2071" t="n"/>
      <c r="E86" s="2078" t="n">
        <v>15.3</v>
      </c>
      <c r="F86" s="2078" t="n">
        <v>9.800000000000001</v>
      </c>
      <c r="G86" s="2078" t="n">
        <v>7.5</v>
      </c>
      <c r="H86" s="2078" t="n">
        <v>6</v>
      </c>
      <c r="I86" s="2077" t="n"/>
      <c r="J86" s="2077" t="n"/>
      <c r="K86" s="476" t="n"/>
    </row>
    <row r="87" ht="15.75" customHeight="1" s="877">
      <c r="A87" s="2079" t="inlineStr">
        <is>
          <t>Implied IPO Price, $</t>
        </is>
      </c>
      <c r="B87" s="2066" t="n"/>
      <c r="C87" s="2066" t="n"/>
      <c r="D87" s="2071" t="n"/>
      <c r="E87" s="2068">
        <f>(E86*E84-$C$50-$C$48-$C$49-$C$51)/$C$40</f>
        <v/>
      </c>
      <c r="F87" s="2069">
        <f>(F86*F84-$C$50-$C$48-$C$49-$C$51)/$C$40</f>
        <v/>
      </c>
      <c r="G87" s="2069">
        <f>(G86*G84-$C$50-$C$48-$C$49-$C$51)/$C$40</f>
        <v/>
      </c>
      <c r="H87" s="2069">
        <f>(H86*H84-$C$50-$C$48-$C$49-$C$51)/$C$40</f>
        <v/>
      </c>
      <c r="I87" s="2056" t="n"/>
      <c r="J87" s="2056" t="n"/>
      <c r="K87" s="476" t="n"/>
    </row>
    <row r="88" ht="15.75" customHeight="1" s="877">
      <c r="A88" s="2080" t="inlineStr">
        <is>
          <t>Difference, %</t>
        </is>
      </c>
      <c r="B88" s="2081" t="n"/>
      <c r="C88" s="2081" t="n"/>
      <c r="D88" s="2071" t="n"/>
      <c r="E88" s="2082">
        <f>(E87-E$82)/E$82</f>
        <v/>
      </c>
      <c r="F88" s="2083">
        <f>(F87-F$82)/F$82</f>
        <v/>
      </c>
      <c r="G88" s="2083">
        <f>(G87-G$82)/G$82</f>
        <v/>
      </c>
      <c r="H88" s="2083">
        <f>(H87-H$82)/H$82</f>
        <v/>
      </c>
      <c r="I88" s="2084" t="n"/>
      <c r="J88" s="2084" t="n"/>
      <c r="K88" s="476" t="n"/>
    </row>
    <row r="89" ht="15.75" customHeight="1" s="877">
      <c r="A89" s="1513" t="n"/>
      <c r="B89" s="2070" t="n"/>
      <c r="C89" s="2070" t="n"/>
      <c r="D89" s="2071" t="n"/>
      <c r="E89" s="2072" t="n"/>
      <c r="F89" s="2073" t="n"/>
      <c r="G89" s="2073" t="n"/>
      <c r="H89" s="2085" t="n"/>
      <c r="I89" s="2030" t="n"/>
      <c r="J89" s="2030" t="n"/>
      <c r="K89" s="476" t="n"/>
    </row>
    <row r="90" ht="15.75" customHeight="1" s="877">
      <c r="A90" s="1513" t="inlineStr">
        <is>
          <t>Adj. EBITDA, mm</t>
        </is>
      </c>
      <c r="B90" s="2070" t="n"/>
      <c r="C90" s="2070" t="n"/>
      <c r="D90" s="2071" t="n"/>
      <c r="E90" s="2074">
        <f>IFERROR(INDEX(MO_RIS_EBITDA_Adj,0,MATCH(E$80,MO_Common_ColumnHeader,0)),"N/A")</f>
        <v/>
      </c>
      <c r="F90" s="2073">
        <f>IFERROR(INDEX(MO_RIS_EBITDA_Adj,0,MATCH(F$80,MO_Common_ColumnHeader,0)),"N/A")</f>
        <v/>
      </c>
      <c r="G90" s="2073">
        <f>IFERROR(INDEX(MO_RIS_EBITDA_Adj,0,MATCH(G$80,MO_Common_ColumnHeader,0)),"N/A")</f>
        <v/>
      </c>
      <c r="H90" s="2073">
        <f>IFERROR(INDEX(MO_RIS_EBITDA_Adj,0,MATCH(H$80,MO_Common_ColumnHeader,0)),"N/A")</f>
        <v/>
      </c>
      <c r="I90" s="2030" t="n"/>
      <c r="J90" s="2030" t="n"/>
      <c r="K90" s="476" t="n"/>
    </row>
    <row r="91" ht="15.75" customHeight="1" s="877">
      <c r="A91" s="2075" t="inlineStr">
        <is>
          <t>EV/EBITDA at Current IPO Price, x</t>
        </is>
      </c>
      <c r="B91" s="2076" t="n"/>
      <c r="C91" s="2076" t="n"/>
      <c r="D91" s="2076" t="n"/>
      <c r="E91" s="500">
        <f>$C$52/E90</f>
        <v/>
      </c>
      <c r="F91" s="500">
        <f>$C$52/F90</f>
        <v/>
      </c>
      <c r="G91" s="500">
        <f>$C$52/G90</f>
        <v/>
      </c>
      <c r="H91" s="500">
        <f>$C$52/H90</f>
        <v/>
      </c>
      <c r="I91" s="2077" t="n"/>
      <c r="J91" s="2077" t="n"/>
      <c r="K91" s="476" t="n"/>
    </row>
    <row r="92" ht="15.75" customHeight="1" s="877">
      <c r="A92" s="2075" t="inlineStr">
        <is>
          <t>Solving for EV/EBITDA Multiple, x</t>
        </is>
      </c>
      <c r="B92" s="2076" t="n"/>
      <c r="C92" s="2076" t="n"/>
      <c r="D92" s="2076" t="n"/>
      <c r="E92" s="2078" t="n">
        <v>-60</v>
      </c>
      <c r="F92" s="2078" t="n">
        <v>-40</v>
      </c>
      <c r="G92" s="2078" t="n">
        <v>-40</v>
      </c>
      <c r="H92" s="2078" t="n">
        <v>-40</v>
      </c>
      <c r="I92" s="2077" t="n"/>
      <c r="J92" s="2077" t="n"/>
      <c r="K92" s="476" t="n"/>
    </row>
    <row r="93" ht="15.75" customHeight="1" s="877">
      <c r="A93" s="2079" t="inlineStr">
        <is>
          <t>Implied IPO Price, $</t>
        </is>
      </c>
      <c r="B93" s="2066" t="n"/>
      <c r="C93" s="2066" t="n"/>
      <c r="D93" s="2067" t="n"/>
      <c r="E93" s="2068">
        <f>(E92*E90-$C$50-$C$48-$C$49-$C$51)/$C$40</f>
        <v/>
      </c>
      <c r="F93" s="2069">
        <f>(F92*F90-$C$50-$C$48-$C$49-$C$51)/$C$40</f>
        <v/>
      </c>
      <c r="G93" s="2069">
        <f>(G92*G90-$C$50-$C$48-$C$49-$C$51)/$C$40</f>
        <v/>
      </c>
      <c r="H93" s="2069">
        <f>(H92*H90-$C$50-$C$48-$C$49-$C$51)/$C$40</f>
        <v/>
      </c>
      <c r="I93" s="2056" t="n"/>
      <c r="J93" s="2056" t="n"/>
      <c r="K93" s="476" t="n"/>
    </row>
    <row r="94" ht="15.75" customHeight="1" s="877">
      <c r="A94" s="2080" t="inlineStr">
        <is>
          <t>Difference, %</t>
        </is>
      </c>
      <c r="B94" s="2081" t="n"/>
      <c r="C94" s="2081" t="n"/>
      <c r="D94" s="2081" t="n"/>
      <c r="E94" s="2082">
        <f>(E93-E$82)/E$82</f>
        <v/>
      </c>
      <c r="F94" s="2083">
        <f>(F93-F$82)/F$82</f>
        <v/>
      </c>
      <c r="G94" s="2083">
        <f>(G93-G$82)/G$82</f>
        <v/>
      </c>
      <c r="H94" s="2083">
        <f>(H93-H$82)/H$82</f>
        <v/>
      </c>
      <c r="I94" s="2084" t="n"/>
      <c r="J94" s="2084" t="n"/>
      <c r="K94" s="476" t="n"/>
    </row>
    <row r="95" ht="15.75" customHeight="1" s="877">
      <c r="A95" s="1513" t="n"/>
      <c r="B95" s="2070" t="n"/>
      <c r="C95" s="2070" t="n"/>
      <c r="D95" s="2071" t="n"/>
      <c r="E95" s="2072" t="n"/>
      <c r="F95" s="2073" t="n"/>
      <c r="G95" s="2073" t="n"/>
      <c r="H95" s="2085" t="n"/>
      <c r="I95" s="2030" t="n"/>
      <c r="J95" s="2030" t="n"/>
      <c r="K95" s="476" t="n"/>
    </row>
    <row r="96" ht="15.75" customHeight="1" s="877">
      <c r="A96" s="2054" t="inlineStr">
        <is>
          <t>EPS, $</t>
        </is>
      </c>
      <c r="B96" s="2066" t="n"/>
      <c r="C96" s="2066" t="n"/>
      <c r="D96" s="2067" t="n"/>
      <c r="E96" s="2068">
        <f>IFERROR(INDEX(MO_RIS_EPS_WAD_Adj,0,MATCH(E$80,MO_Common_ColumnHeader,0)),"N/A")</f>
        <v/>
      </c>
      <c r="F96" s="2069">
        <f>IFERROR(INDEX(MO_RIS_EPS_WAD_Adj,0,MATCH(F$80,MO_Common_ColumnHeader,0)),"N/A")</f>
        <v/>
      </c>
      <c r="G96" s="2069">
        <f>IFERROR(INDEX(MO_RIS_EPS_WAD_Adj,0,MATCH(G$80,MO_Common_ColumnHeader,0)),"N/A")</f>
        <v/>
      </c>
      <c r="H96" s="2069">
        <f>IFERROR(INDEX(MO_RIS_EPS_WAD_Adj,0,MATCH(H$80,MO_Common_ColumnHeader,0)),"N/A")</f>
        <v/>
      </c>
      <c r="I96" s="2056" t="n"/>
      <c r="J96" s="2056" t="n"/>
      <c r="K96" s="476" t="n"/>
    </row>
    <row r="97" ht="15.75" customHeight="1" s="877">
      <c r="A97" s="2075" t="inlineStr">
        <is>
          <t>P/E at Current IPO Price, x</t>
        </is>
      </c>
      <c r="B97" s="2076" t="n"/>
      <c r="C97" s="2076" t="n"/>
      <c r="D97" s="2076" t="n"/>
      <c r="E97" s="500">
        <f>IFERROR(E82/E96,"N/A")</f>
        <v/>
      </c>
      <c r="F97" s="500">
        <f>IFERROR(F82/F96,"N/A")</f>
        <v/>
      </c>
      <c r="G97" s="500">
        <f>IFERROR(G82/G96,"N/A")</f>
        <v/>
      </c>
      <c r="H97" s="500">
        <f>IFERROR(H82/H96,"N/A")</f>
        <v/>
      </c>
      <c r="I97" s="2077" t="n"/>
      <c r="J97" s="2077" t="n"/>
      <c r="K97" s="476" t="n"/>
    </row>
    <row r="98" ht="15.75" customHeight="1" s="877">
      <c r="A98" s="2075" t="inlineStr">
        <is>
          <t>Solving for P/E Multiple, x</t>
        </is>
      </c>
      <c r="B98" s="2076" t="n"/>
      <c r="C98" s="2076" t="n"/>
      <c r="D98" s="2076" t="n"/>
      <c r="E98" s="2078" t="n">
        <v>2</v>
      </c>
      <c r="F98" s="2078" t="n">
        <v>2</v>
      </c>
      <c r="G98" s="2078" t="n">
        <v>2</v>
      </c>
      <c r="H98" s="2078" t="n">
        <v>2</v>
      </c>
      <c r="I98" s="2077" t="n"/>
      <c r="J98" s="2077" t="n"/>
      <c r="K98" s="476" t="n"/>
    </row>
    <row r="99" ht="15.75" customHeight="1" s="877">
      <c r="A99" s="2079" t="inlineStr">
        <is>
          <t>Implied IPO Price, $</t>
        </is>
      </c>
      <c r="B99" s="2066" t="n"/>
      <c r="C99" s="2066" t="n"/>
      <c r="D99" s="2067" t="n"/>
      <c r="E99" s="2068">
        <f>E96*E98</f>
        <v/>
      </c>
      <c r="F99" s="2068">
        <f>F96*F98</f>
        <v/>
      </c>
      <c r="G99" s="2068">
        <f>G96*G98</f>
        <v/>
      </c>
      <c r="H99" s="2068">
        <f>H96*H98</f>
        <v/>
      </c>
      <c r="I99" s="2056" t="n"/>
      <c r="J99" s="2056" t="n"/>
      <c r="K99" s="476" t="n"/>
    </row>
    <row r="100" ht="15.75" customHeight="1" s="877">
      <c r="A100" s="2080" t="inlineStr">
        <is>
          <t>Difference, %</t>
        </is>
      </c>
      <c r="B100" s="2081" t="n"/>
      <c r="C100" s="2081" t="n"/>
      <c r="D100" s="2081" t="n"/>
      <c r="E100" s="2082">
        <f>(E99-E$82)/E$82</f>
        <v/>
      </c>
      <c r="F100" s="2083">
        <f>(F99-F$82)/F$82</f>
        <v/>
      </c>
      <c r="G100" s="2083">
        <f>(G99-G$82)/G$82</f>
        <v/>
      </c>
      <c r="H100" s="2083">
        <f>(H99-H$82)/H$82</f>
        <v/>
      </c>
      <c r="I100" s="2084" t="n"/>
      <c r="J100" s="2084" t="n"/>
      <c r="K100" s="476" t="n"/>
    </row>
    <row r="101" ht="15.75" customHeight="1" s="877">
      <c r="A101" s="1513" t="n"/>
      <c r="B101" s="2070" t="n"/>
      <c r="C101" s="2070" t="n"/>
      <c r="D101" s="2071" t="n"/>
      <c r="E101" s="2072" t="n"/>
      <c r="F101" s="2073" t="n"/>
      <c r="G101" s="2073" t="n"/>
      <c r="H101" s="2085" t="n"/>
      <c r="I101" s="2030" t="n"/>
      <c r="J101" s="2030" t="n"/>
      <c r="K101" s="476" t="n"/>
    </row>
    <row r="102" ht="15.75" customHeight="1" s="877">
      <c r="A102" s="2054" t="inlineStr">
        <is>
          <t>CFPS, $</t>
        </is>
      </c>
      <c r="B102" s="2066" t="n"/>
      <c r="C102" s="2066" t="n"/>
      <c r="D102" s="2067" t="n"/>
      <c r="E102" s="2068">
        <f>IFERROR(INDEX(MO_CFSum_CFPS,0,MATCH(E$80,MO_Common_ColumnHeader,0)),"N/A")</f>
        <v/>
      </c>
      <c r="F102" s="2069">
        <f>IFERROR(INDEX(MO_CFSum_CFPS,0,MATCH(F$80,MO_Common_ColumnHeader,0)),"N/A")</f>
        <v/>
      </c>
      <c r="G102" s="2069">
        <f>IFERROR(INDEX(MO_CFSum_CFPS,0,MATCH(G$80,MO_Common_ColumnHeader,0)),"N/A")</f>
        <v/>
      </c>
      <c r="H102" s="2069">
        <f>IFERROR(INDEX(MO_CFSum_CFPS,0,MATCH(H$80,MO_Common_ColumnHeader,0)),"N/A")</f>
        <v/>
      </c>
      <c r="I102" s="2056" t="n"/>
      <c r="J102" s="2056" t="n"/>
      <c r="K102" s="476" t="n"/>
    </row>
    <row r="103" ht="15.75" customHeight="1" s="877">
      <c r="A103" s="2075" t="inlineStr">
        <is>
          <t>P/CF at Current IPO Price, x</t>
        </is>
      </c>
      <c r="B103" s="2076" t="n"/>
      <c r="C103" s="2076" t="n"/>
      <c r="D103" s="2076" t="n"/>
      <c r="E103" s="500">
        <f>IFERROR(E82/E102,"N/A")</f>
        <v/>
      </c>
      <c r="F103" s="500">
        <f>IFERROR(F82/F102,"N/A")</f>
        <v/>
      </c>
      <c r="G103" s="500">
        <f>IFERROR(G82/G102,"N/A")</f>
        <v/>
      </c>
      <c r="H103" s="500">
        <f>IFERROR(H82/H102,"N/A")</f>
        <v/>
      </c>
      <c r="I103" s="2077" t="n"/>
      <c r="J103" s="2077" t="n"/>
      <c r="K103" s="476" t="n"/>
    </row>
    <row r="104" ht="15.75" customHeight="1" s="877">
      <c r="A104" s="2075" t="inlineStr">
        <is>
          <t>Solving for P/CF Multiple, x</t>
        </is>
      </c>
      <c r="B104" s="2076" t="n"/>
      <c r="C104" s="2076" t="n"/>
      <c r="D104" s="2076" t="n"/>
      <c r="E104" s="2078" t="n">
        <v>1</v>
      </c>
      <c r="F104" s="2078" t="n">
        <v>1</v>
      </c>
      <c r="G104" s="2078" t="n">
        <v>1</v>
      </c>
      <c r="H104" s="2078" t="n">
        <v>1</v>
      </c>
      <c r="I104" s="2077" t="n"/>
      <c r="J104" s="2077" t="n"/>
      <c r="K104" s="476" t="n"/>
    </row>
    <row r="105" ht="15.75" customHeight="1" s="877">
      <c r="A105" s="2079" t="inlineStr">
        <is>
          <t>Implied IPO Price, $</t>
        </is>
      </c>
      <c r="B105" s="2066" t="n"/>
      <c r="C105" s="2066" t="n"/>
      <c r="D105" s="2067" t="n"/>
      <c r="E105" s="2068">
        <f>E102*E104</f>
        <v/>
      </c>
      <c r="F105" s="2068">
        <f>F102*F104</f>
        <v/>
      </c>
      <c r="G105" s="2068">
        <f>G102*G104</f>
        <v/>
      </c>
      <c r="H105" s="2068">
        <f>H102*H104</f>
        <v/>
      </c>
      <c r="I105" s="2056" t="n"/>
      <c r="J105" s="2056" t="n"/>
      <c r="K105" s="476" t="n"/>
    </row>
    <row r="106" ht="15.75" customHeight="1" s="877">
      <c r="A106" s="2080" t="inlineStr">
        <is>
          <t>Difference, %</t>
        </is>
      </c>
      <c r="B106" s="2081" t="n"/>
      <c r="C106" s="2081" t="n"/>
      <c r="D106" s="2081" t="n"/>
      <c r="E106" s="2082">
        <f>(E105-E$82)/E$82</f>
        <v/>
      </c>
      <c r="F106" s="2083">
        <f>(F105-F$82)/F$82</f>
        <v/>
      </c>
      <c r="G106" s="2083">
        <f>(G105-G$82)/G$82</f>
        <v/>
      </c>
      <c r="H106" s="2083">
        <f>(H105-H$82)/H$82</f>
        <v/>
      </c>
      <c r="I106" s="2084" t="n"/>
      <c r="J106" s="2084" t="n"/>
      <c r="K106" s="476" t="n"/>
    </row>
    <row r="107" ht="14.4" customHeight="1" s="877">
      <c r="A107" s="479" t="n"/>
      <c r="B107" s="478" t="n"/>
      <c r="C107" s="478" t="n"/>
      <c r="D107" s="478" t="n"/>
      <c r="E107" s="478" t="n"/>
      <c r="F107" s="477" t="n"/>
      <c r="G107" s="477" t="n"/>
      <c r="H107" s="476" t="n"/>
      <c r="I107" s="476" t="n"/>
      <c r="J107" s="476" t="n"/>
      <c r="K107" s="476" t="n"/>
    </row>
    <row r="108" ht="14.4" customHeight="1" s="877">
      <c r="A108" s="2009" t="inlineStr">
        <is>
          <t>Other Tables</t>
        </is>
      </c>
      <c r="B108" s="1434" t="n"/>
      <c r="C108" s="1434" t="n"/>
      <c r="D108" s="1434" t="n"/>
      <c r="E108" s="1434" t="n"/>
      <c r="F108" s="1434" t="n"/>
      <c r="G108" s="1434" t="n"/>
      <c r="H108" s="1434" t="n"/>
      <c r="I108" s="2086" t="n"/>
      <c r="J108" s="2086" t="n"/>
      <c r="K108" s="476" t="n"/>
    </row>
    <row r="109" hidden="1" outlineLevel="1" ht="14.4" customHeight="1" s="877">
      <c r="A109" s="485" t="n"/>
      <c r="B109" s="478" t="n"/>
      <c r="C109" s="478" t="n"/>
      <c r="D109" s="478" t="n"/>
      <c r="E109" s="478" t="n"/>
      <c r="F109" s="477" t="n"/>
      <c r="G109" s="477" t="n"/>
      <c r="H109" s="476" t="n"/>
      <c r="I109" s="476" t="n"/>
      <c r="J109" s="476" t="n"/>
      <c r="K109" s="476" t="n"/>
    </row>
    <row r="110" hidden="1" outlineLevel="1" ht="14.4" customHeight="1" s="877">
      <c r="A110" s="484" t="inlineStr">
        <is>
          <t>Valuation Multiples Toggle Table</t>
        </is>
      </c>
      <c r="B110" s="478" t="n"/>
      <c r="C110" s="478" t="n"/>
      <c r="D110" s="478" t="n"/>
      <c r="E110" s="478" t="n"/>
      <c r="F110" s="477" t="n"/>
      <c r="G110" s="477" t="n"/>
      <c r="H110" s="476" t="n"/>
      <c r="I110" s="476" t="n"/>
      <c r="J110" s="476" t="n"/>
      <c r="K110" s="476" t="n"/>
    </row>
    <row r="111" hidden="1" outlineLevel="1" ht="14.4" customHeight="1" s="877">
      <c r="A111" s="483" t="inlineStr">
        <is>
          <t>Sales, mm</t>
        </is>
      </c>
      <c r="B111" s="478" t="n"/>
      <c r="C111" s="478" t="n"/>
      <c r="D111" s="478" t="n"/>
      <c r="E111" s="478" t="n"/>
      <c r="F111" s="477" t="n"/>
      <c r="G111" s="477" t="n"/>
      <c r="H111" s="476" t="n"/>
      <c r="I111" s="476" t="n"/>
      <c r="J111" s="476" t="n"/>
      <c r="K111" s="476" t="n"/>
    </row>
    <row r="112" hidden="1" outlineLevel="1" ht="14.4" customHeight="1" s="877">
      <c r="A112" s="482" t="inlineStr">
        <is>
          <t>Gross Profit, mm</t>
        </is>
      </c>
      <c r="B112" s="478" t="n"/>
      <c r="C112" s="478" t="n"/>
      <c r="D112" s="478" t="n"/>
      <c r="E112" s="478" t="n"/>
      <c r="F112" s="477" t="n"/>
      <c r="G112" s="477" t="n"/>
      <c r="H112" s="476" t="n"/>
      <c r="I112" s="476" t="n"/>
      <c r="J112" s="476" t="n"/>
      <c r="K112" s="476" t="n"/>
    </row>
    <row r="113" collapsed="1" ht="14.4" customHeight="1" s="877">
      <c r="A113" s="479" t="n"/>
      <c r="B113" s="478" t="n"/>
      <c r="C113" s="478" t="n"/>
      <c r="D113" s="478" t="n"/>
      <c r="E113" s="478" t="n"/>
      <c r="F113" s="477" t="n"/>
      <c r="G113" s="477" t="n"/>
      <c r="H113" s="476" t="n"/>
      <c r="I113" s="476" t="n"/>
      <c r="J113" s="476" t="n"/>
      <c r="K113" s="476" t="n"/>
    </row>
    <row r="114" ht="14.4" customHeight="1" s="877">
      <c r="A114" s="481" t="inlineStr">
        <is>
          <t>1.1.1.0</t>
        </is>
      </c>
      <c r="B114" s="1434" t="n"/>
      <c r="C114" s="1434" t="n"/>
      <c r="D114" s="1434" t="n"/>
      <c r="E114" s="1434" t="n"/>
      <c r="F114" s="1434" t="n"/>
      <c r="G114" s="1434" t="n"/>
      <c r="H114" s="1434" t="n"/>
      <c r="I114" s="2086" t="n"/>
      <c r="J114" s="2086" t="n"/>
      <c r="K114" s="476" t="n"/>
    </row>
    <row r="115" ht="14.4" customHeight="1" s="877">
      <c r="A115" s="479" t="n"/>
      <c r="B115" s="478" t="n"/>
      <c r="C115" s="478" t="n"/>
      <c r="D115" s="478" t="n"/>
      <c r="E115" s="478" t="n"/>
      <c r="F115" s="477" t="n"/>
      <c r="G115" s="477" t="n"/>
      <c r="H115" s="476" t="n"/>
      <c r="I115" s="476" t="n"/>
      <c r="J115" s="476" t="n"/>
      <c r="K115" s="476" t="n"/>
    </row>
  </sheetData>
  <mergeCells count="1">
    <mergeCell ref="F10:J19"/>
  </mergeCells>
  <dataValidations count="3">
    <dataValidation sqref="A84" showDropDown="0" showInputMessage="1" showErrorMessage="1" allowBlank="1" type="list">
      <formula1>OFFSET(IPO_tb_ValuationMultiplesToggle,1,0,ROWS(IPO_tb_ValuationMultiplesToggle)-1)</formula1>
    </dataValidation>
    <dataValidation sqref="D37" showDropDown="0" showInputMessage="1" showErrorMessage="1" allowBlank="1" type="list">
      <formula1>"Vested,Outstanding"</formula1>
    </dataValidation>
    <dataValidation sqref="D14 D18" showDropDown="0" showInputMessage="1" showErrorMessage="1" allowBlank="1" type="list">
      <formula1>"Yes,No"</formula1>
    </dataValidation>
  </dataValidations>
  <pageMargins left="0.7" right="0.7" top="0.75" bottom="0.75" header="0.3" footer="0.3"/>
  <pageSetup orientation="portrait" paperSize="1"/>
  <legacyDrawing xmlns:r="http://schemas.openxmlformats.org/officeDocument/2006/relationships" r:id="anysvml"/>
</worksheet>
</file>

<file path=xl/worksheets/sheet6.xml><?xml version="1.0" encoding="utf-8"?>
<worksheet xmlns="http://schemas.openxmlformats.org/spreadsheetml/2006/main">
  <sheetPr codeName="Sheet1">
    <outlinePr summaryBelow="1" summaryRight="1"/>
    <pageSetUpPr fitToPage="1"/>
  </sheetPr>
  <dimension ref="A1:AV129"/>
  <sheetViews>
    <sheetView topLeftCell="A1" workbookViewId="0">
      <pane xSplit="2" ySplit="2" topLeftCell="C3" activePane="bottomRight" state="frozenSplit"/>
      <selection pane="topLeft" activeCell="A1" sqref="A1"/>
      <selection pane="bottomLeft" activeCell="A3" sqref="A3"/>
      <selection pane="topRight" activeCell="C1" sqref="C1"/>
      <selection pane="bottomRight" activeCell="A1" sqref="A1"/>
    </sheetView>
  </sheetViews>
  <sheetFormatPr baseColWidth="8" defaultColWidth="9.11428571428571" defaultRowHeight="14.4" outlineLevelRow="1"/>
  <cols>
    <col width="41.2857142857143" customWidth="1" style="630" min="1" max="1"/>
    <col width="9.71428571428571" customWidth="1" style="630" min="2" max="2"/>
    <col hidden="1" outlineLevel="1" width="10.2857142857143" customWidth="1" style="630" min="3" max="23"/>
    <col collapsed="1" width="10.2857142857143" customWidth="1" style="630" min="24" max="24"/>
    <col hidden="1" outlineLevel="1" width="10.2857142857143" customWidth="1" style="630" min="25" max="28"/>
    <col collapsed="1" width="10.2857142857143" customWidth="1" style="630" min="29" max="29"/>
    <col hidden="1" outlineLevel="1" width="10.2857142857143" customWidth="1" style="630" min="30" max="33"/>
    <col collapsed="1" width="10.2857142857143" customWidth="1" style="630" min="34" max="34"/>
    <col outlineLevel="1" width="10.2857142857143" customWidth="1" style="630" min="35" max="38"/>
    <col width="10.2857142857143" customWidth="1" style="630" min="39" max="39"/>
    <col hidden="1" outlineLevel="1" width="10.2857142857143" customWidth="1" style="630" min="40" max="43"/>
    <col collapsed="1" width="10.2857142857143" customWidth="1" style="630" min="44" max="44"/>
    <col width="10.2857142857143" customWidth="1" style="630" min="45" max="47"/>
    <col width="8.857142857142859" customWidth="1" style="630" min="48" max="48"/>
    <col width="9.142857142857141" customWidth="1" style="630" min="49" max="16384"/>
  </cols>
  <sheetData>
    <row r="1" ht="28.8" customHeight="1" s="877">
      <c r="A1" s="2002">
        <f>MO.CompanyName</f>
        <v/>
      </c>
      <c r="B1" s="2087" t="n"/>
      <c r="C1" s="1361">
        <f>INDEX(MO_Common_QEndDate,0,COLUMN())</f>
        <v/>
      </c>
      <c r="D1" s="1363">
        <f>INDEX(MO_Common_QEndDate,0,COLUMN())</f>
        <v/>
      </c>
      <c r="E1" s="1363">
        <f>INDEX(MO_Common_QEndDate,0,COLUMN())</f>
        <v/>
      </c>
      <c r="F1" s="1363">
        <f>INDEX(MO_Common_QEndDate,0,COLUMN())</f>
        <v/>
      </c>
      <c r="G1" s="1363">
        <f>INDEX(MO_Common_QEndDate,0,COLUMN())</f>
        <v/>
      </c>
      <c r="H1" s="1363">
        <f>INDEX(MO_Common_QEndDate,0,COLUMN())</f>
        <v/>
      </c>
      <c r="I1" s="1363">
        <f>INDEX(MO_Common_QEndDate,0,COLUMN())</f>
        <v/>
      </c>
      <c r="J1" s="1363">
        <f>INDEX(MO_Common_QEndDate,0,COLUMN())</f>
        <v/>
      </c>
      <c r="K1" s="1363">
        <f>INDEX(MO_Common_QEndDate,0,COLUMN())</f>
        <v/>
      </c>
      <c r="L1" s="1363">
        <f>INDEX(MO_Common_QEndDate,0,COLUMN())</f>
        <v/>
      </c>
      <c r="M1" s="1363">
        <f>INDEX(MO_Common_QEndDate,0,COLUMN())</f>
        <v/>
      </c>
      <c r="N1" s="1363">
        <f>INDEX(MO_Common_QEndDate,0,COLUMN())</f>
        <v/>
      </c>
      <c r="O1" s="790">
        <f>INDEX(MO_Common_QEndDate,0,COLUMN())</f>
        <v/>
      </c>
      <c r="P1" s="790">
        <f>INDEX(MO_Common_QEndDate,0,COLUMN())</f>
        <v/>
      </c>
      <c r="Q1" s="790">
        <f>INDEX(MO_Common_QEndDate,0,COLUMN())</f>
        <v/>
      </c>
      <c r="R1" s="790">
        <f>INDEX(MO_Common_QEndDate,0,COLUMN())</f>
        <v/>
      </c>
      <c r="S1" s="1363">
        <f>INDEX(MO_Common_QEndDate,0,COLUMN())</f>
        <v/>
      </c>
      <c r="T1" s="790">
        <f>INDEX(MO_Common_QEndDate,0,COLUMN())</f>
        <v/>
      </c>
      <c r="U1" s="790">
        <f>INDEX(MO_Common_QEndDate,0,COLUMN())</f>
        <v/>
      </c>
      <c r="V1" s="790">
        <f>INDEX(MO_Common_QEndDate,0,COLUMN())</f>
        <v/>
      </c>
      <c r="W1" s="790">
        <f>INDEX(MO_Common_QEndDate,0,COLUMN())</f>
        <v/>
      </c>
      <c r="X1" s="1363">
        <f>INDEX(MO_Common_QEndDate,0,COLUMN())</f>
        <v/>
      </c>
      <c r="Y1" s="790">
        <f>INDEX(MO_Common_QEndDate,0,COLUMN())</f>
        <v/>
      </c>
      <c r="Z1" s="790">
        <f>INDEX(MO_Common_QEndDate,0,COLUMN())</f>
        <v/>
      </c>
      <c r="AA1" s="790">
        <f>INDEX(MO_Common_QEndDate,0,COLUMN())</f>
        <v/>
      </c>
      <c r="AB1" s="790">
        <f>INDEX(MO_Common_QEndDate,0,COLUMN())</f>
        <v/>
      </c>
      <c r="AC1" s="1363">
        <f>INDEX(MO_Common_QEndDate,0,COLUMN())</f>
        <v/>
      </c>
      <c r="AD1" s="790">
        <f>INDEX(MO_Common_QEndDate,0,COLUMN())</f>
        <v/>
      </c>
      <c r="AE1" s="790">
        <f>INDEX(MO_Common_QEndDate,0,COLUMN())</f>
        <v/>
      </c>
      <c r="AF1" s="790">
        <f>INDEX(MO_Common_QEndDate,0,COLUMN())</f>
        <v/>
      </c>
      <c r="AG1" s="790">
        <f>INDEX(MO_Common_QEndDate,0,COLUMN())</f>
        <v/>
      </c>
      <c r="AH1" s="1363">
        <f>INDEX(MO_Common_QEndDate,0,COLUMN())</f>
        <v/>
      </c>
      <c r="AI1" s="790">
        <f>INDEX(MO_Common_QEndDate,0,COLUMN())</f>
        <v/>
      </c>
      <c r="AJ1" s="790">
        <f>INDEX(MO_Common_QEndDate,0,COLUMN())</f>
        <v/>
      </c>
      <c r="AK1" s="840">
        <f>INDEX(MO_Common_QEndDate,0,COLUMN())</f>
        <v/>
      </c>
      <c r="AL1" s="790">
        <f>INDEX(MO_Common_QEndDate,0,COLUMN())</f>
        <v/>
      </c>
      <c r="AM1" s="1363">
        <f>INDEX(MO_Common_QEndDate,0,COLUMN())</f>
        <v/>
      </c>
      <c r="AN1" s="790">
        <f>INDEX(MO_Common_QEndDate,0,COLUMN())</f>
        <v/>
      </c>
      <c r="AO1" s="790">
        <f>INDEX(MO_Common_QEndDate,0,COLUMN())</f>
        <v/>
      </c>
      <c r="AP1" s="790">
        <f>INDEX(MO_Common_QEndDate,0,COLUMN())</f>
        <v/>
      </c>
      <c r="AQ1" s="790">
        <f>INDEX(MO_Common_QEndDate,0,COLUMN())</f>
        <v/>
      </c>
      <c r="AR1" s="1363">
        <f>INDEX(MO_Common_QEndDate,0,COLUMN())</f>
        <v/>
      </c>
      <c r="AS1" s="1363">
        <f>INDEX(MO_Common_QEndDate,0,COLUMN())</f>
        <v/>
      </c>
      <c r="AT1" s="1363">
        <f>INDEX(MO_Common_QEndDate,0,COLUMN())</f>
        <v/>
      </c>
      <c r="AU1" s="1363">
        <f>INDEX(MO_Common_QEndDate,0,COLUMN())</f>
        <v/>
      </c>
      <c r="AV1" s="2087" t="n"/>
    </row>
    <row r="2" ht="14.4" customFormat="1" customHeight="1" s="2088">
      <c r="A2" s="2089" t="inlineStr">
        <is>
          <t>Reports</t>
        </is>
      </c>
      <c r="B2" s="2090">
        <f>MO.ReportFX</f>
        <v/>
      </c>
      <c r="C2" s="2091">
        <f>INDEX(MO_Common_ColumnHeader,0,COLUMN())</f>
        <v/>
      </c>
      <c r="D2" s="2092">
        <f>INDEX(MO_Common_ColumnHeader,0,COLUMN())</f>
        <v/>
      </c>
      <c r="E2" s="2092">
        <f>INDEX(MO_Common_ColumnHeader,0,COLUMN())</f>
        <v/>
      </c>
      <c r="F2" s="2092">
        <f>INDEX(MO_Common_ColumnHeader,0,COLUMN())</f>
        <v/>
      </c>
      <c r="G2" s="2092">
        <f>INDEX(MO_Common_ColumnHeader,0,COLUMN())</f>
        <v/>
      </c>
      <c r="H2" s="2092">
        <f>INDEX(MO_Common_ColumnHeader,0,COLUMN())</f>
        <v/>
      </c>
      <c r="I2" s="2092">
        <f>INDEX(MO_Common_ColumnHeader,0,COLUMN())</f>
        <v/>
      </c>
      <c r="J2" s="2092">
        <f>INDEX(MO_Common_ColumnHeader,0,COLUMN())</f>
        <v/>
      </c>
      <c r="K2" s="2092">
        <f>INDEX(MO_Common_ColumnHeader,0,COLUMN())</f>
        <v/>
      </c>
      <c r="L2" s="2092">
        <f>INDEX(MO_Common_ColumnHeader,0,COLUMN())</f>
        <v/>
      </c>
      <c r="M2" s="2092">
        <f>INDEX(MO_Common_ColumnHeader,0,COLUMN())</f>
        <v/>
      </c>
      <c r="N2" s="2092">
        <f>INDEX(MO_Common_ColumnHeader,0,COLUMN())</f>
        <v/>
      </c>
      <c r="O2" s="2093">
        <f>INDEX(MO_Common_ColumnHeader,0,COLUMN())</f>
        <v/>
      </c>
      <c r="P2" s="2093">
        <f>INDEX(MO_Common_ColumnHeader,0,COLUMN())</f>
        <v/>
      </c>
      <c r="Q2" s="2093">
        <f>INDEX(MO_Common_ColumnHeader,0,COLUMN())</f>
        <v/>
      </c>
      <c r="R2" s="2093">
        <f>INDEX(MO_Common_ColumnHeader,0,COLUMN())</f>
        <v/>
      </c>
      <c r="S2" s="2092">
        <f>INDEX(MO_Common_ColumnHeader,0,COLUMN())</f>
        <v/>
      </c>
      <c r="T2" s="2093">
        <f>INDEX(MO_Common_ColumnHeader,0,COLUMN())</f>
        <v/>
      </c>
      <c r="U2" s="2093">
        <f>INDEX(MO_Common_ColumnHeader,0,COLUMN())</f>
        <v/>
      </c>
      <c r="V2" s="2093">
        <f>INDEX(MO_Common_ColumnHeader,0,COLUMN())</f>
        <v/>
      </c>
      <c r="W2" s="2093">
        <f>INDEX(MO_Common_ColumnHeader,0,COLUMN())</f>
        <v/>
      </c>
      <c r="X2" s="2092">
        <f>INDEX(MO_Common_ColumnHeader,0,COLUMN())</f>
        <v/>
      </c>
      <c r="Y2" s="2093">
        <f>INDEX(MO_Common_ColumnHeader,0,COLUMN())</f>
        <v/>
      </c>
      <c r="Z2" s="2093">
        <f>INDEX(MO_Common_ColumnHeader,0,COLUMN())</f>
        <v/>
      </c>
      <c r="AA2" s="2093">
        <f>INDEX(MO_Common_ColumnHeader,0,COLUMN())</f>
        <v/>
      </c>
      <c r="AB2" s="2093">
        <f>INDEX(MO_Common_ColumnHeader,0,COLUMN())</f>
        <v/>
      </c>
      <c r="AC2" s="2092">
        <f>INDEX(MO_Common_ColumnHeader,0,COLUMN())</f>
        <v/>
      </c>
      <c r="AD2" s="2093">
        <f>INDEX(MO_Common_ColumnHeader,0,COLUMN())</f>
        <v/>
      </c>
      <c r="AE2" s="2093">
        <f>INDEX(MO_Common_ColumnHeader,0,COLUMN())</f>
        <v/>
      </c>
      <c r="AF2" s="2093">
        <f>INDEX(MO_Common_ColumnHeader,0,COLUMN())</f>
        <v/>
      </c>
      <c r="AG2" s="2093">
        <f>INDEX(MO_Common_ColumnHeader,0,COLUMN())</f>
        <v/>
      </c>
      <c r="AH2" s="2092">
        <f>INDEX(MO_Common_ColumnHeader,0,COLUMN())</f>
        <v/>
      </c>
      <c r="AI2" s="2093">
        <f>INDEX(MO_Common_ColumnHeader,0,COLUMN())</f>
        <v/>
      </c>
      <c r="AJ2" s="2093">
        <f>INDEX(MO_Common_ColumnHeader,0,COLUMN())</f>
        <v/>
      </c>
      <c r="AK2" s="2094">
        <f>INDEX(MO_Common_ColumnHeader,0,COLUMN())</f>
        <v/>
      </c>
      <c r="AL2" s="2093">
        <f>INDEX(MO_Common_ColumnHeader,0,COLUMN())</f>
        <v/>
      </c>
      <c r="AM2" s="2092">
        <f>INDEX(MO_Common_ColumnHeader,0,COLUMN())</f>
        <v/>
      </c>
      <c r="AN2" s="2093">
        <f>INDEX(MO_Common_ColumnHeader,0,COLUMN())</f>
        <v/>
      </c>
      <c r="AO2" s="2093">
        <f>INDEX(MO_Common_ColumnHeader,0,COLUMN())</f>
        <v/>
      </c>
      <c r="AP2" s="2093">
        <f>INDEX(MO_Common_ColumnHeader,0,COLUMN())</f>
        <v/>
      </c>
      <c r="AQ2" s="2093">
        <f>INDEX(MO_Common_ColumnHeader,0,COLUMN())</f>
        <v/>
      </c>
      <c r="AR2" s="2092">
        <f>INDEX(MO_Common_ColumnHeader,0,COLUMN())</f>
        <v/>
      </c>
      <c r="AS2" s="2092">
        <f>INDEX(MO_Common_ColumnHeader,0,COLUMN())</f>
        <v/>
      </c>
      <c r="AT2" s="2092">
        <f>INDEX(MO_Common_ColumnHeader,0,COLUMN())</f>
        <v/>
      </c>
      <c r="AU2" s="2092">
        <f>INDEX(MO_Common_ColumnHeader,0,COLUMN())</f>
        <v/>
      </c>
      <c r="AV2" s="2087" t="n"/>
    </row>
    <row r="3" ht="14.4" customHeight="1" s="877">
      <c r="A3" s="2095" t="inlineStr">
        <is>
          <t>Capitalization Summary</t>
        </is>
      </c>
      <c r="B3" s="2095" t="n"/>
      <c r="C3" s="2095" t="n"/>
      <c r="D3" s="2095" t="n"/>
      <c r="E3" s="2095" t="n"/>
      <c r="F3" s="2095" t="n"/>
      <c r="G3" s="2095" t="n"/>
      <c r="H3" s="2095" t="n"/>
      <c r="I3" s="2095" t="n"/>
      <c r="J3" s="2095" t="n"/>
      <c r="K3" s="2095" t="n"/>
      <c r="L3" s="2095" t="n"/>
      <c r="M3" s="2095" t="n"/>
      <c r="N3" s="2095" t="n"/>
      <c r="O3" s="2095" t="n"/>
      <c r="P3" s="2095" t="n"/>
      <c r="Q3" s="2095" t="n"/>
      <c r="R3" s="2095" t="n"/>
      <c r="S3" s="2095" t="n"/>
      <c r="T3" s="2095" t="n"/>
      <c r="U3" s="2095" t="n"/>
      <c r="V3" s="2095" t="n"/>
      <c r="W3" s="2095" t="n"/>
      <c r="X3" s="2095" t="n"/>
      <c r="Y3" s="2095" t="n"/>
      <c r="Z3" s="2095" t="n"/>
      <c r="AA3" s="2095" t="n"/>
      <c r="AB3" s="2095" t="n"/>
      <c r="AC3" s="2095" t="n"/>
      <c r="AD3" s="2095" t="n"/>
      <c r="AE3" s="2095" t="n"/>
      <c r="AF3" s="2095" t="n"/>
      <c r="AG3" s="2095" t="n"/>
      <c r="AH3" s="2095" t="n"/>
      <c r="AI3" s="2095" t="n"/>
      <c r="AJ3" s="2095" t="n"/>
      <c r="AK3" s="2096" t="n"/>
      <c r="AL3" s="2095" t="n"/>
      <c r="AM3" s="2095" t="n"/>
      <c r="AN3" s="2095" t="n"/>
      <c r="AO3" s="2095" t="n"/>
      <c r="AP3" s="2095" t="n"/>
      <c r="AQ3" s="2095" t="n"/>
      <c r="AR3" s="2095" t="n"/>
      <c r="AS3" s="2095" t="n"/>
      <c r="AT3" s="2095" t="n"/>
      <c r="AU3" s="2095" t="n"/>
      <c r="AV3" s="2097" t="n"/>
    </row>
    <row r="4" ht="14.4" customFormat="1" customHeight="1" s="2098">
      <c r="A4" s="2099">
        <f>"Stock Price - "&amp;SP.ValuationToggle</f>
        <v/>
      </c>
      <c r="B4" s="2100" t="inlineStr">
        <is>
          <t>EoP</t>
        </is>
      </c>
      <c r="C4" s="2101" t="n"/>
      <c r="D4" s="2101" t="n"/>
      <c r="E4" s="2101" t="n"/>
      <c r="F4" s="2101" t="n"/>
      <c r="G4" s="2101" t="n"/>
      <c r="H4" s="2101" t="n"/>
      <c r="I4" s="2101" t="n"/>
      <c r="J4" s="2101" t="n"/>
      <c r="K4" s="2101" t="n"/>
      <c r="L4" s="2101" t="n"/>
      <c r="M4" s="2101" t="n"/>
      <c r="N4" s="2101" t="n"/>
      <c r="O4" s="2102" t="n"/>
      <c r="P4" s="2102" t="n"/>
      <c r="Q4" s="2102" t="n"/>
      <c r="R4" s="2102" t="n"/>
      <c r="S4" s="2103" t="n"/>
      <c r="T4" s="2102" t="n"/>
      <c r="U4" s="2102" t="n"/>
      <c r="V4" s="2102" t="n"/>
      <c r="W4" s="2102" t="n"/>
      <c r="X4" s="2103" t="n"/>
      <c r="Y4" s="2102" t="n"/>
      <c r="Z4" s="2102" t="n"/>
      <c r="AA4" s="2102" t="n"/>
      <c r="AB4" s="2102" t="n"/>
      <c r="AC4" s="2103" t="n"/>
      <c r="AD4" s="2102" t="n"/>
      <c r="AE4" s="2102" t="n"/>
      <c r="AF4" s="2102" t="n"/>
      <c r="AG4" s="2102" t="n"/>
      <c r="AH4" s="2103" t="n"/>
      <c r="AI4" s="2102">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J4" s="2102">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K4" s="2104">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L4" s="2102">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M4" s="210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N4" s="2102">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O4" s="2102">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P4" s="2102">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Q4" s="2102">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R4" s="210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S4" s="210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T4" s="210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U4" s="2103">
        <f>IF(INDEX(MO_SNA_IsHistoricalPeriod,1,COLUMN())=FALSE,MO.LastPrice/HP.MRFX,CHOOSE(VLOOKUP(SP.ValuationToggle,tb_ValuationToggle,COLUMNS(tb_ValuationToggle),FALSE),INDEX(MO_SPT_StockHigh,1,COLUMN()),INDEX(MO_SPT_StockLow,1,COLUMN()),INDEX(MO_SPT_StockAverage,1,COLUMN()),INDEX(MO_SPT_StockEoP,1,COLUMN()))/IF(SP.ValuationToggle="EoP",IF(INDEX(MO_SPT_FXEoP,1,COLUMN())=0,1,INDEX(MO_SPT_FXEoP,1,COLUMN())),IF(INDEX(MO_SPT_FXAverage,1,COLUMN())=0,1,INDEX(MO_SPT_FXAverage,1,COLUMN()))))</f>
        <v/>
      </c>
      <c r="AV4" s="2105" t="n"/>
    </row>
    <row r="5" ht="14.4" customFormat="1" customHeight="1" s="2098">
      <c r="A5" s="2106">
        <f>INDEX(MO_SCA_ShareCount_EoP_Diluted,0,COLUMN())</f>
        <v/>
      </c>
      <c r="B5" s="2107" t="n"/>
      <c r="C5" s="2108" t="n"/>
      <c r="D5" s="2108" t="n"/>
      <c r="E5" s="2108" t="n"/>
      <c r="F5" s="2108" t="n"/>
      <c r="G5" s="2108" t="n"/>
      <c r="H5" s="2108" t="n"/>
      <c r="I5" s="2108" t="n"/>
      <c r="J5" s="2108" t="n"/>
      <c r="K5" s="2108" t="n"/>
      <c r="L5" s="2108" t="n"/>
      <c r="M5" s="2108" t="n"/>
      <c r="N5" s="2108" t="n"/>
      <c r="O5" s="2109" t="n"/>
      <c r="P5" s="2109" t="n"/>
      <c r="Q5" s="2109" t="n"/>
      <c r="R5" s="2109" t="n"/>
      <c r="S5" s="2110" t="n"/>
      <c r="T5" s="2109" t="n"/>
      <c r="U5" s="2109" t="n"/>
      <c r="V5" s="2109" t="n"/>
      <c r="W5" s="2109" t="n"/>
      <c r="X5" s="2110">
        <f>INDEX(MO_SCA_ShareCount_EoP_Diluted,0,COLUMN())</f>
        <v/>
      </c>
      <c r="Y5" s="2109" t="n"/>
      <c r="Z5" s="2109" t="n"/>
      <c r="AA5" s="2109">
        <f>INDEX(MO_SCA_ShareCount_EoP_Diluted,0,COLUMN())</f>
        <v/>
      </c>
      <c r="AB5" s="2109">
        <f>INDEX(MO_SCA_ShareCount_EoP_Diluted,0,COLUMN())</f>
        <v/>
      </c>
      <c r="AC5" s="2110">
        <f>INDEX(MO_SCA_ShareCount_EoP_Diluted,0,COLUMN())</f>
        <v/>
      </c>
      <c r="AD5" s="2109">
        <f>INDEX(MO_SCA_ShareCount_EoP_Diluted,0,COLUMN())</f>
        <v/>
      </c>
      <c r="AE5" s="2109">
        <f>INDEX(MO_SCA_ShareCount_EoP_Diluted,0,COLUMN())</f>
        <v/>
      </c>
      <c r="AF5" s="2109">
        <f>INDEX(MO_SCA_ShareCount_EoP_Diluted,0,COLUMN())</f>
        <v/>
      </c>
      <c r="AG5" s="2109">
        <f>INDEX(MO_SCA_ShareCount_EoP_Diluted,0,COLUMN())</f>
        <v/>
      </c>
      <c r="AH5" s="2110">
        <f>INDEX(MO_SCA_ShareCount_EoP_Diluted,0,COLUMN())</f>
        <v/>
      </c>
      <c r="AI5" s="2109">
        <f>INDEX(MO_SCA_ShareCount_EoP_Diluted,0,COLUMN())</f>
        <v/>
      </c>
      <c r="AJ5" s="2109">
        <f>INDEX(MO_SCA_ShareCount_EoP_Diluted,0,COLUMN())</f>
        <v/>
      </c>
      <c r="AK5" s="2111">
        <f>INDEX(MO_SCA_ShareCount_EoP_Diluted,0,COLUMN())</f>
        <v/>
      </c>
      <c r="AL5" s="2109">
        <f>INDEX(MO_SCA_ShareCount_EoP_Diluted,0,COLUMN())</f>
        <v/>
      </c>
      <c r="AM5" s="2110">
        <f>INDEX(MO_SCA_ShareCount_EoP_Diluted,0,COLUMN())</f>
        <v/>
      </c>
      <c r="AN5" s="2109">
        <f>INDEX(MO_SCA_ShareCount_EoP_Diluted,0,COLUMN())</f>
        <v/>
      </c>
      <c r="AO5" s="2109">
        <f>INDEX(MO_SCA_ShareCount_EoP_Diluted,0,COLUMN())</f>
        <v/>
      </c>
      <c r="AP5" s="2109">
        <f>INDEX(MO_SCA_ShareCount_EoP_Diluted,0,COLUMN())</f>
        <v/>
      </c>
      <c r="AQ5" s="2109">
        <f>INDEX(MO_SCA_ShareCount_EoP_Diluted,0,COLUMN())</f>
        <v/>
      </c>
      <c r="AR5" s="2110">
        <f>INDEX(MO_SCA_ShareCount_EoP_Diluted,0,COLUMN())</f>
        <v/>
      </c>
      <c r="AS5" s="2110">
        <f>INDEX(MO_SCA_ShareCount_EoP_Diluted,0,COLUMN())</f>
        <v/>
      </c>
      <c r="AT5" s="2110">
        <f>INDEX(MO_SCA_ShareCount_EoP_Diluted,0,COLUMN())</f>
        <v/>
      </c>
      <c r="AU5" s="2110">
        <f>INDEX(MO_SCA_ShareCount_EoP_Diluted,0,COLUMN())</f>
        <v/>
      </c>
      <c r="AV5" s="2112" t="n"/>
    </row>
    <row r="6" ht="14.4" customFormat="1" customHeight="1" s="2113">
      <c r="A6" s="2114">
        <f>"Market Cap - "&amp;SP.ValuationToggle</f>
        <v/>
      </c>
      <c r="B6" s="2115" t="n"/>
      <c r="C6" s="2116" t="n"/>
      <c r="D6" s="2116" t="n"/>
      <c r="E6" s="2116" t="n"/>
      <c r="F6" s="2116" t="n"/>
      <c r="G6" s="2116" t="n"/>
      <c r="H6" s="2116" t="n"/>
      <c r="I6" s="2116" t="n"/>
      <c r="J6" s="2116" t="n"/>
      <c r="K6" s="2116" t="n"/>
      <c r="L6" s="2116" t="n"/>
      <c r="M6" s="2116" t="n"/>
      <c r="N6" s="2116" t="n"/>
      <c r="O6" s="2117" t="n"/>
      <c r="P6" s="2117" t="n"/>
      <c r="Q6" s="2117" t="n"/>
      <c r="R6" s="2117" t="n"/>
      <c r="S6" s="2116" t="n"/>
      <c r="T6" s="2117" t="n"/>
      <c r="U6" s="2117" t="n"/>
      <c r="V6" s="2117" t="n"/>
      <c r="W6" s="2117" t="n"/>
      <c r="X6" s="2116" t="n"/>
      <c r="Y6" s="2117" t="n"/>
      <c r="Z6" s="2117" t="n"/>
      <c r="AA6" s="2117" t="n"/>
      <c r="AB6" s="2117" t="n"/>
      <c r="AC6" s="2116" t="n"/>
      <c r="AD6" s="2117" t="n"/>
      <c r="AE6" s="2117" t="n"/>
      <c r="AF6" s="2117" t="n"/>
      <c r="AG6" s="2117" t="n"/>
      <c r="AH6" s="2116" t="n"/>
      <c r="AI6" s="2117">
        <f>INDEX(SP_CS_StockPrice,0,COLUMN())*INDEX(SP_CS_ShareCount_EoP_Diluted,0,COLUMN())</f>
        <v/>
      </c>
      <c r="AJ6" s="2117">
        <f>INDEX(SP_CS_StockPrice,0,COLUMN())*INDEX(SP_CS_ShareCount_EoP_Diluted,0,COLUMN())</f>
        <v/>
      </c>
      <c r="AK6" s="2118">
        <f>INDEX(SP_CS_StockPrice,0,COLUMN())*INDEX(SP_CS_ShareCount_EoP_Diluted,0,COLUMN())</f>
        <v/>
      </c>
      <c r="AL6" s="2117">
        <f>INDEX(SP_CS_StockPrice,0,COLUMN())*INDEX(SP_CS_ShareCount_EoP_Diluted,0,COLUMN())</f>
        <v/>
      </c>
      <c r="AM6" s="2116">
        <f>INDEX(SP_CS_StockPrice,0,COLUMN())*INDEX(SP_CS_ShareCount_EoP_Diluted,0,COLUMN())</f>
        <v/>
      </c>
      <c r="AN6" s="2117">
        <f>INDEX(SP_CS_StockPrice,0,COLUMN())*INDEX(SP_CS_ShareCount_EoP_Diluted,0,COLUMN())</f>
        <v/>
      </c>
      <c r="AO6" s="2117">
        <f>INDEX(SP_CS_StockPrice,0,COLUMN())*INDEX(SP_CS_ShareCount_EoP_Diluted,0,COLUMN())</f>
        <v/>
      </c>
      <c r="AP6" s="2117">
        <f>INDEX(SP_CS_StockPrice,0,COLUMN())*INDEX(SP_CS_ShareCount_EoP_Diluted,0,COLUMN())</f>
        <v/>
      </c>
      <c r="AQ6" s="2117">
        <f>INDEX(SP_CS_StockPrice,0,COLUMN())*INDEX(SP_CS_ShareCount_EoP_Diluted,0,COLUMN())</f>
        <v/>
      </c>
      <c r="AR6" s="2116">
        <f>INDEX(SP_CS_StockPrice,0,COLUMN())*INDEX(SP_CS_ShareCount_EoP_Diluted,0,COLUMN())</f>
        <v/>
      </c>
      <c r="AS6" s="2116">
        <f>INDEX(SP_CS_StockPrice,0,COLUMN())*INDEX(SP_CS_ShareCount_EoP_Diluted,0,COLUMN())</f>
        <v/>
      </c>
      <c r="AT6" s="2116">
        <f>INDEX(SP_CS_StockPrice,0,COLUMN())*INDEX(SP_CS_ShareCount_EoP_Diluted,0,COLUMN())</f>
        <v/>
      </c>
      <c r="AU6" s="2116">
        <f>INDEX(SP_CS_StockPrice,0,COLUMN())*INDEX(SP_CS_ShareCount_EoP_Diluted,0,COLUMN())</f>
        <v/>
      </c>
      <c r="AV6" s="2119" t="n"/>
    </row>
    <row r="7" ht="14.4" customFormat="1" customHeight="1" s="2088">
      <c r="A7" s="2120">
        <f>INDEX(MO_BSS_Cash,0,COLUMN())</f>
        <v/>
      </c>
      <c r="B7" s="2121" t="n"/>
      <c r="C7" s="2122" t="n"/>
      <c r="D7" s="2122" t="n"/>
      <c r="E7" s="2122" t="n"/>
      <c r="F7" s="2122" t="n"/>
      <c r="G7" s="2122" t="n"/>
      <c r="H7" s="2122" t="n"/>
      <c r="I7" s="2122" t="n"/>
      <c r="J7" s="2122" t="n"/>
      <c r="K7" s="2122" t="n"/>
      <c r="L7" s="2122" t="n"/>
      <c r="M7" s="2122" t="n"/>
      <c r="N7" s="2122" t="n"/>
      <c r="O7" s="2087" t="n"/>
      <c r="P7" s="2087" t="n"/>
      <c r="Q7" s="2087" t="n"/>
      <c r="R7" s="2087" t="n"/>
      <c r="S7" s="2122" t="n"/>
      <c r="T7" s="2087" t="n"/>
      <c r="U7" s="2087" t="n"/>
      <c r="V7" s="2087" t="n"/>
      <c r="W7" s="2087" t="n"/>
      <c r="X7" s="2122" t="n"/>
      <c r="Y7" s="2087" t="n"/>
      <c r="Z7" s="2087" t="n"/>
      <c r="AA7" s="2087" t="n"/>
      <c r="AB7" s="2087">
        <f>INDEX(MO_BSS_Cash,0,COLUMN())</f>
        <v/>
      </c>
      <c r="AC7" s="2122">
        <f>INDEX(MO_BSS_Cash,0,COLUMN())</f>
        <v/>
      </c>
      <c r="AD7" s="2087" t="n"/>
      <c r="AE7" s="2087" t="n"/>
      <c r="AF7" s="2087" t="n"/>
      <c r="AG7" s="2087">
        <f>INDEX(MO_BSS_Cash,0,COLUMN())</f>
        <v/>
      </c>
      <c r="AH7" s="2122">
        <f>INDEX(MO_BSS_Cash,0,COLUMN())</f>
        <v/>
      </c>
      <c r="AI7" s="2087">
        <f>INDEX(MO_BSS_Cash,0,COLUMN())</f>
        <v/>
      </c>
      <c r="AJ7" s="2087">
        <f>INDEX(MO_BSS_Cash,0,COLUMN())</f>
        <v/>
      </c>
      <c r="AK7" s="2123">
        <f>INDEX(MO_BSS_Cash,0,COLUMN())</f>
        <v/>
      </c>
      <c r="AL7" s="2087">
        <f>INDEX(MO_BSS_Cash,0,COLUMN())</f>
        <v/>
      </c>
      <c r="AM7" s="2122">
        <f>INDEX(MO_BSS_Cash,0,COLUMN())</f>
        <v/>
      </c>
      <c r="AN7" s="2087">
        <f>INDEX(MO_BSS_Cash,0,COLUMN())</f>
        <v/>
      </c>
      <c r="AO7" s="2087">
        <f>INDEX(MO_BSS_Cash,0,COLUMN())</f>
        <v/>
      </c>
      <c r="AP7" s="2087">
        <f>INDEX(MO_BSS_Cash,0,COLUMN())</f>
        <v/>
      </c>
      <c r="AQ7" s="2087">
        <f>INDEX(MO_BSS_Cash,0,COLUMN())</f>
        <v/>
      </c>
      <c r="AR7" s="2122">
        <f>INDEX(MO_BSS_Cash,0,COLUMN())</f>
        <v/>
      </c>
      <c r="AS7" s="2122">
        <f>INDEX(MO_BSS_Cash,0,COLUMN())</f>
        <v/>
      </c>
      <c r="AT7" s="2122">
        <f>INDEX(MO_BSS_Cash,0,COLUMN())</f>
        <v/>
      </c>
      <c r="AU7" s="2122">
        <f>INDEX(MO_BSS_Cash,0,COLUMN())</f>
        <v/>
      </c>
      <c r="AV7" s="2087" t="n"/>
    </row>
    <row r="8" ht="14.4" customFormat="1" customHeight="1" s="2088">
      <c r="A8" s="2120">
        <f>INDEX(MO_BSS_Debt,0,COLUMN())</f>
        <v/>
      </c>
      <c r="B8" s="2121" t="n"/>
      <c r="C8" s="2122" t="n"/>
      <c r="D8" s="2122" t="n"/>
      <c r="E8" s="2122" t="n"/>
      <c r="F8" s="2122" t="n"/>
      <c r="G8" s="2122" t="n"/>
      <c r="H8" s="2122" t="n"/>
      <c r="I8" s="2122" t="n"/>
      <c r="J8" s="2122" t="n"/>
      <c r="K8" s="2122" t="n"/>
      <c r="L8" s="2122" t="n"/>
      <c r="M8" s="2122" t="n"/>
      <c r="N8" s="2122" t="n"/>
      <c r="O8" s="2087" t="n"/>
      <c r="P8" s="2087" t="n"/>
      <c r="Q8" s="2087" t="n"/>
      <c r="R8" s="2087" t="n"/>
      <c r="S8" s="2122" t="n"/>
      <c r="T8" s="2087" t="n"/>
      <c r="U8" s="2087" t="n"/>
      <c r="V8" s="2087" t="n"/>
      <c r="W8" s="2087" t="n"/>
      <c r="X8" s="2122" t="n"/>
      <c r="Y8" s="2087" t="n"/>
      <c r="Z8" s="2087" t="n"/>
      <c r="AA8" s="2087" t="n"/>
      <c r="AB8" s="2087">
        <f>INDEX(MO_BSS_Debt,0,COLUMN())</f>
        <v/>
      </c>
      <c r="AC8" s="2122">
        <f>INDEX(MO_BSS_Debt,0,COLUMN())</f>
        <v/>
      </c>
      <c r="AD8" s="2087" t="n"/>
      <c r="AE8" s="2087" t="n"/>
      <c r="AF8" s="2087" t="n"/>
      <c r="AG8" s="2087">
        <f>INDEX(MO_BSS_Debt,0,COLUMN())</f>
        <v/>
      </c>
      <c r="AH8" s="2122">
        <f>INDEX(MO_BSS_Debt,0,COLUMN())</f>
        <v/>
      </c>
      <c r="AI8" s="2087">
        <f>INDEX(MO_BSS_Debt,0,COLUMN())</f>
        <v/>
      </c>
      <c r="AJ8" s="2087">
        <f>INDEX(MO_BSS_Debt,0,COLUMN())</f>
        <v/>
      </c>
      <c r="AK8" s="2123">
        <f>INDEX(MO_BSS_Debt,0,COLUMN())</f>
        <v/>
      </c>
      <c r="AL8" s="2087">
        <f>INDEX(MO_BSS_Debt,0,COLUMN())</f>
        <v/>
      </c>
      <c r="AM8" s="2122">
        <f>INDEX(MO_BSS_Debt,0,COLUMN())</f>
        <v/>
      </c>
      <c r="AN8" s="2087">
        <f>INDEX(MO_BSS_Debt,0,COLUMN())</f>
        <v/>
      </c>
      <c r="AO8" s="2087">
        <f>INDEX(MO_BSS_Debt,0,COLUMN())</f>
        <v/>
      </c>
      <c r="AP8" s="2087">
        <f>INDEX(MO_BSS_Debt,0,COLUMN())</f>
        <v/>
      </c>
      <c r="AQ8" s="2087">
        <f>INDEX(MO_BSS_Debt,0,COLUMN())</f>
        <v/>
      </c>
      <c r="AR8" s="2122">
        <f>INDEX(MO_BSS_Debt,0,COLUMN())</f>
        <v/>
      </c>
      <c r="AS8" s="2122">
        <f>INDEX(MO_BSS_Debt,0,COLUMN())</f>
        <v/>
      </c>
      <c r="AT8" s="2122">
        <f>INDEX(MO_BSS_Debt,0,COLUMN())</f>
        <v/>
      </c>
      <c r="AU8" s="2122">
        <f>INDEX(MO_BSS_Debt,0,COLUMN())</f>
        <v/>
      </c>
      <c r="AV8" s="2087" t="n"/>
    </row>
    <row r="9" ht="14.4" customFormat="1" customHeight="1" s="2088">
      <c r="A9" s="2120">
        <f>INDEX(MO_BSS_OL,0,COLUMN())</f>
        <v/>
      </c>
      <c r="B9" s="2121" t="n"/>
      <c r="C9" s="2122" t="n"/>
      <c r="D9" s="2122" t="n"/>
      <c r="E9" s="2122" t="n"/>
      <c r="F9" s="2122" t="n"/>
      <c r="G9" s="2122" t="n"/>
      <c r="H9" s="2122" t="n"/>
      <c r="I9" s="2122" t="n"/>
      <c r="J9" s="2122" t="n"/>
      <c r="K9" s="2122" t="n"/>
      <c r="L9" s="2122" t="n"/>
      <c r="M9" s="2122" t="n"/>
      <c r="N9" s="2122" t="n"/>
      <c r="O9" s="2087" t="n"/>
      <c r="P9" s="2087" t="n"/>
      <c r="Q9" s="2087" t="n"/>
      <c r="R9" s="2087" t="n"/>
      <c r="S9" s="2122" t="n"/>
      <c r="T9" s="2087" t="n"/>
      <c r="U9" s="2087" t="n"/>
      <c r="V9" s="2087" t="n"/>
      <c r="W9" s="2087" t="n"/>
      <c r="X9" s="2122" t="n"/>
      <c r="Y9" s="2087" t="n"/>
      <c r="Z9" s="2087" t="n"/>
      <c r="AA9" s="2087" t="n"/>
      <c r="AB9" s="2087">
        <f>INDEX(MO_BSS_OL,0,COLUMN())</f>
        <v/>
      </c>
      <c r="AC9" s="2122">
        <f>INDEX(MO_BSS_OL,0,COLUMN())</f>
        <v/>
      </c>
      <c r="AD9" s="2087" t="n"/>
      <c r="AE9" s="2087" t="n"/>
      <c r="AF9" s="2087" t="n"/>
      <c r="AG9" s="2087">
        <f>INDEX(MO_BSS_OL,0,COLUMN())</f>
        <v/>
      </c>
      <c r="AH9" s="2122">
        <f>INDEX(MO_BSS_OL,0,COLUMN())</f>
        <v/>
      </c>
      <c r="AI9" s="2087">
        <f>INDEX(MO_BSS_OL,0,COLUMN())</f>
        <v/>
      </c>
      <c r="AJ9" s="2087">
        <f>INDEX(MO_BSS_OL,0,COLUMN())</f>
        <v/>
      </c>
      <c r="AK9" s="2123">
        <f>INDEX(MO_BSS_OL,0,COLUMN())</f>
        <v/>
      </c>
      <c r="AL9" s="2087">
        <f>INDEX(MO_BSS_OL,0,COLUMN())</f>
        <v/>
      </c>
      <c r="AM9" s="2122">
        <f>INDEX(MO_BSS_OL,0,COLUMN())</f>
        <v/>
      </c>
      <c r="AN9" s="2087">
        <f>INDEX(MO_BSS_OL,0,COLUMN())</f>
        <v/>
      </c>
      <c r="AO9" s="2087">
        <f>INDEX(MO_BSS_OL,0,COLUMN())</f>
        <v/>
      </c>
      <c r="AP9" s="2087">
        <f>INDEX(MO_BSS_OL,0,COLUMN())</f>
        <v/>
      </c>
      <c r="AQ9" s="2087">
        <f>INDEX(MO_BSS_OL,0,COLUMN())</f>
        <v/>
      </c>
      <c r="AR9" s="2122">
        <f>INDEX(MO_BSS_OL,0,COLUMN())</f>
        <v/>
      </c>
      <c r="AS9" s="2122">
        <f>INDEX(MO_BSS_OL,0,COLUMN())</f>
        <v/>
      </c>
      <c r="AT9" s="2122">
        <f>INDEX(MO_BSS_OL,0,COLUMN())</f>
        <v/>
      </c>
      <c r="AU9" s="2122">
        <f>INDEX(MO_BSS_OL,0,COLUMN())</f>
        <v/>
      </c>
      <c r="AV9" s="2087" t="n"/>
    </row>
    <row r="10" ht="14.4" customFormat="1" customHeight="1" s="2088">
      <c r="A10" s="2120" t="inlineStr">
        <is>
          <t>Other EV Components</t>
        </is>
      </c>
      <c r="B10" s="2121" t="n"/>
      <c r="C10" s="2122" t="n"/>
      <c r="D10" s="2122" t="n"/>
      <c r="E10" s="2122" t="n"/>
      <c r="F10" s="2122" t="n"/>
      <c r="G10" s="2122" t="n"/>
      <c r="H10" s="2122" t="n"/>
      <c r="I10" s="2122" t="n"/>
      <c r="J10" s="2122" t="n"/>
      <c r="K10" s="2122" t="n"/>
      <c r="L10" s="2122" t="n"/>
      <c r="M10" s="2122" t="n"/>
      <c r="N10" s="2122" t="n"/>
      <c r="O10" s="2087" t="n"/>
      <c r="P10" s="2087" t="n"/>
      <c r="Q10" s="2087" t="n"/>
      <c r="R10" s="2087" t="n"/>
      <c r="S10" s="2122" t="n"/>
      <c r="T10" s="2087" t="n"/>
      <c r="U10" s="2087" t="n"/>
      <c r="V10" s="2087" t="n"/>
      <c r="W10" s="2087" t="n"/>
      <c r="X10" s="2122" t="n"/>
      <c r="Y10" s="2087" t="n"/>
      <c r="Z10" s="2087" t="n"/>
      <c r="AA10" s="2087" t="n"/>
      <c r="AB10" s="2087">
        <f>INDEX(MO_VA_EVCalc_NCI,0,COLUMN())+INDEX(MO_VA_EVCalc_Prefs,0,COLUMN())+INDEX(MO_VA_EVCalc_Other,0,COLUMN())</f>
        <v/>
      </c>
      <c r="AC10" s="2122">
        <f>INDEX(MO_VA_EVCalc_NCI,0,COLUMN())+INDEX(MO_VA_EVCalc_Prefs,0,COLUMN())+INDEX(MO_VA_EVCalc_Other,0,COLUMN())</f>
        <v/>
      </c>
      <c r="AD10" s="2087" t="n"/>
      <c r="AE10" s="2087" t="n"/>
      <c r="AF10" s="2087" t="n"/>
      <c r="AG10" s="2087">
        <f>INDEX(MO_VA_EVCalc_NCI,0,COLUMN())+INDEX(MO_VA_EVCalc_Prefs,0,COLUMN())+INDEX(MO_VA_EVCalc_Other,0,COLUMN())</f>
        <v/>
      </c>
      <c r="AH10" s="2122">
        <f>INDEX(MO_VA_EVCalc_NCI,0,COLUMN())+INDEX(MO_VA_EVCalc_Prefs,0,COLUMN())+INDEX(MO_VA_EVCalc_Other,0,COLUMN())</f>
        <v/>
      </c>
      <c r="AI10" s="2087">
        <f>INDEX(MO_VA_EVCalc_NCI,0,COLUMN())+INDEX(MO_VA_EVCalc_Prefs,0,COLUMN())+INDEX(MO_VA_EVCalc_Other,0,COLUMN())</f>
        <v/>
      </c>
      <c r="AJ10" s="2087">
        <f>INDEX(MO_VA_EVCalc_NCI,0,COLUMN())+INDEX(MO_VA_EVCalc_Prefs,0,COLUMN())+INDEX(MO_VA_EVCalc_Other,0,COLUMN())</f>
        <v/>
      </c>
      <c r="AK10" s="2123">
        <f>INDEX(MO_VA_EVCalc_NCI,0,COLUMN())+INDEX(MO_VA_EVCalc_Prefs,0,COLUMN())+INDEX(MO_VA_EVCalc_Other,0,COLUMN())</f>
        <v/>
      </c>
      <c r="AL10" s="2087">
        <f>INDEX(MO_VA_EVCalc_NCI,0,COLUMN())+INDEX(MO_VA_EVCalc_Prefs,0,COLUMN())+INDEX(MO_VA_EVCalc_Other,0,COLUMN())</f>
        <v/>
      </c>
      <c r="AM10" s="2122">
        <f>INDEX(MO_VA_EVCalc_NCI,0,COLUMN())+INDEX(MO_VA_EVCalc_Prefs,0,COLUMN())+INDEX(MO_VA_EVCalc_Other,0,COLUMN())</f>
        <v/>
      </c>
      <c r="AN10" s="2087">
        <f>INDEX(MO_VA_EVCalc_NCI,0,COLUMN())+INDEX(MO_VA_EVCalc_Prefs,0,COLUMN())+INDEX(MO_VA_EVCalc_Other,0,COLUMN())</f>
        <v/>
      </c>
      <c r="AO10" s="2087">
        <f>INDEX(MO_VA_EVCalc_NCI,0,COLUMN())+INDEX(MO_VA_EVCalc_Prefs,0,COLUMN())+INDEX(MO_VA_EVCalc_Other,0,COLUMN())</f>
        <v/>
      </c>
      <c r="AP10" s="2087">
        <f>INDEX(MO_VA_EVCalc_NCI,0,COLUMN())+INDEX(MO_VA_EVCalc_Prefs,0,COLUMN())+INDEX(MO_VA_EVCalc_Other,0,COLUMN())</f>
        <v/>
      </c>
      <c r="AQ10" s="2087">
        <f>INDEX(MO_VA_EVCalc_NCI,0,COLUMN())+INDEX(MO_VA_EVCalc_Prefs,0,COLUMN())+INDEX(MO_VA_EVCalc_Other,0,COLUMN())</f>
        <v/>
      </c>
      <c r="AR10" s="2122">
        <f>INDEX(MO_VA_EVCalc_NCI,0,COLUMN())+INDEX(MO_VA_EVCalc_Prefs,0,COLUMN())+INDEX(MO_VA_EVCalc_Other,0,COLUMN())</f>
        <v/>
      </c>
      <c r="AS10" s="2122">
        <f>INDEX(MO_VA_EVCalc_NCI,0,COLUMN())+INDEX(MO_VA_EVCalc_Prefs,0,COLUMN())+INDEX(MO_VA_EVCalc_Other,0,COLUMN())</f>
        <v/>
      </c>
      <c r="AT10" s="2122">
        <f>INDEX(MO_VA_EVCalc_NCI,0,COLUMN())+INDEX(MO_VA_EVCalc_Prefs,0,COLUMN())+INDEX(MO_VA_EVCalc_Other,0,COLUMN())</f>
        <v/>
      </c>
      <c r="AU10" s="2122">
        <f>INDEX(MO_VA_EVCalc_NCI,0,COLUMN())+INDEX(MO_VA_EVCalc_Prefs,0,COLUMN())+INDEX(MO_VA_EVCalc_Other,0,COLUMN())</f>
        <v/>
      </c>
      <c r="AV10" s="2087" t="n"/>
    </row>
    <row r="11" ht="14.4" customFormat="1" customHeight="1" s="2113">
      <c r="A11" s="2114">
        <f>"Enterprise Value - "&amp;SP.ValuationToggle</f>
        <v/>
      </c>
      <c r="B11" s="2115" t="n"/>
      <c r="C11" s="2116" t="n"/>
      <c r="D11" s="2116" t="n"/>
      <c r="E11" s="2116" t="n"/>
      <c r="F11" s="2116" t="n"/>
      <c r="G11" s="2116" t="n"/>
      <c r="H11" s="2116" t="n"/>
      <c r="I11" s="2116" t="n"/>
      <c r="J11" s="2116" t="n"/>
      <c r="K11" s="2116" t="n"/>
      <c r="L11" s="2116" t="n"/>
      <c r="M11" s="2116" t="n"/>
      <c r="N11" s="2116" t="n"/>
      <c r="O11" s="2117" t="n"/>
      <c r="P11" s="2117" t="n"/>
      <c r="Q11" s="2117" t="n"/>
      <c r="R11" s="2117" t="n"/>
      <c r="S11" s="2116" t="n"/>
      <c r="T11" s="2117" t="n"/>
      <c r="U11" s="2117" t="n"/>
      <c r="V11" s="2117" t="n"/>
      <c r="W11" s="2117" t="n"/>
      <c r="X11" s="2116" t="n"/>
      <c r="Y11" s="2117" t="n"/>
      <c r="Z11" s="2117" t="n"/>
      <c r="AA11" s="2117" t="n"/>
      <c r="AB11" s="2117" t="n"/>
      <c r="AC11" s="2116" t="n"/>
      <c r="AD11" s="2117" t="n"/>
      <c r="AE11" s="2117" t="n"/>
      <c r="AF11" s="2117" t="n"/>
      <c r="AG11" s="2117" t="n"/>
      <c r="AH11" s="2116" t="n"/>
      <c r="AI11" s="2117">
        <f>INDEX(SP_CS_MarketCap,0,COLUMN())-INDEX(SP_CS_Cash,0,COLUMN())+INDEX(SP_CS_Debt,0,COLUMN())+INDEX(SP_CS_OL,0,COLUMN())+INDEX(SP_CS_EVCalc_Other,0,COLUMN())</f>
        <v/>
      </c>
      <c r="AJ11" s="2117">
        <f>INDEX(SP_CS_MarketCap,0,COLUMN())-INDEX(SP_CS_Cash,0,COLUMN())+INDEX(SP_CS_Debt,0,COLUMN())+INDEX(SP_CS_OL,0,COLUMN())+INDEX(SP_CS_EVCalc_Other,0,COLUMN())</f>
        <v/>
      </c>
      <c r="AK11" s="2118">
        <f>INDEX(SP_CS_MarketCap,0,COLUMN())-INDEX(SP_CS_Cash,0,COLUMN())+INDEX(SP_CS_Debt,0,COLUMN())+INDEX(SP_CS_OL,0,COLUMN())+INDEX(SP_CS_EVCalc_Other,0,COLUMN())</f>
        <v/>
      </c>
      <c r="AL11" s="2117">
        <f>INDEX(SP_CS_MarketCap,0,COLUMN())-INDEX(SP_CS_Cash,0,COLUMN())+INDEX(SP_CS_Debt,0,COLUMN())+INDEX(SP_CS_OL,0,COLUMN())+INDEX(SP_CS_EVCalc_Other,0,COLUMN())</f>
        <v/>
      </c>
      <c r="AM11" s="2116">
        <f>INDEX(SP_CS_MarketCap,0,COLUMN())-INDEX(SP_CS_Cash,0,COLUMN())+INDEX(SP_CS_Debt,0,COLUMN())+INDEX(SP_CS_OL,0,COLUMN())+INDEX(SP_CS_EVCalc_Other,0,COLUMN())</f>
        <v/>
      </c>
      <c r="AN11" s="2117">
        <f>INDEX(SP_CS_MarketCap,0,COLUMN())-INDEX(SP_CS_Cash,0,COLUMN())+INDEX(SP_CS_Debt,0,COLUMN())+INDEX(SP_CS_OL,0,COLUMN())+INDEX(SP_CS_EVCalc_Other,0,COLUMN())</f>
        <v/>
      </c>
      <c r="AO11" s="2117">
        <f>INDEX(SP_CS_MarketCap,0,COLUMN())-INDEX(SP_CS_Cash,0,COLUMN())+INDEX(SP_CS_Debt,0,COLUMN())+INDEX(SP_CS_OL,0,COLUMN())+INDEX(SP_CS_EVCalc_Other,0,COLUMN())</f>
        <v/>
      </c>
      <c r="AP11" s="2117">
        <f>INDEX(SP_CS_MarketCap,0,COLUMN())-INDEX(SP_CS_Cash,0,COLUMN())+INDEX(SP_CS_Debt,0,COLUMN())+INDEX(SP_CS_OL,0,COLUMN())+INDEX(SP_CS_EVCalc_Other,0,COLUMN())</f>
        <v/>
      </c>
      <c r="AQ11" s="2117">
        <f>INDEX(SP_CS_MarketCap,0,COLUMN())-INDEX(SP_CS_Cash,0,COLUMN())+INDEX(SP_CS_Debt,0,COLUMN())+INDEX(SP_CS_OL,0,COLUMN())+INDEX(SP_CS_EVCalc_Other,0,COLUMN())</f>
        <v/>
      </c>
      <c r="AR11" s="2116">
        <f>INDEX(SP_CS_MarketCap,0,COLUMN())-INDEX(SP_CS_Cash,0,COLUMN())+INDEX(SP_CS_Debt,0,COLUMN())+INDEX(SP_CS_OL,0,COLUMN())+INDEX(SP_CS_EVCalc_Other,0,COLUMN())</f>
        <v/>
      </c>
      <c r="AS11" s="2116">
        <f>INDEX(SP_CS_MarketCap,0,COLUMN())-INDEX(SP_CS_Cash,0,COLUMN())+INDEX(SP_CS_Debt,0,COLUMN())+INDEX(SP_CS_OL,0,COLUMN())+INDEX(SP_CS_EVCalc_Other,0,COLUMN())</f>
        <v/>
      </c>
      <c r="AT11" s="2116">
        <f>INDEX(SP_CS_MarketCap,0,COLUMN())-INDEX(SP_CS_Cash,0,COLUMN())+INDEX(SP_CS_Debt,0,COLUMN())+INDEX(SP_CS_OL,0,COLUMN())+INDEX(SP_CS_EVCalc_Other,0,COLUMN())</f>
        <v/>
      </c>
      <c r="AU11" s="2116">
        <f>INDEX(SP_CS_MarketCap,0,COLUMN())-INDEX(SP_CS_Cash,0,COLUMN())+INDEX(SP_CS_Debt,0,COLUMN())+INDEX(SP_CS_OL,0,COLUMN())+INDEX(SP_CS_EVCalc_Other,0,COLUMN())</f>
        <v/>
      </c>
      <c r="AV11" s="2119" t="n"/>
    </row>
    <row r="12" ht="14.4" customFormat="1" customHeight="1" s="2113">
      <c r="A12" s="2100" t="n"/>
      <c r="B12" s="2124" t="n"/>
      <c r="C12" s="2125" t="n"/>
      <c r="D12" s="2125" t="n"/>
      <c r="E12" s="2125" t="n"/>
      <c r="F12" s="2125" t="n"/>
      <c r="G12" s="2125" t="n"/>
      <c r="H12" s="2125" t="n"/>
      <c r="I12" s="2125" t="n"/>
      <c r="J12" s="2125" t="n"/>
      <c r="K12" s="2125" t="n"/>
      <c r="L12" s="2125" t="n"/>
      <c r="M12" s="2125" t="n"/>
      <c r="N12" s="2125" t="n"/>
      <c r="O12" s="2119" t="n"/>
      <c r="P12" s="2119" t="n"/>
      <c r="Q12" s="2119" t="n"/>
      <c r="R12" s="2119" t="n"/>
      <c r="S12" s="2125" t="n"/>
      <c r="T12" s="2119" t="n"/>
      <c r="U12" s="2119" t="n"/>
      <c r="V12" s="2119" t="n"/>
      <c r="W12" s="2119" t="n"/>
      <c r="X12" s="2125" t="n"/>
      <c r="Y12" s="2119" t="n"/>
      <c r="Z12" s="2119" t="n"/>
      <c r="AA12" s="2119" t="n"/>
      <c r="AB12" s="2119" t="n"/>
      <c r="AC12" s="2125" t="n"/>
      <c r="AD12" s="2119" t="n"/>
      <c r="AE12" s="2119" t="n"/>
      <c r="AF12" s="2119" t="n"/>
      <c r="AG12" s="2119" t="n"/>
      <c r="AH12" s="2125" t="n"/>
      <c r="AI12" s="2119" t="n"/>
      <c r="AJ12" s="2119" t="n"/>
      <c r="AK12" s="2126" t="n"/>
      <c r="AL12" s="2119" t="n"/>
      <c r="AM12" s="2125" t="n"/>
      <c r="AN12" s="2119" t="n"/>
      <c r="AO12" s="2119" t="n"/>
      <c r="AP12" s="2119" t="n"/>
      <c r="AQ12" s="2119" t="n"/>
      <c r="AR12" s="2125" t="n"/>
      <c r="AS12" s="2125" t="n"/>
      <c r="AT12" s="2125" t="n"/>
      <c r="AU12" s="2125" t="n"/>
      <c r="AV12" s="2119" t="n"/>
    </row>
    <row r="13" ht="14.4" customHeight="1" s="877">
      <c r="A13" s="2095" t="inlineStr">
        <is>
          <t>Company-Specific Operational Data</t>
        </is>
      </c>
      <c r="B13" s="2127" t="n"/>
      <c r="C13" s="2127" t="n"/>
      <c r="D13" s="2127" t="n"/>
      <c r="E13" s="2127" t="n"/>
      <c r="F13" s="2127" t="n"/>
      <c r="G13" s="2127" t="n"/>
      <c r="H13" s="2127" t="n"/>
      <c r="I13" s="2127" t="n"/>
      <c r="J13" s="2127" t="n"/>
      <c r="K13" s="2127" t="n"/>
      <c r="L13" s="2127" t="n"/>
      <c r="M13" s="2127" t="n"/>
      <c r="N13" s="2127" t="n"/>
      <c r="O13" s="2127" t="n"/>
      <c r="P13" s="2127" t="n"/>
      <c r="Q13" s="2127" t="n"/>
      <c r="R13" s="2127" t="n"/>
      <c r="S13" s="2127" t="n"/>
      <c r="T13" s="2127" t="n"/>
      <c r="U13" s="2127" t="n"/>
      <c r="V13" s="2127" t="n"/>
      <c r="W13" s="2127" t="n"/>
      <c r="X13" s="2127" t="n"/>
      <c r="Y13" s="2127" t="n"/>
      <c r="Z13" s="2127" t="n"/>
      <c r="AA13" s="2127" t="n"/>
      <c r="AB13" s="2127" t="n"/>
      <c r="AC13" s="2127" t="n"/>
      <c r="AD13" s="2127" t="n"/>
      <c r="AE13" s="2127" t="n"/>
      <c r="AF13" s="2127" t="n"/>
      <c r="AG13" s="2127" t="n"/>
      <c r="AH13" s="2127" t="n"/>
      <c r="AI13" s="2127" t="n"/>
      <c r="AJ13" s="2127" t="n"/>
      <c r="AK13" s="2128" t="n"/>
      <c r="AL13" s="2127" t="n"/>
      <c r="AM13" s="2127" t="n"/>
      <c r="AN13" s="2127" t="n"/>
      <c r="AO13" s="2127" t="n"/>
      <c r="AP13" s="2127" t="n"/>
      <c r="AQ13" s="2127" t="n"/>
      <c r="AR13" s="2127" t="n"/>
      <c r="AS13" s="2127" t="n"/>
      <c r="AT13" s="2127" t="n"/>
      <c r="AU13" s="2127" t="n"/>
      <c r="AV13" s="2087" t="n"/>
    </row>
    <row r="14" ht="14.4" customFormat="1" customHeight="1" s="2129">
      <c r="A14" s="2130">
        <f>Model!A9</f>
        <v/>
      </c>
      <c r="B14" s="2131" t="n"/>
      <c r="C14" s="2132" t="n"/>
      <c r="D14" s="2132" t="n"/>
      <c r="E14" s="2132" t="n"/>
      <c r="F14" s="2132" t="n"/>
      <c r="G14" s="2132" t="n"/>
      <c r="H14" s="2132" t="n"/>
      <c r="I14" s="2132" t="n"/>
      <c r="J14" s="2132" t="n"/>
      <c r="K14" s="2132" t="n"/>
      <c r="L14" s="2132" t="n"/>
      <c r="M14" s="2132" t="n"/>
      <c r="N14" s="2132" t="n"/>
      <c r="O14" s="2133" t="n"/>
      <c r="P14" s="2133" t="n"/>
      <c r="Q14" s="2133" t="n"/>
      <c r="R14" s="2133" t="n"/>
      <c r="S14" s="2132" t="n"/>
      <c r="T14" s="2133" t="n"/>
      <c r="U14" s="2133" t="n"/>
      <c r="V14" s="2133" t="n"/>
      <c r="W14" s="2133" t="n"/>
      <c r="X14" s="2132" t="n"/>
      <c r="Y14" s="2133" t="n"/>
      <c r="Z14" s="2133" t="n"/>
      <c r="AA14" s="2133" t="n"/>
      <c r="AB14" s="2133" t="n"/>
      <c r="AC14" s="2132" t="n"/>
      <c r="AD14" s="2133" t="n"/>
      <c r="AE14" s="2133">
        <f>Model!AE9</f>
        <v/>
      </c>
      <c r="AF14" s="2133">
        <f>Model!AF9</f>
        <v/>
      </c>
      <c r="AG14" s="2133">
        <f>Model!AG9</f>
        <v/>
      </c>
      <c r="AH14" s="2132" t="n"/>
      <c r="AI14" s="2133">
        <f>Model!AI9</f>
        <v/>
      </c>
      <c r="AJ14" s="2133">
        <f>Model!AJ9</f>
        <v/>
      </c>
      <c r="AK14" s="2134">
        <f>Model!AK9</f>
        <v/>
      </c>
      <c r="AL14" s="2133">
        <f>Model!AL9</f>
        <v/>
      </c>
      <c r="AM14" s="2132" t="n"/>
      <c r="AN14" s="2133">
        <f>Model!AN9</f>
        <v/>
      </c>
      <c r="AO14" s="2133">
        <f>Model!AO9</f>
        <v/>
      </c>
      <c r="AP14" s="2133">
        <f>Model!AP9</f>
        <v/>
      </c>
      <c r="AQ14" s="2133">
        <f>Model!AQ9</f>
        <v/>
      </c>
      <c r="AR14" s="2132" t="n"/>
      <c r="AS14" s="2132" t="n"/>
      <c r="AT14" s="2132" t="n"/>
      <c r="AU14" s="2132" t="n"/>
      <c r="AV14" s="2135" t="n"/>
    </row>
    <row r="15" ht="14.4" customFormat="1" customHeight="1" s="2129">
      <c r="A15" s="2130">
        <f>Model!A10</f>
        <v/>
      </c>
      <c r="B15" s="2131" t="n"/>
      <c r="C15" s="2132" t="n"/>
      <c r="D15" s="2132" t="n"/>
      <c r="E15" s="2132" t="n"/>
      <c r="F15" s="2132" t="n"/>
      <c r="G15" s="2132" t="n"/>
      <c r="H15" s="2132" t="n"/>
      <c r="I15" s="2132" t="n"/>
      <c r="J15" s="2132" t="n"/>
      <c r="K15" s="2132" t="n"/>
      <c r="L15" s="2132" t="n"/>
      <c r="M15" s="2132" t="n"/>
      <c r="N15" s="2132" t="n"/>
      <c r="O15" s="2133" t="n"/>
      <c r="P15" s="2133" t="n"/>
      <c r="Q15" s="2133" t="n"/>
      <c r="R15" s="2133" t="n"/>
      <c r="S15" s="2132" t="n"/>
      <c r="T15" s="2133" t="n"/>
      <c r="U15" s="2133" t="n"/>
      <c r="V15" s="2133" t="n"/>
      <c r="W15" s="2133" t="n"/>
      <c r="X15" s="2132" t="n"/>
      <c r="Y15" s="2133" t="n"/>
      <c r="Z15" s="2133" t="n"/>
      <c r="AA15" s="2133" t="n"/>
      <c r="AB15" s="2133" t="n"/>
      <c r="AC15" s="2132">
        <f>Model!AC10</f>
        <v/>
      </c>
      <c r="AD15" s="2133" t="n"/>
      <c r="AE15" s="2133" t="n"/>
      <c r="AF15" s="2133" t="n"/>
      <c r="AG15" s="2133">
        <f>Model!AG10</f>
        <v/>
      </c>
      <c r="AH15" s="2132">
        <f>Model!AH10</f>
        <v/>
      </c>
      <c r="AI15" s="2133">
        <f>Model!AI10</f>
        <v/>
      </c>
      <c r="AJ15" s="2133">
        <f>Model!AJ10</f>
        <v/>
      </c>
      <c r="AK15" s="2134">
        <f>Model!AK10</f>
        <v/>
      </c>
      <c r="AL15" s="2133">
        <f>Model!AL10</f>
        <v/>
      </c>
      <c r="AM15" s="2132">
        <f>Model!AM10</f>
        <v/>
      </c>
      <c r="AN15" s="2133">
        <f>Model!AN10</f>
        <v/>
      </c>
      <c r="AO15" s="2133">
        <f>Model!AO10</f>
        <v/>
      </c>
      <c r="AP15" s="2133">
        <f>Model!AP10</f>
        <v/>
      </c>
      <c r="AQ15" s="2133">
        <f>Model!AQ10</f>
        <v/>
      </c>
      <c r="AR15" s="2132">
        <f>Model!AR10</f>
        <v/>
      </c>
      <c r="AS15" s="2132">
        <f>Model!AS10</f>
        <v/>
      </c>
      <c r="AT15" s="2132">
        <f>Model!AT10</f>
        <v/>
      </c>
      <c r="AU15" s="2132">
        <f>Model!AU10</f>
        <v/>
      </c>
      <c r="AV15" s="2135" t="n"/>
    </row>
    <row r="16" ht="14.4" customFormat="1" customHeight="1" s="2088">
      <c r="A16" s="2136" t="n"/>
      <c r="B16" s="2137" t="n"/>
      <c r="C16" s="2138" t="n"/>
      <c r="D16" s="2138" t="n"/>
      <c r="E16" s="2138" t="n"/>
      <c r="F16" s="2138" t="n"/>
      <c r="G16" s="2138" t="n"/>
      <c r="H16" s="2138" t="n"/>
      <c r="I16" s="2138" t="n"/>
      <c r="J16" s="2138" t="n"/>
      <c r="K16" s="2138" t="n"/>
      <c r="L16" s="2138" t="n"/>
      <c r="M16" s="2138" t="n"/>
      <c r="N16" s="2138" t="n"/>
      <c r="O16" s="2139" t="n"/>
      <c r="P16" s="2139" t="n"/>
      <c r="Q16" s="2139" t="n"/>
      <c r="R16" s="2139" t="n"/>
      <c r="S16" s="2138" t="n"/>
      <c r="T16" s="2139" t="n"/>
      <c r="U16" s="2139" t="n"/>
      <c r="V16" s="2139" t="n"/>
      <c r="W16" s="2139" t="n"/>
      <c r="X16" s="2138" t="n"/>
      <c r="Y16" s="2139" t="n"/>
      <c r="Z16" s="2139" t="n"/>
      <c r="AA16" s="2139" t="n"/>
      <c r="AB16" s="2139" t="n"/>
      <c r="AC16" s="2138" t="n"/>
      <c r="AD16" s="2139" t="n"/>
      <c r="AE16" s="2139" t="n"/>
      <c r="AF16" s="2139" t="n"/>
      <c r="AG16" s="2139" t="n"/>
      <c r="AH16" s="2138" t="n"/>
      <c r="AI16" s="2139" t="n"/>
      <c r="AJ16" s="2139" t="n"/>
      <c r="AK16" s="2140" t="n"/>
      <c r="AL16" s="2139" t="n"/>
      <c r="AM16" s="2138" t="n"/>
      <c r="AN16" s="2139" t="n"/>
      <c r="AO16" s="2139" t="n"/>
      <c r="AP16" s="2139" t="n"/>
      <c r="AQ16" s="2139" t="n"/>
      <c r="AR16" s="2138" t="n"/>
      <c r="AS16" s="2138" t="n"/>
      <c r="AT16" s="2138" t="n"/>
      <c r="AU16" s="2138" t="n"/>
      <c r="AV16" s="2087" t="n"/>
    </row>
    <row r="17" ht="14.4" customFormat="1" customHeight="1" s="2141">
      <c r="A17" s="2142">
        <f>Model!A34</f>
        <v/>
      </c>
      <c r="B17" s="2143" t="n"/>
      <c r="C17" s="2144" t="n"/>
      <c r="D17" s="2144" t="n"/>
      <c r="E17" s="2144" t="n"/>
      <c r="F17" s="2144" t="n"/>
      <c r="G17" s="2144" t="n"/>
      <c r="H17" s="2144" t="n"/>
      <c r="I17" s="2144" t="n"/>
      <c r="J17" s="2144" t="n"/>
      <c r="K17" s="2144" t="n"/>
      <c r="L17" s="2144" t="n"/>
      <c r="M17" s="2144" t="n"/>
      <c r="N17" s="2144" t="n"/>
      <c r="O17" s="2145" t="n"/>
      <c r="P17" s="2145" t="n"/>
      <c r="Q17" s="2145" t="n"/>
      <c r="R17" s="2145" t="n"/>
      <c r="S17" s="2144" t="n"/>
      <c r="T17" s="2145" t="n"/>
      <c r="U17" s="2145" t="n"/>
      <c r="V17" s="2145" t="n"/>
      <c r="W17" s="2145" t="n"/>
      <c r="X17" s="2144" t="n"/>
      <c r="Y17" s="2145" t="n"/>
      <c r="Z17" s="2145" t="n"/>
      <c r="AA17" s="2145" t="n"/>
      <c r="AB17" s="2145" t="n"/>
      <c r="AC17" s="2144">
        <f>Model!AC34</f>
        <v/>
      </c>
      <c r="AD17" s="2145" t="n"/>
      <c r="AE17" s="2145" t="n"/>
      <c r="AF17" s="2145" t="n"/>
      <c r="AG17" s="2145" t="n"/>
      <c r="AH17" s="2144">
        <f>Model!AH34</f>
        <v/>
      </c>
      <c r="AI17" s="2145">
        <f>Model!AI34</f>
        <v/>
      </c>
      <c r="AJ17" s="2145">
        <f>Model!AJ34</f>
        <v/>
      </c>
      <c r="AK17" s="2146">
        <f>Model!AK34</f>
        <v/>
      </c>
      <c r="AL17" s="2145" t="n"/>
      <c r="AM17" s="2144" t="n"/>
      <c r="AN17" s="2145" t="n"/>
      <c r="AO17" s="2145" t="n"/>
      <c r="AP17" s="2145" t="n"/>
      <c r="AQ17" s="2145" t="n"/>
      <c r="AR17" s="2144" t="n"/>
      <c r="AS17" s="2144" t="n"/>
      <c r="AT17" s="2144" t="n"/>
      <c r="AU17" s="2144" t="n"/>
      <c r="AV17" s="2147" t="n"/>
    </row>
    <row r="18" ht="14.4" customFormat="1" customHeight="1" s="2148">
      <c r="A18" s="2149">
        <f>Model!A35</f>
        <v/>
      </c>
      <c r="B18" s="2150" t="n"/>
      <c r="C18" s="2151" t="n"/>
      <c r="D18" s="2151" t="n"/>
      <c r="E18" s="2151" t="n"/>
      <c r="F18" s="2151" t="n"/>
      <c r="G18" s="2151" t="n"/>
      <c r="H18" s="2151" t="n"/>
      <c r="I18" s="2151" t="n"/>
      <c r="J18" s="2151" t="n"/>
      <c r="K18" s="2151" t="n"/>
      <c r="L18" s="2151" t="n"/>
      <c r="M18" s="2151" t="n"/>
      <c r="N18" s="2151" t="n"/>
      <c r="O18" s="2152" t="n"/>
      <c r="P18" s="2152" t="n"/>
      <c r="Q18" s="2152" t="n"/>
      <c r="R18" s="2152" t="n"/>
      <c r="S18" s="2151" t="n"/>
      <c r="T18" s="2152" t="n"/>
      <c r="U18" s="2152" t="n"/>
      <c r="V18" s="2152" t="n"/>
      <c r="W18" s="2152" t="n"/>
      <c r="X18" s="2151" t="n"/>
      <c r="Y18" s="2152" t="n"/>
      <c r="Z18" s="2152" t="n"/>
      <c r="AA18" s="2152" t="n"/>
      <c r="AB18" s="2152" t="n"/>
      <c r="AC18" s="2151">
        <f>Model!AC35</f>
        <v/>
      </c>
      <c r="AD18" s="2152" t="n"/>
      <c r="AE18" s="2152" t="n"/>
      <c r="AF18" s="2152" t="n"/>
      <c r="AG18" s="2152" t="n"/>
      <c r="AH18" s="2151">
        <f>Model!AH35</f>
        <v/>
      </c>
      <c r="AI18" s="2152">
        <f>Model!AI35</f>
        <v/>
      </c>
      <c r="AJ18" s="2152">
        <f>Model!AJ35</f>
        <v/>
      </c>
      <c r="AK18" s="2153">
        <f>Model!AK35</f>
        <v/>
      </c>
      <c r="AL18" s="2152" t="n"/>
      <c r="AM18" s="2151" t="n"/>
      <c r="AN18" s="2152" t="n"/>
      <c r="AO18" s="2152" t="n"/>
      <c r="AP18" s="2152" t="n"/>
      <c r="AQ18" s="2152" t="n"/>
      <c r="AR18" s="2151" t="n"/>
      <c r="AS18" s="2151" t="n"/>
      <c r="AT18" s="2151" t="n"/>
      <c r="AU18" s="2151" t="n"/>
      <c r="AV18" s="2097" t="n"/>
    </row>
    <row r="19" ht="14.4" customFormat="1" customHeight="1" s="2148">
      <c r="A19" s="2149">
        <f>Model!A36</f>
        <v/>
      </c>
      <c r="B19" s="2150" t="n"/>
      <c r="C19" s="2151" t="n"/>
      <c r="D19" s="2151" t="n"/>
      <c r="E19" s="2151" t="n"/>
      <c r="F19" s="2151" t="n"/>
      <c r="G19" s="2151" t="n"/>
      <c r="H19" s="2151" t="n"/>
      <c r="I19" s="2151" t="n"/>
      <c r="J19" s="2151" t="n"/>
      <c r="K19" s="2151" t="n"/>
      <c r="L19" s="2151" t="n"/>
      <c r="M19" s="2151" t="n"/>
      <c r="N19" s="2151" t="n"/>
      <c r="O19" s="2152" t="n"/>
      <c r="P19" s="2152" t="n"/>
      <c r="Q19" s="2152" t="n"/>
      <c r="R19" s="2152" t="n"/>
      <c r="S19" s="2151" t="n"/>
      <c r="T19" s="2152" t="n"/>
      <c r="U19" s="2152" t="n"/>
      <c r="V19" s="2152" t="n"/>
      <c r="W19" s="2152" t="n"/>
      <c r="X19" s="2151" t="n"/>
      <c r="Y19" s="2152" t="n"/>
      <c r="Z19" s="2152" t="n"/>
      <c r="AA19" s="2152" t="n"/>
      <c r="AB19" s="2152" t="n"/>
      <c r="AC19" s="2151">
        <f>Model!AC36</f>
        <v/>
      </c>
      <c r="AD19" s="2152" t="n"/>
      <c r="AE19" s="2152" t="n"/>
      <c r="AF19" s="2152" t="n"/>
      <c r="AG19" s="2152" t="n"/>
      <c r="AH19" s="2151">
        <f>Model!AH36</f>
        <v/>
      </c>
      <c r="AI19" s="2152">
        <f>Model!AI36</f>
        <v/>
      </c>
      <c r="AJ19" s="2152">
        <f>Model!AJ36</f>
        <v/>
      </c>
      <c r="AK19" s="2153">
        <f>Model!AK36</f>
        <v/>
      </c>
      <c r="AL19" s="2152" t="n"/>
      <c r="AM19" s="2151" t="n"/>
      <c r="AN19" s="2152" t="n"/>
      <c r="AO19" s="2152" t="n"/>
      <c r="AP19" s="2152" t="n"/>
      <c r="AQ19" s="2152" t="n"/>
      <c r="AR19" s="2151" t="n"/>
      <c r="AS19" s="2151" t="n"/>
      <c r="AT19" s="2151" t="n"/>
      <c r="AU19" s="2151" t="n"/>
      <c r="AV19" s="2097" t="n"/>
    </row>
    <row r="20" ht="14.4" customFormat="1" customHeight="1" s="2148">
      <c r="A20" s="2149">
        <f>Model!A37</f>
        <v/>
      </c>
      <c r="B20" s="2150" t="n"/>
      <c r="C20" s="2151" t="n"/>
      <c r="D20" s="2151" t="n"/>
      <c r="E20" s="2151" t="n"/>
      <c r="F20" s="2151" t="n"/>
      <c r="G20" s="2151" t="n"/>
      <c r="H20" s="2151" t="n"/>
      <c r="I20" s="2151" t="n"/>
      <c r="J20" s="2151" t="n"/>
      <c r="K20" s="2151" t="n"/>
      <c r="L20" s="2151" t="n"/>
      <c r="M20" s="2151" t="n"/>
      <c r="N20" s="2151" t="n"/>
      <c r="O20" s="2152" t="n"/>
      <c r="P20" s="2152" t="n"/>
      <c r="Q20" s="2152" t="n"/>
      <c r="R20" s="2152" t="n"/>
      <c r="S20" s="2151" t="n"/>
      <c r="T20" s="2152" t="n"/>
      <c r="U20" s="2152" t="n"/>
      <c r="V20" s="2152" t="n"/>
      <c r="W20" s="2152" t="n"/>
      <c r="X20" s="2151" t="n"/>
      <c r="Y20" s="2152" t="n"/>
      <c r="Z20" s="2152" t="n"/>
      <c r="AA20" s="2152" t="n"/>
      <c r="AB20" s="2152" t="n"/>
      <c r="AC20" s="2151">
        <f>Model!AC37</f>
        <v/>
      </c>
      <c r="AD20" s="2152" t="n"/>
      <c r="AE20" s="2152" t="n"/>
      <c r="AF20" s="2152" t="n"/>
      <c r="AG20" s="2152" t="n"/>
      <c r="AH20" s="2151">
        <f>Model!AH37</f>
        <v/>
      </c>
      <c r="AI20" s="2152">
        <f>Model!AI37</f>
        <v/>
      </c>
      <c r="AJ20" s="2152">
        <f>Model!AJ37</f>
        <v/>
      </c>
      <c r="AK20" s="2153">
        <f>Model!AK37</f>
        <v/>
      </c>
      <c r="AL20" s="2152" t="n"/>
      <c r="AM20" s="2151" t="n"/>
      <c r="AN20" s="2152" t="n"/>
      <c r="AO20" s="2152" t="n"/>
      <c r="AP20" s="2152" t="n"/>
      <c r="AQ20" s="2152" t="n"/>
      <c r="AR20" s="2151" t="n"/>
      <c r="AS20" s="2151" t="n"/>
      <c r="AT20" s="2151" t="n"/>
      <c r="AU20" s="2151" t="n"/>
      <c r="AV20" s="2097" t="n"/>
    </row>
    <row r="21" ht="14.4" customFormat="1" customHeight="1" s="2088">
      <c r="A21" s="2136" t="n"/>
      <c r="B21" s="2137" t="n"/>
      <c r="C21" s="2138" t="n"/>
      <c r="D21" s="2138" t="n"/>
      <c r="E21" s="2138" t="n"/>
      <c r="F21" s="2138" t="n"/>
      <c r="G21" s="2138" t="n"/>
      <c r="H21" s="2138" t="n"/>
      <c r="I21" s="2138" t="n"/>
      <c r="J21" s="2138" t="n"/>
      <c r="K21" s="2138" t="n"/>
      <c r="L21" s="2138" t="n"/>
      <c r="M21" s="2138" t="n"/>
      <c r="N21" s="2138" t="n"/>
      <c r="O21" s="2139" t="n"/>
      <c r="P21" s="2139" t="n"/>
      <c r="Q21" s="2139" t="n"/>
      <c r="R21" s="2139" t="n"/>
      <c r="S21" s="2138" t="n"/>
      <c r="T21" s="2139" t="n"/>
      <c r="U21" s="2139" t="n"/>
      <c r="V21" s="2139" t="n"/>
      <c r="W21" s="2139" t="n"/>
      <c r="X21" s="2138" t="n"/>
      <c r="Y21" s="2139" t="n"/>
      <c r="Z21" s="2139" t="n"/>
      <c r="AA21" s="2139" t="n"/>
      <c r="AB21" s="2139" t="n"/>
      <c r="AC21" s="2138" t="n"/>
      <c r="AD21" s="2139" t="n"/>
      <c r="AE21" s="2139" t="n"/>
      <c r="AF21" s="2139" t="n"/>
      <c r="AG21" s="2139" t="n"/>
      <c r="AH21" s="2138" t="n"/>
      <c r="AI21" s="2139" t="n"/>
      <c r="AJ21" s="2139" t="n"/>
      <c r="AK21" s="2140" t="n"/>
      <c r="AL21" s="2139" t="n"/>
      <c r="AM21" s="2138" t="n"/>
      <c r="AN21" s="2139" t="n"/>
      <c r="AO21" s="2139" t="n"/>
      <c r="AP21" s="2139" t="n"/>
      <c r="AQ21" s="2139" t="n"/>
      <c r="AR21" s="2138" t="n"/>
      <c r="AS21" s="2138" t="n"/>
      <c r="AT21" s="2138" t="n"/>
      <c r="AU21" s="2138" t="n"/>
      <c r="AV21" s="2087" t="n"/>
    </row>
    <row r="22" ht="14.4" customHeight="1" s="877">
      <c r="A22" s="2095" t="inlineStr">
        <is>
          <t>GAAP Financials and Non-GAAP Financials</t>
        </is>
      </c>
      <c r="B22" s="2127" t="n"/>
      <c r="C22" s="2127" t="n"/>
      <c r="D22" s="2127" t="n"/>
      <c r="E22" s="2127" t="n"/>
      <c r="F22" s="2127" t="n"/>
      <c r="G22" s="2127" t="n"/>
      <c r="H22" s="2127" t="n"/>
      <c r="I22" s="2127" t="n"/>
      <c r="J22" s="2127" t="n"/>
      <c r="K22" s="2127" t="n"/>
      <c r="L22" s="2127" t="n"/>
      <c r="M22" s="2127" t="n"/>
      <c r="N22" s="2127" t="n"/>
      <c r="O22" s="2127" t="n"/>
      <c r="P22" s="2127" t="n"/>
      <c r="Q22" s="2127" t="n"/>
      <c r="R22" s="2127" t="n"/>
      <c r="S22" s="2127" t="n"/>
      <c r="T22" s="2127" t="n"/>
      <c r="U22" s="2127" t="n"/>
      <c r="V22" s="2127" t="n"/>
      <c r="W22" s="2127" t="n"/>
      <c r="X22" s="2127" t="n"/>
      <c r="Y22" s="2127" t="n"/>
      <c r="Z22" s="2127" t="n"/>
      <c r="AA22" s="2154" t="inlineStr">
        <is>
          <t>9 months</t>
        </is>
      </c>
      <c r="AB22" s="2127" t="n"/>
      <c r="AC22" s="2127" t="n"/>
      <c r="AD22" s="2127" t="n"/>
      <c r="AE22" s="2127" t="n"/>
      <c r="AF22" s="2127" t="n"/>
      <c r="AG22" s="2127" t="n"/>
      <c r="AH22" s="2127" t="n"/>
      <c r="AI22" s="2127" t="n"/>
      <c r="AJ22" s="2127" t="n"/>
      <c r="AK22" s="2128" t="n"/>
      <c r="AL22" s="2127" t="n"/>
      <c r="AM22" s="2127" t="n"/>
      <c r="AN22" s="2127" t="n"/>
      <c r="AO22" s="2127" t="n"/>
      <c r="AP22" s="2127" t="n"/>
      <c r="AQ22" s="2127" t="n"/>
      <c r="AR22" s="2127" t="n"/>
      <c r="AS22" s="2127" t="n"/>
      <c r="AT22" s="2127" t="n"/>
      <c r="AU22" s="2127" t="n"/>
      <c r="AV22" s="2119" t="n"/>
    </row>
    <row r="23" ht="14.4" customFormat="1" customHeight="1" s="2113">
      <c r="A23" s="2100">
        <f>INDEX(MO_RIS_REV,0,COLUMN())</f>
        <v/>
      </c>
      <c r="B23" s="2124" t="n"/>
      <c r="C23" s="2125" t="n"/>
      <c r="D23" s="2125" t="n"/>
      <c r="E23" s="2125" t="n"/>
      <c r="F23" s="2125" t="n"/>
      <c r="G23" s="2125" t="n"/>
      <c r="H23" s="2125" t="n"/>
      <c r="I23" s="2125" t="n"/>
      <c r="J23" s="2125" t="n"/>
      <c r="K23" s="2125" t="n"/>
      <c r="L23" s="2125" t="n"/>
      <c r="M23" s="2125" t="n"/>
      <c r="N23" s="2125" t="n"/>
      <c r="O23" s="2119" t="n"/>
      <c r="P23" s="2119" t="n"/>
      <c r="Q23" s="2119" t="n"/>
      <c r="R23" s="2119" t="n"/>
      <c r="S23" s="2125" t="n"/>
      <c r="T23" s="2119" t="n"/>
      <c r="U23" s="2119" t="n"/>
      <c r="V23" s="2119" t="n"/>
      <c r="W23" s="2119" t="n"/>
      <c r="X23" s="2125">
        <f>INDEX(MO_RIS_REV,0,COLUMN())</f>
        <v/>
      </c>
      <c r="Y23" s="2119" t="n"/>
      <c r="Z23" s="2119" t="n"/>
      <c r="AA23" s="2119">
        <f>INDEX(MO_RIS_REV,0,COLUMN())</f>
        <v/>
      </c>
      <c r="AB23" s="2119">
        <f>INDEX(MO_RIS_REV,0,COLUMN())</f>
        <v/>
      </c>
      <c r="AC23" s="2125">
        <f>INDEX(MO_RIS_REV,0,COLUMN())</f>
        <v/>
      </c>
      <c r="AD23" s="2119">
        <f>INDEX(MO_RIS_REV,0,COLUMN())</f>
        <v/>
      </c>
      <c r="AE23" s="2119">
        <f>INDEX(MO_RIS_REV,0,COLUMN())</f>
        <v/>
      </c>
      <c r="AF23" s="2119">
        <f>INDEX(MO_RIS_REV,0,COLUMN())</f>
        <v/>
      </c>
      <c r="AG23" s="2119">
        <f>INDEX(MO_RIS_REV,0,COLUMN())</f>
        <v/>
      </c>
      <c r="AH23" s="2125">
        <f>INDEX(MO_RIS_REV,0,COLUMN())</f>
        <v/>
      </c>
      <c r="AI23" s="2119">
        <f>INDEX(MO_RIS_REV,0,COLUMN())</f>
        <v/>
      </c>
      <c r="AJ23" s="2119">
        <f>INDEX(MO_RIS_REV,0,COLUMN())</f>
        <v/>
      </c>
      <c r="AK23" s="2126">
        <f>INDEX(MO_RIS_REV,0,COLUMN())</f>
        <v/>
      </c>
      <c r="AL23" s="2119">
        <f>INDEX(MO_RIS_REV,0,COLUMN())</f>
        <v/>
      </c>
      <c r="AM23" s="2125">
        <f>INDEX(MO_RIS_REV,0,COLUMN())</f>
        <v/>
      </c>
      <c r="AN23" s="2119">
        <f>INDEX(MO_RIS_REV,0,COLUMN())</f>
        <v/>
      </c>
      <c r="AO23" s="2119">
        <f>INDEX(MO_RIS_REV,0,COLUMN())</f>
        <v/>
      </c>
      <c r="AP23" s="2119">
        <f>INDEX(MO_RIS_REV,0,COLUMN())</f>
        <v/>
      </c>
      <c r="AQ23" s="2119">
        <f>INDEX(MO_RIS_REV,0,COLUMN())</f>
        <v/>
      </c>
      <c r="AR23" s="2125">
        <f>INDEX(MO_RIS_REV,0,COLUMN())</f>
        <v/>
      </c>
      <c r="AS23" s="2125">
        <f>INDEX(MO_RIS_REV,0,COLUMN())</f>
        <v/>
      </c>
      <c r="AT23" s="2125">
        <f>INDEX(MO_RIS_REV,0,COLUMN())</f>
        <v/>
      </c>
      <c r="AU23" s="2125">
        <f>INDEX(MO_RIS_REV,0,COLUMN())</f>
        <v/>
      </c>
      <c r="AV23" s="2119" t="n"/>
    </row>
    <row r="24" ht="14.4" customFormat="1" customHeight="1" s="2113">
      <c r="A24" s="2120">
        <f>INDEX(MO_RIS_COGS,0,COLUMN())</f>
        <v/>
      </c>
      <c r="B24" s="2121" t="n"/>
      <c r="C24" s="2122" t="n"/>
      <c r="D24" s="2122" t="n"/>
      <c r="E24" s="2122" t="n"/>
      <c r="F24" s="2122" t="n"/>
      <c r="G24" s="2122" t="n"/>
      <c r="H24" s="2122" t="n"/>
      <c r="I24" s="2122" t="n"/>
      <c r="J24" s="2122" t="n"/>
      <c r="K24" s="2122" t="n"/>
      <c r="L24" s="2122" t="n"/>
      <c r="M24" s="2122" t="n"/>
      <c r="N24" s="2122" t="n"/>
      <c r="O24" s="2087" t="n"/>
      <c r="P24" s="2087" t="n"/>
      <c r="Q24" s="2087" t="n"/>
      <c r="R24" s="2087" t="n"/>
      <c r="S24" s="2122" t="n"/>
      <c r="T24" s="2087" t="n"/>
      <c r="U24" s="2087" t="n"/>
      <c r="V24" s="2087" t="n"/>
      <c r="W24" s="2087" t="n"/>
      <c r="X24" s="2122">
        <f>INDEX(MO_RIS_COGS,0,COLUMN())</f>
        <v/>
      </c>
      <c r="Y24" s="2087" t="n"/>
      <c r="Z24" s="2087" t="n"/>
      <c r="AA24" s="2087">
        <f>INDEX(MO_RIS_COGS,0,COLUMN())</f>
        <v/>
      </c>
      <c r="AB24" s="2087">
        <f>INDEX(MO_RIS_COGS,0,COLUMN())</f>
        <v/>
      </c>
      <c r="AC24" s="2122">
        <f>INDEX(MO_RIS_COGS,0,COLUMN())</f>
        <v/>
      </c>
      <c r="AD24" s="2087">
        <f>INDEX(MO_RIS_COGS,0,COLUMN())</f>
        <v/>
      </c>
      <c r="AE24" s="2087">
        <f>INDEX(MO_RIS_COGS,0,COLUMN())</f>
        <v/>
      </c>
      <c r="AF24" s="2087">
        <f>INDEX(MO_RIS_COGS,0,COLUMN())</f>
        <v/>
      </c>
      <c r="AG24" s="2087">
        <f>INDEX(MO_RIS_COGS,0,COLUMN())</f>
        <v/>
      </c>
      <c r="AH24" s="2122">
        <f>INDEX(MO_RIS_COGS,0,COLUMN())</f>
        <v/>
      </c>
      <c r="AI24" s="2087">
        <f>INDEX(MO_RIS_COGS,0,COLUMN())</f>
        <v/>
      </c>
      <c r="AJ24" s="2087">
        <f>INDEX(MO_RIS_COGS,0,COLUMN())</f>
        <v/>
      </c>
      <c r="AK24" s="2123">
        <f>INDEX(MO_RIS_COGS,0,COLUMN())</f>
        <v/>
      </c>
      <c r="AL24" s="2087">
        <f>INDEX(MO_RIS_COGS,0,COLUMN())</f>
        <v/>
      </c>
      <c r="AM24" s="2122">
        <f>INDEX(MO_RIS_COGS,0,COLUMN())</f>
        <v/>
      </c>
      <c r="AN24" s="2087">
        <f>INDEX(MO_RIS_COGS,0,COLUMN())</f>
        <v/>
      </c>
      <c r="AO24" s="2087">
        <f>INDEX(MO_RIS_COGS,0,COLUMN())</f>
        <v/>
      </c>
      <c r="AP24" s="2087">
        <f>INDEX(MO_RIS_COGS,0,COLUMN())</f>
        <v/>
      </c>
      <c r="AQ24" s="2087">
        <f>INDEX(MO_RIS_COGS,0,COLUMN())</f>
        <v/>
      </c>
      <c r="AR24" s="2122">
        <f>INDEX(MO_RIS_COGS,0,COLUMN())</f>
        <v/>
      </c>
      <c r="AS24" s="2122">
        <f>INDEX(MO_RIS_COGS,0,COLUMN())</f>
        <v/>
      </c>
      <c r="AT24" s="2122">
        <f>INDEX(MO_RIS_COGS,0,COLUMN())</f>
        <v/>
      </c>
      <c r="AU24" s="2122">
        <f>INDEX(MO_RIS_COGS,0,COLUMN())</f>
        <v/>
      </c>
      <c r="AV24" s="2119" t="n"/>
    </row>
    <row r="25" ht="14.4" customFormat="1" customHeight="1" s="2113">
      <c r="A25" s="2120">
        <f>INDEX(MO_RIS_SBC_COGS,0,COLUMN())</f>
        <v/>
      </c>
      <c r="B25" s="2121" t="n"/>
      <c r="C25" s="2122" t="n"/>
      <c r="D25" s="2122" t="n"/>
      <c r="E25" s="2122" t="n"/>
      <c r="F25" s="2122" t="n"/>
      <c r="G25" s="2122" t="n"/>
      <c r="H25" s="2122" t="n"/>
      <c r="I25" s="2122" t="n"/>
      <c r="J25" s="2122" t="n"/>
      <c r="K25" s="2122" t="n"/>
      <c r="L25" s="2122" t="n"/>
      <c r="M25" s="2122" t="n"/>
      <c r="N25" s="2122" t="n"/>
      <c r="O25" s="2087" t="n"/>
      <c r="P25" s="2087" t="n"/>
      <c r="Q25" s="2087" t="n"/>
      <c r="R25" s="2087" t="n"/>
      <c r="S25" s="2122" t="n"/>
      <c r="T25" s="2087" t="n"/>
      <c r="U25" s="2087" t="n"/>
      <c r="V25" s="2087" t="n"/>
      <c r="W25" s="2087" t="n"/>
      <c r="X25" s="2122">
        <f>INDEX(MO_RIS_SBC_COGS,0,COLUMN())</f>
        <v/>
      </c>
      <c r="Y25" s="2087" t="n"/>
      <c r="Z25" s="2087" t="n"/>
      <c r="AA25" s="2087">
        <f>INDEX(MO_RIS_SBC_COGS,0,COLUMN())</f>
        <v/>
      </c>
      <c r="AB25" s="2087">
        <f>INDEX(MO_RIS_SBC_COGS,0,COLUMN())</f>
        <v/>
      </c>
      <c r="AC25" s="2122">
        <f>INDEX(MO_RIS_SBC_COGS,0,COLUMN())</f>
        <v/>
      </c>
      <c r="AD25" s="2087">
        <f>INDEX(MO_RIS_SBC_COGS,0,COLUMN())</f>
        <v/>
      </c>
      <c r="AE25" s="2087">
        <f>INDEX(MO_RIS_SBC_COGS,0,COLUMN())</f>
        <v/>
      </c>
      <c r="AF25" s="2087">
        <f>INDEX(MO_RIS_SBC_COGS,0,COLUMN())</f>
        <v/>
      </c>
      <c r="AG25" s="2087">
        <f>INDEX(MO_RIS_SBC_COGS,0,COLUMN())</f>
        <v/>
      </c>
      <c r="AH25" s="2122">
        <f>INDEX(MO_RIS_SBC_COGS,0,COLUMN())</f>
        <v/>
      </c>
      <c r="AI25" s="2087">
        <f>INDEX(MO_RIS_SBC_COGS,0,COLUMN())</f>
        <v/>
      </c>
      <c r="AJ25" s="2087">
        <f>INDEX(MO_RIS_SBC_COGS,0,COLUMN())</f>
        <v/>
      </c>
      <c r="AK25" s="2123">
        <f>INDEX(MO_RIS_SBC_COGS,0,COLUMN())</f>
        <v/>
      </c>
      <c r="AL25" s="2087">
        <f>INDEX(MO_RIS_SBC_COGS,0,COLUMN())</f>
        <v/>
      </c>
      <c r="AM25" s="2122">
        <f>INDEX(MO_RIS_SBC_COGS,0,COLUMN())</f>
        <v/>
      </c>
      <c r="AN25" s="2087">
        <f>INDEX(MO_RIS_SBC_COGS,0,COLUMN())</f>
        <v/>
      </c>
      <c r="AO25" s="2087">
        <f>INDEX(MO_RIS_SBC_COGS,0,COLUMN())</f>
        <v/>
      </c>
      <c r="AP25" s="2087">
        <f>INDEX(MO_RIS_SBC_COGS,0,COLUMN())</f>
        <v/>
      </c>
      <c r="AQ25" s="2087">
        <f>INDEX(MO_RIS_SBC_COGS,0,COLUMN())</f>
        <v/>
      </c>
      <c r="AR25" s="2122">
        <f>INDEX(MO_RIS_SBC_COGS,0,COLUMN())</f>
        <v/>
      </c>
      <c r="AS25" s="2122">
        <f>INDEX(MO_RIS_SBC_COGS,0,COLUMN())</f>
        <v/>
      </c>
      <c r="AT25" s="2122">
        <f>INDEX(MO_RIS_SBC_COGS,0,COLUMN())</f>
        <v/>
      </c>
      <c r="AU25" s="2122">
        <f>INDEX(MO_RIS_SBC_COGS,0,COLUMN())</f>
        <v/>
      </c>
      <c r="AV25" s="2119" t="n"/>
    </row>
    <row r="26" ht="14.4" customFormat="1" customHeight="1" s="2113">
      <c r="A26" s="2120">
        <f>INDEX(MO_RIS_DAintangibles_COGS,0,COLUMN())</f>
        <v/>
      </c>
      <c r="B26" s="2121" t="n"/>
      <c r="C26" s="2122" t="n"/>
      <c r="D26" s="2122" t="n"/>
      <c r="E26" s="2122" t="n"/>
      <c r="F26" s="2122" t="n"/>
      <c r="G26" s="2122" t="n"/>
      <c r="H26" s="2122" t="n"/>
      <c r="I26" s="2122" t="n"/>
      <c r="J26" s="2122" t="n"/>
      <c r="K26" s="2122" t="n"/>
      <c r="L26" s="2122" t="n"/>
      <c r="M26" s="2122" t="n"/>
      <c r="N26" s="2122" t="n"/>
      <c r="O26" s="2087" t="n"/>
      <c r="P26" s="2087" t="n"/>
      <c r="Q26" s="2087" t="n"/>
      <c r="R26" s="2087" t="n"/>
      <c r="S26" s="2122" t="n"/>
      <c r="T26" s="2087" t="n"/>
      <c r="U26" s="2087" t="n"/>
      <c r="V26" s="2087" t="n"/>
      <c r="W26" s="2087" t="n"/>
      <c r="X26" s="2122">
        <f>INDEX(MO_RIS_DAintangibles_COGS,0,COLUMN())</f>
        <v/>
      </c>
      <c r="Y26" s="2087" t="n"/>
      <c r="Z26" s="2087" t="n"/>
      <c r="AA26" s="2087">
        <f>INDEX(MO_RIS_DAintangibles_COGS,0,COLUMN())</f>
        <v/>
      </c>
      <c r="AB26" s="2087">
        <f>INDEX(MO_RIS_DAintangibles_COGS,0,COLUMN())</f>
        <v/>
      </c>
      <c r="AC26" s="2122">
        <f>INDEX(MO_RIS_DAintangibles_COGS,0,COLUMN())</f>
        <v/>
      </c>
      <c r="AD26" s="2087">
        <f>INDEX(MO_RIS_DAintangibles_COGS,0,COLUMN())</f>
        <v/>
      </c>
      <c r="AE26" s="2087">
        <f>INDEX(MO_RIS_DAintangibles_COGS,0,COLUMN())</f>
        <v/>
      </c>
      <c r="AF26" s="2087">
        <f>INDEX(MO_RIS_DAintangibles_COGS,0,COLUMN())</f>
        <v/>
      </c>
      <c r="AG26" s="2087">
        <f>INDEX(MO_RIS_DAintangibles_COGS,0,COLUMN())</f>
        <v/>
      </c>
      <c r="AH26" s="2122">
        <f>INDEX(MO_RIS_DAintangibles_COGS,0,COLUMN())</f>
        <v/>
      </c>
      <c r="AI26" s="2087">
        <f>INDEX(MO_RIS_DAintangibles_COGS,0,COLUMN())</f>
        <v/>
      </c>
      <c r="AJ26" s="2087">
        <f>INDEX(MO_RIS_DAintangibles_COGS,0,COLUMN())</f>
        <v/>
      </c>
      <c r="AK26" s="2123">
        <f>INDEX(MO_RIS_DAintangibles_COGS,0,COLUMN())</f>
        <v/>
      </c>
      <c r="AL26" s="2087">
        <f>INDEX(MO_RIS_DAintangibles_COGS,0,COLUMN())</f>
        <v/>
      </c>
      <c r="AM26" s="2122">
        <f>INDEX(MO_RIS_DAintangibles_COGS,0,COLUMN())</f>
        <v/>
      </c>
      <c r="AN26" s="2087">
        <f>INDEX(MO_RIS_DAintangibles_COGS,0,COLUMN())</f>
        <v/>
      </c>
      <c r="AO26" s="2087">
        <f>INDEX(MO_RIS_DAintangibles_COGS,0,COLUMN())</f>
        <v/>
      </c>
      <c r="AP26" s="2087">
        <f>INDEX(MO_RIS_DAintangibles_COGS,0,COLUMN())</f>
        <v/>
      </c>
      <c r="AQ26" s="2087">
        <f>INDEX(MO_RIS_DAintangibles_COGS,0,COLUMN())</f>
        <v/>
      </c>
      <c r="AR26" s="2122">
        <f>INDEX(MO_RIS_DAintangibles_COGS,0,COLUMN())</f>
        <v/>
      </c>
      <c r="AS26" s="2122">
        <f>INDEX(MO_RIS_DAintangibles_COGS,0,COLUMN())</f>
        <v/>
      </c>
      <c r="AT26" s="2122">
        <f>INDEX(MO_RIS_DAintangibles_COGS,0,COLUMN())</f>
        <v/>
      </c>
      <c r="AU26" s="2122">
        <f>INDEX(MO_RIS_DAintangibles_COGS,0,COLUMN())</f>
        <v/>
      </c>
      <c r="AV26" s="2119" t="n"/>
    </row>
    <row r="27" ht="14.4" customFormat="1" customHeight="1" s="2113">
      <c r="A27" s="2120">
        <f>INDEX(MO_RIS_COGS_Adjustments,0,COLUMN())</f>
        <v/>
      </c>
      <c r="B27" s="2121" t="n"/>
      <c r="C27" s="2122" t="n"/>
      <c r="D27" s="2122" t="n"/>
      <c r="E27" s="2122" t="n"/>
      <c r="F27" s="2122" t="n"/>
      <c r="G27" s="2122" t="n"/>
      <c r="H27" s="2122" t="n"/>
      <c r="I27" s="2122" t="n"/>
      <c r="J27" s="2122" t="n"/>
      <c r="K27" s="2122" t="n"/>
      <c r="L27" s="2122" t="n"/>
      <c r="M27" s="2122" t="n"/>
      <c r="N27" s="2122" t="n"/>
      <c r="O27" s="2087" t="n"/>
      <c r="P27" s="2087" t="n"/>
      <c r="Q27" s="2087" t="n"/>
      <c r="R27" s="2087" t="n"/>
      <c r="S27" s="2122" t="n"/>
      <c r="T27" s="2087" t="n"/>
      <c r="U27" s="2087" t="n"/>
      <c r="V27" s="2087" t="n"/>
      <c r="W27" s="2087" t="n"/>
      <c r="X27" s="2122">
        <f>INDEX(MO_RIS_COGS_Adjustments,0,COLUMN())</f>
        <v/>
      </c>
      <c r="Y27" s="2087" t="n"/>
      <c r="Z27" s="2087" t="n"/>
      <c r="AA27" s="2087">
        <f>INDEX(MO_RIS_COGS_Adjustments,0,COLUMN())</f>
        <v/>
      </c>
      <c r="AB27" s="2087">
        <f>INDEX(MO_RIS_COGS_Adjustments,0,COLUMN())</f>
        <v/>
      </c>
      <c r="AC27" s="2122">
        <f>INDEX(MO_RIS_COGS_Adjustments,0,COLUMN())</f>
        <v/>
      </c>
      <c r="AD27" s="2087">
        <f>INDEX(MO_RIS_COGS_Adjustments,0,COLUMN())</f>
        <v/>
      </c>
      <c r="AE27" s="2087">
        <f>INDEX(MO_RIS_COGS_Adjustments,0,COLUMN())</f>
        <v/>
      </c>
      <c r="AF27" s="2087">
        <f>INDEX(MO_RIS_COGS_Adjustments,0,COLUMN())</f>
        <v/>
      </c>
      <c r="AG27" s="2087">
        <f>INDEX(MO_RIS_COGS_Adjustments,0,COLUMN())</f>
        <v/>
      </c>
      <c r="AH27" s="2122">
        <f>INDEX(MO_RIS_COGS_Adjustments,0,COLUMN())</f>
        <v/>
      </c>
      <c r="AI27" s="2087">
        <f>INDEX(MO_RIS_COGS_Adjustments,0,COLUMN())</f>
        <v/>
      </c>
      <c r="AJ27" s="2087">
        <f>INDEX(MO_RIS_COGS_Adjustments,0,COLUMN())</f>
        <v/>
      </c>
      <c r="AK27" s="2123">
        <f>INDEX(MO_RIS_COGS_Adjustments,0,COLUMN())</f>
        <v/>
      </c>
      <c r="AL27" s="2087">
        <f>INDEX(MO_RIS_COGS_Adjustments,0,COLUMN())</f>
        <v/>
      </c>
      <c r="AM27" s="2122">
        <f>INDEX(MO_RIS_COGS_Adjustments,0,COLUMN())</f>
        <v/>
      </c>
      <c r="AN27" s="2087">
        <f>INDEX(MO_RIS_COGS_Adjustments,0,COLUMN())</f>
        <v/>
      </c>
      <c r="AO27" s="2087">
        <f>INDEX(MO_RIS_COGS_Adjustments,0,COLUMN())</f>
        <v/>
      </c>
      <c r="AP27" s="2087">
        <f>INDEX(MO_RIS_COGS_Adjustments,0,COLUMN())</f>
        <v/>
      </c>
      <c r="AQ27" s="2087">
        <f>INDEX(MO_RIS_COGS_Adjustments,0,COLUMN())</f>
        <v/>
      </c>
      <c r="AR27" s="2122">
        <f>INDEX(MO_RIS_COGS_Adjustments,0,COLUMN())</f>
        <v/>
      </c>
      <c r="AS27" s="2122">
        <f>INDEX(MO_RIS_COGS_Adjustments,0,COLUMN())</f>
        <v/>
      </c>
      <c r="AT27" s="2122">
        <f>INDEX(MO_RIS_COGS_Adjustments,0,COLUMN())</f>
        <v/>
      </c>
      <c r="AU27" s="2122">
        <f>INDEX(MO_RIS_COGS_Adjustments,0,COLUMN())</f>
        <v/>
      </c>
      <c r="AV27" s="2119" t="n"/>
    </row>
    <row r="28" ht="14.4" customFormat="1" customHeight="1" s="2113">
      <c r="A28" s="2120">
        <f>INDEX(MO_RIS_SM_NONGAAP,0,COLUMN())</f>
        <v/>
      </c>
      <c r="B28" s="2121" t="n"/>
      <c r="C28" s="2122" t="n"/>
      <c r="D28" s="2122" t="n"/>
      <c r="E28" s="2122" t="n"/>
      <c r="F28" s="2122" t="n"/>
      <c r="G28" s="2122" t="n"/>
      <c r="H28" s="2122" t="n"/>
      <c r="I28" s="2122" t="n"/>
      <c r="J28" s="2122" t="n"/>
      <c r="K28" s="2122" t="n"/>
      <c r="L28" s="2122" t="n"/>
      <c r="M28" s="2122" t="n"/>
      <c r="N28" s="2122" t="n"/>
      <c r="O28" s="2087" t="n"/>
      <c r="P28" s="2087" t="n"/>
      <c r="Q28" s="2087" t="n"/>
      <c r="R28" s="2087" t="n"/>
      <c r="S28" s="2122" t="n"/>
      <c r="T28" s="2087" t="n"/>
      <c r="U28" s="2087" t="n"/>
      <c r="V28" s="2087" t="n"/>
      <c r="W28" s="2087" t="n"/>
      <c r="X28" s="2122">
        <f>INDEX(MO_RIS_SM_NONGAAP,0,COLUMN())</f>
        <v/>
      </c>
      <c r="Y28" s="2087" t="n"/>
      <c r="Z28" s="2087" t="n"/>
      <c r="AA28" s="2087">
        <f>INDEX(MO_RIS_SM_NONGAAP,0,COLUMN())</f>
        <v/>
      </c>
      <c r="AB28" s="2087">
        <f>INDEX(MO_RIS_SM_NONGAAP,0,COLUMN())</f>
        <v/>
      </c>
      <c r="AC28" s="2122">
        <f>INDEX(MO_RIS_SM_NONGAAP,0,COLUMN())</f>
        <v/>
      </c>
      <c r="AD28" s="2087">
        <f>INDEX(MO_RIS_SM_NONGAAP,0,COLUMN())</f>
        <v/>
      </c>
      <c r="AE28" s="2087">
        <f>INDEX(MO_RIS_SM_NONGAAP,0,COLUMN())</f>
        <v/>
      </c>
      <c r="AF28" s="2087">
        <f>INDEX(MO_RIS_SM_NONGAAP,0,COLUMN())</f>
        <v/>
      </c>
      <c r="AG28" s="2087">
        <f>INDEX(MO_RIS_SM_NONGAAP,0,COLUMN())</f>
        <v/>
      </c>
      <c r="AH28" s="2122">
        <f>INDEX(MO_RIS_SM_NONGAAP,0,COLUMN())</f>
        <v/>
      </c>
      <c r="AI28" s="2087">
        <f>INDEX(MO_RIS_SM_NONGAAP,0,COLUMN())</f>
        <v/>
      </c>
      <c r="AJ28" s="2087">
        <f>INDEX(MO_RIS_SM_NONGAAP,0,COLUMN())</f>
        <v/>
      </c>
      <c r="AK28" s="2123">
        <f>INDEX(MO_RIS_SM_NONGAAP,0,COLUMN())</f>
        <v/>
      </c>
      <c r="AL28" s="2087">
        <f>INDEX(MO_RIS_SM_NONGAAP,0,COLUMN())</f>
        <v/>
      </c>
      <c r="AM28" s="2122">
        <f>INDEX(MO_RIS_SM_NONGAAP,0,COLUMN())</f>
        <v/>
      </c>
      <c r="AN28" s="2087">
        <f>INDEX(MO_RIS_SM_NONGAAP,0,COLUMN())</f>
        <v/>
      </c>
      <c r="AO28" s="2087">
        <f>INDEX(MO_RIS_SM_NONGAAP,0,COLUMN())</f>
        <v/>
      </c>
      <c r="AP28" s="2087">
        <f>INDEX(MO_RIS_SM_NONGAAP,0,COLUMN())</f>
        <v/>
      </c>
      <c r="AQ28" s="2087">
        <f>INDEX(MO_RIS_SM_NONGAAP,0,COLUMN())</f>
        <v/>
      </c>
      <c r="AR28" s="2122">
        <f>INDEX(MO_RIS_SM_NONGAAP,0,COLUMN())</f>
        <v/>
      </c>
      <c r="AS28" s="2122">
        <f>INDEX(MO_RIS_SM_NONGAAP,0,COLUMN())</f>
        <v/>
      </c>
      <c r="AT28" s="2122">
        <f>INDEX(MO_RIS_SM_NONGAAP,0,COLUMN())</f>
        <v/>
      </c>
      <c r="AU28" s="2122">
        <f>INDEX(MO_RIS_SM_NONGAAP,0,COLUMN())</f>
        <v/>
      </c>
      <c r="AV28" s="2119" t="n"/>
    </row>
    <row r="29" ht="14.4" customFormat="1" customHeight="1" s="2113">
      <c r="A29" s="2120">
        <f>INDEX(MO_RIS_GA_NONGAAP,0,COLUMN())</f>
        <v/>
      </c>
      <c r="B29" s="2121" t="n"/>
      <c r="C29" s="2122" t="n"/>
      <c r="D29" s="2122" t="n"/>
      <c r="E29" s="2122" t="n"/>
      <c r="F29" s="2122" t="n"/>
      <c r="G29" s="2122" t="n"/>
      <c r="H29" s="2122" t="n"/>
      <c r="I29" s="2122" t="n"/>
      <c r="J29" s="2122" t="n"/>
      <c r="K29" s="2122" t="n"/>
      <c r="L29" s="2122" t="n"/>
      <c r="M29" s="2122" t="n"/>
      <c r="N29" s="2122" t="n"/>
      <c r="O29" s="2087" t="n"/>
      <c r="P29" s="2087" t="n"/>
      <c r="Q29" s="2087" t="n"/>
      <c r="R29" s="2087" t="n"/>
      <c r="S29" s="2122" t="n"/>
      <c r="T29" s="2087" t="n"/>
      <c r="U29" s="2087" t="n"/>
      <c r="V29" s="2087" t="n"/>
      <c r="W29" s="2087" t="n"/>
      <c r="X29" s="2122">
        <f>INDEX(MO_RIS_GA_NONGAAP,0,COLUMN())</f>
        <v/>
      </c>
      <c r="Y29" s="2087" t="n"/>
      <c r="Z29" s="2087" t="n"/>
      <c r="AA29" s="2087">
        <f>INDEX(MO_RIS_GA_NONGAAP,0,COLUMN())</f>
        <v/>
      </c>
      <c r="AB29" s="2087">
        <f>INDEX(MO_RIS_GA_NONGAAP,0,COLUMN())</f>
        <v/>
      </c>
      <c r="AC29" s="2122">
        <f>INDEX(MO_RIS_GA_NONGAAP,0,COLUMN())</f>
        <v/>
      </c>
      <c r="AD29" s="2087">
        <f>INDEX(MO_RIS_GA_NONGAAP,0,COLUMN())</f>
        <v/>
      </c>
      <c r="AE29" s="2087">
        <f>INDEX(MO_RIS_GA_NONGAAP,0,COLUMN())</f>
        <v/>
      </c>
      <c r="AF29" s="2087">
        <f>INDEX(MO_RIS_GA_NONGAAP,0,COLUMN())</f>
        <v/>
      </c>
      <c r="AG29" s="2087">
        <f>INDEX(MO_RIS_GA_NONGAAP,0,COLUMN())</f>
        <v/>
      </c>
      <c r="AH29" s="2122">
        <f>INDEX(MO_RIS_GA_NONGAAP,0,COLUMN())</f>
        <v/>
      </c>
      <c r="AI29" s="2087">
        <f>INDEX(MO_RIS_GA_NONGAAP,0,COLUMN())</f>
        <v/>
      </c>
      <c r="AJ29" s="2087">
        <f>INDEX(MO_RIS_GA_NONGAAP,0,COLUMN())</f>
        <v/>
      </c>
      <c r="AK29" s="2123">
        <f>INDEX(MO_RIS_GA_NONGAAP,0,COLUMN())</f>
        <v/>
      </c>
      <c r="AL29" s="2087">
        <f>INDEX(MO_RIS_GA_NONGAAP,0,COLUMN())</f>
        <v/>
      </c>
      <c r="AM29" s="2122">
        <f>INDEX(MO_RIS_GA_NONGAAP,0,COLUMN())</f>
        <v/>
      </c>
      <c r="AN29" s="2087">
        <f>INDEX(MO_RIS_GA_NONGAAP,0,COLUMN())</f>
        <v/>
      </c>
      <c r="AO29" s="2087">
        <f>INDEX(MO_RIS_GA_NONGAAP,0,COLUMN())</f>
        <v/>
      </c>
      <c r="AP29" s="2087">
        <f>INDEX(MO_RIS_GA_NONGAAP,0,COLUMN())</f>
        <v/>
      </c>
      <c r="AQ29" s="2087">
        <f>INDEX(MO_RIS_GA_NONGAAP,0,COLUMN())</f>
        <v/>
      </c>
      <c r="AR29" s="2122">
        <f>INDEX(MO_RIS_GA_NONGAAP,0,COLUMN())</f>
        <v/>
      </c>
      <c r="AS29" s="2122">
        <f>INDEX(MO_RIS_GA_NONGAAP,0,COLUMN())</f>
        <v/>
      </c>
      <c r="AT29" s="2122">
        <f>INDEX(MO_RIS_GA_NONGAAP,0,COLUMN())</f>
        <v/>
      </c>
      <c r="AU29" s="2122">
        <f>INDEX(MO_RIS_GA_NONGAAP,0,COLUMN())</f>
        <v/>
      </c>
      <c r="AV29" s="2119" t="n"/>
    </row>
    <row r="30" ht="14.4" customFormat="1" customHeight="1" s="2113">
      <c r="A30" s="2120">
        <f>INDEX(MO_RIS_RD_NONGAAP,0,COLUMN())</f>
        <v/>
      </c>
      <c r="B30" s="2121" t="n"/>
      <c r="C30" s="2122" t="n"/>
      <c r="D30" s="2122" t="n"/>
      <c r="E30" s="2122" t="n"/>
      <c r="F30" s="2122" t="n"/>
      <c r="G30" s="2122" t="n"/>
      <c r="H30" s="2122" t="n"/>
      <c r="I30" s="2122" t="n"/>
      <c r="J30" s="2122" t="n"/>
      <c r="K30" s="2122" t="n"/>
      <c r="L30" s="2122" t="n"/>
      <c r="M30" s="2122" t="n"/>
      <c r="N30" s="2122" t="n"/>
      <c r="O30" s="2087" t="n"/>
      <c r="P30" s="2087" t="n"/>
      <c r="Q30" s="2087" t="n"/>
      <c r="R30" s="2087" t="n"/>
      <c r="S30" s="2122" t="n"/>
      <c r="T30" s="2087" t="n"/>
      <c r="U30" s="2087" t="n"/>
      <c r="V30" s="2087" t="n"/>
      <c r="W30" s="2087" t="n"/>
      <c r="X30" s="2122">
        <f>INDEX(MO_RIS_RD_NONGAAP,0,COLUMN())</f>
        <v/>
      </c>
      <c r="Y30" s="2087" t="n"/>
      <c r="Z30" s="2087" t="n"/>
      <c r="AA30" s="2087">
        <f>INDEX(MO_RIS_RD_NONGAAP,0,COLUMN())</f>
        <v/>
      </c>
      <c r="AB30" s="2087">
        <f>INDEX(MO_RIS_RD_NONGAAP,0,COLUMN())</f>
        <v/>
      </c>
      <c r="AC30" s="2122">
        <f>INDEX(MO_RIS_RD_NONGAAP,0,COLUMN())</f>
        <v/>
      </c>
      <c r="AD30" s="2087">
        <f>INDEX(MO_RIS_RD_NONGAAP,0,COLUMN())</f>
        <v/>
      </c>
      <c r="AE30" s="2087">
        <f>INDEX(MO_RIS_RD_NONGAAP,0,COLUMN())</f>
        <v/>
      </c>
      <c r="AF30" s="2087">
        <f>INDEX(MO_RIS_RD_NONGAAP,0,COLUMN())</f>
        <v/>
      </c>
      <c r="AG30" s="2087">
        <f>INDEX(MO_RIS_RD_NONGAAP,0,COLUMN())</f>
        <v/>
      </c>
      <c r="AH30" s="2122">
        <f>INDEX(MO_RIS_RD_NONGAAP,0,COLUMN())</f>
        <v/>
      </c>
      <c r="AI30" s="2087">
        <f>INDEX(MO_RIS_RD_NONGAAP,0,COLUMN())</f>
        <v/>
      </c>
      <c r="AJ30" s="2087">
        <f>INDEX(MO_RIS_RD_NONGAAP,0,COLUMN())</f>
        <v/>
      </c>
      <c r="AK30" s="2123">
        <f>INDEX(MO_RIS_RD_NONGAAP,0,COLUMN())</f>
        <v/>
      </c>
      <c r="AL30" s="2087">
        <f>INDEX(MO_RIS_RD_NONGAAP,0,COLUMN())</f>
        <v/>
      </c>
      <c r="AM30" s="2122">
        <f>INDEX(MO_RIS_RD_NONGAAP,0,COLUMN())</f>
        <v/>
      </c>
      <c r="AN30" s="2087">
        <f>INDEX(MO_RIS_RD_NONGAAP,0,COLUMN())</f>
        <v/>
      </c>
      <c r="AO30" s="2087">
        <f>INDEX(MO_RIS_RD_NONGAAP,0,COLUMN())</f>
        <v/>
      </c>
      <c r="AP30" s="2087">
        <f>INDEX(MO_RIS_RD_NONGAAP,0,COLUMN())</f>
        <v/>
      </c>
      <c r="AQ30" s="2087">
        <f>INDEX(MO_RIS_RD_NONGAAP,0,COLUMN())</f>
        <v/>
      </c>
      <c r="AR30" s="2122">
        <f>INDEX(MO_RIS_RD_NONGAAP,0,COLUMN())</f>
        <v/>
      </c>
      <c r="AS30" s="2122">
        <f>INDEX(MO_RIS_RD_NONGAAP,0,COLUMN())</f>
        <v/>
      </c>
      <c r="AT30" s="2122">
        <f>INDEX(MO_RIS_RD_NONGAAP,0,COLUMN())</f>
        <v/>
      </c>
      <c r="AU30" s="2122">
        <f>INDEX(MO_RIS_RD_NONGAAP,0,COLUMN())</f>
        <v/>
      </c>
      <c r="AV30" s="2119" t="n"/>
    </row>
    <row r="31" ht="14.4" customFormat="1" customHeight="1" s="2113">
      <c r="A31" s="2106">
        <f>INDEX(MO_RIS_OtherOperating_NONGAAP,0,COLUMN())</f>
        <v/>
      </c>
      <c r="B31" s="2155" t="n"/>
      <c r="C31" s="2110" t="n"/>
      <c r="D31" s="2110" t="n"/>
      <c r="E31" s="2110" t="n"/>
      <c r="F31" s="2110" t="n"/>
      <c r="G31" s="2110" t="n"/>
      <c r="H31" s="2110" t="n"/>
      <c r="I31" s="2110" t="n"/>
      <c r="J31" s="2110" t="n"/>
      <c r="K31" s="2110" t="n"/>
      <c r="L31" s="2110" t="n"/>
      <c r="M31" s="2110" t="n"/>
      <c r="N31" s="2110" t="n"/>
      <c r="O31" s="2156" t="n"/>
      <c r="P31" s="2156" t="n"/>
      <c r="Q31" s="2156" t="n"/>
      <c r="R31" s="2156" t="n"/>
      <c r="S31" s="2110" t="n"/>
      <c r="T31" s="2156" t="n"/>
      <c r="U31" s="2156" t="n"/>
      <c r="V31" s="2156" t="n"/>
      <c r="W31" s="2156" t="n"/>
      <c r="X31" s="2110">
        <f>INDEX(MO_RIS_OtherOperating_NONGAAP,0,COLUMN())</f>
        <v/>
      </c>
      <c r="Y31" s="2156" t="n"/>
      <c r="Z31" s="2156" t="n"/>
      <c r="AA31" s="2156">
        <f>INDEX(MO_RIS_OtherOperating_NONGAAP,0,COLUMN())</f>
        <v/>
      </c>
      <c r="AB31" s="2156">
        <f>INDEX(MO_RIS_OtherOperating_NONGAAP,0,COLUMN())</f>
        <v/>
      </c>
      <c r="AC31" s="2110">
        <f>INDEX(MO_RIS_OtherOperating_NONGAAP,0,COLUMN())</f>
        <v/>
      </c>
      <c r="AD31" s="2156">
        <f>INDEX(MO_RIS_OtherOperating_NONGAAP,0,COLUMN())</f>
        <v/>
      </c>
      <c r="AE31" s="2156">
        <f>INDEX(MO_RIS_OtherOperating_NONGAAP,0,COLUMN())</f>
        <v/>
      </c>
      <c r="AF31" s="2156">
        <f>INDEX(MO_RIS_OtherOperating_NONGAAP,0,COLUMN())</f>
        <v/>
      </c>
      <c r="AG31" s="2156">
        <f>INDEX(MO_RIS_OtherOperating_NONGAAP,0,COLUMN())</f>
        <v/>
      </c>
      <c r="AH31" s="2110">
        <f>INDEX(MO_RIS_OtherOperating_NONGAAP,0,COLUMN())</f>
        <v/>
      </c>
      <c r="AI31" s="2156">
        <f>INDEX(MO_RIS_OtherOperating_NONGAAP,0,COLUMN())</f>
        <v/>
      </c>
      <c r="AJ31" s="2156">
        <f>INDEX(MO_RIS_OtherOperating_NONGAAP,0,COLUMN())</f>
        <v/>
      </c>
      <c r="AK31" s="2157">
        <f>INDEX(MO_RIS_OtherOperating_NONGAAP,0,COLUMN())</f>
        <v/>
      </c>
      <c r="AL31" s="2156">
        <f>INDEX(MO_RIS_OtherOperating_NONGAAP,0,COLUMN())</f>
        <v/>
      </c>
      <c r="AM31" s="2110">
        <f>INDEX(MO_RIS_OtherOperating_NONGAAP,0,COLUMN())</f>
        <v/>
      </c>
      <c r="AN31" s="2156">
        <f>INDEX(MO_RIS_OtherOperating_NONGAAP,0,COLUMN())</f>
        <v/>
      </c>
      <c r="AO31" s="2156">
        <f>INDEX(MO_RIS_OtherOperating_NONGAAP,0,COLUMN())</f>
        <v/>
      </c>
      <c r="AP31" s="2156">
        <f>INDEX(MO_RIS_OtherOperating_NONGAAP,0,COLUMN())</f>
        <v/>
      </c>
      <c r="AQ31" s="2156">
        <f>INDEX(MO_RIS_OtherOperating_NONGAAP,0,COLUMN())</f>
        <v/>
      </c>
      <c r="AR31" s="2110">
        <f>INDEX(MO_RIS_OtherOperating_NONGAAP,0,COLUMN())</f>
        <v/>
      </c>
      <c r="AS31" s="2110">
        <f>INDEX(MO_RIS_OtherOperating_NONGAAP,0,COLUMN())</f>
        <v/>
      </c>
      <c r="AT31" s="2110">
        <f>INDEX(MO_RIS_OtherOperating_NONGAAP,0,COLUMN())</f>
        <v/>
      </c>
      <c r="AU31" s="2110">
        <f>INDEX(MO_RIS_OtherOperating_NONGAAP,0,COLUMN())</f>
        <v/>
      </c>
      <c r="AV31" s="2119" t="n"/>
    </row>
    <row r="32" ht="14.4" customFormat="1" customHeight="1" s="2113">
      <c r="A32" s="2100">
        <f>INDEX(MO_RIS_Reported_OperatingIncome_NONGAAP,0,COLUMN())</f>
        <v/>
      </c>
      <c r="B32" s="2124" t="n"/>
      <c r="C32" s="2125" t="n"/>
      <c r="D32" s="2125" t="n"/>
      <c r="E32" s="2125" t="n"/>
      <c r="F32" s="2125" t="n"/>
      <c r="G32" s="2125" t="n"/>
      <c r="H32" s="2125" t="n"/>
      <c r="I32" s="2125" t="n"/>
      <c r="J32" s="2125" t="n"/>
      <c r="K32" s="2125" t="n"/>
      <c r="L32" s="2125" t="n"/>
      <c r="M32" s="2125" t="n"/>
      <c r="N32" s="2125" t="n"/>
      <c r="O32" s="2119" t="n"/>
      <c r="P32" s="2119" t="n"/>
      <c r="Q32" s="2119" t="n"/>
      <c r="R32" s="2119" t="n"/>
      <c r="S32" s="2125" t="n"/>
      <c r="T32" s="2119" t="n"/>
      <c r="U32" s="2119" t="n"/>
      <c r="V32" s="2119" t="n"/>
      <c r="W32" s="2119" t="n"/>
      <c r="X32" s="2125">
        <f>INDEX(MO_RIS_Reported_OperatingIncome_NONGAAP,0,COLUMN())</f>
        <v/>
      </c>
      <c r="Y32" s="2119" t="n"/>
      <c r="Z32" s="2119" t="n"/>
      <c r="AA32" s="2119">
        <f>INDEX(MO_RIS_Reported_OperatingIncome_NONGAAP,0,COLUMN())</f>
        <v/>
      </c>
      <c r="AB32" s="2119">
        <f>INDEX(MO_RIS_Reported_OperatingIncome_NONGAAP,0,COLUMN())</f>
        <v/>
      </c>
      <c r="AC32" s="2125">
        <f>INDEX(MO_RIS_Reported_OperatingIncome_NONGAAP,0,COLUMN())</f>
        <v/>
      </c>
      <c r="AD32" s="2119">
        <f>INDEX(MO_RIS_Reported_OperatingIncome_NONGAAP,0,COLUMN())</f>
        <v/>
      </c>
      <c r="AE32" s="2119">
        <f>INDEX(MO_RIS_Reported_OperatingIncome_NONGAAP,0,COLUMN())</f>
        <v/>
      </c>
      <c r="AF32" s="2119">
        <f>INDEX(MO_RIS_Reported_OperatingIncome_NONGAAP,0,COLUMN())</f>
        <v/>
      </c>
      <c r="AG32" s="2119">
        <f>INDEX(MO_RIS_Reported_OperatingIncome_NONGAAP,0,COLUMN())</f>
        <v/>
      </c>
      <c r="AH32" s="2125">
        <f>INDEX(MO_RIS_Reported_OperatingIncome_NONGAAP,0,COLUMN())</f>
        <v/>
      </c>
      <c r="AI32" s="2119">
        <f>INDEX(MO_RIS_Reported_OperatingIncome_NONGAAP,0,COLUMN())</f>
        <v/>
      </c>
      <c r="AJ32" s="2119">
        <f>INDEX(MO_RIS_Reported_OperatingIncome_NONGAAP,0,COLUMN())</f>
        <v/>
      </c>
      <c r="AK32" s="2126">
        <f>INDEX(MO_RIS_Reported_OperatingIncome_NONGAAP,0,COLUMN())</f>
        <v/>
      </c>
      <c r="AL32" s="2119">
        <f>INDEX(MO_RIS_Reported_OperatingIncome_NONGAAP,0,COLUMN())</f>
        <v/>
      </c>
      <c r="AM32" s="2125">
        <f>INDEX(MO_RIS_Reported_OperatingIncome_NONGAAP,0,COLUMN())</f>
        <v/>
      </c>
      <c r="AN32" s="2119">
        <f>INDEX(MO_RIS_Reported_OperatingIncome_NONGAAP,0,COLUMN())</f>
        <v/>
      </c>
      <c r="AO32" s="2119">
        <f>INDEX(MO_RIS_Reported_OperatingIncome_NONGAAP,0,COLUMN())</f>
        <v/>
      </c>
      <c r="AP32" s="2119">
        <f>INDEX(MO_RIS_Reported_OperatingIncome_NONGAAP,0,COLUMN())</f>
        <v/>
      </c>
      <c r="AQ32" s="2119">
        <f>INDEX(MO_RIS_Reported_OperatingIncome_NONGAAP,0,COLUMN())</f>
        <v/>
      </c>
      <c r="AR32" s="2125">
        <f>INDEX(MO_RIS_Reported_OperatingIncome_NONGAAP,0,COLUMN())</f>
        <v/>
      </c>
      <c r="AS32" s="2125">
        <f>INDEX(MO_RIS_Reported_OperatingIncome_NONGAAP,0,COLUMN())</f>
        <v/>
      </c>
      <c r="AT32" s="2125">
        <f>INDEX(MO_RIS_Reported_OperatingIncome_NONGAAP,0,COLUMN())</f>
        <v/>
      </c>
      <c r="AU32" s="2125">
        <f>INDEX(MO_RIS_Reported_OperatingIncome_NONGAAP,0,COLUMN())</f>
        <v/>
      </c>
      <c r="AV32" s="2119" t="n"/>
    </row>
    <row r="33" ht="14.4" customFormat="1" customHeight="1" s="2113">
      <c r="A33" s="2120">
        <f>INDEX(MO_RIS_IE_Net_NONGAAP,0,COLUMN())</f>
        <v/>
      </c>
      <c r="B33" s="2121" t="n"/>
      <c r="C33" s="2122" t="n"/>
      <c r="D33" s="2122" t="n"/>
      <c r="E33" s="2122" t="n"/>
      <c r="F33" s="2122" t="n"/>
      <c r="G33" s="2122" t="n"/>
      <c r="H33" s="2122" t="n"/>
      <c r="I33" s="2122" t="n"/>
      <c r="J33" s="2122" t="n"/>
      <c r="K33" s="2122" t="n"/>
      <c r="L33" s="2122" t="n"/>
      <c r="M33" s="2122" t="n"/>
      <c r="N33" s="2122" t="n"/>
      <c r="O33" s="2087" t="n"/>
      <c r="P33" s="2087" t="n"/>
      <c r="Q33" s="2087" t="n"/>
      <c r="R33" s="2087" t="n"/>
      <c r="S33" s="2122" t="n"/>
      <c r="T33" s="2087" t="n"/>
      <c r="U33" s="2087" t="n"/>
      <c r="V33" s="2087" t="n"/>
      <c r="W33" s="2087" t="n"/>
      <c r="X33" s="2122">
        <f>INDEX(MO_RIS_IE_Net_NONGAAP,0,COLUMN())</f>
        <v/>
      </c>
      <c r="Y33" s="2087" t="n"/>
      <c r="Z33" s="2087" t="n"/>
      <c r="AA33" s="2087">
        <f>INDEX(MO_RIS_IE_Net_NONGAAP,0,COLUMN())</f>
        <v/>
      </c>
      <c r="AB33" s="2087">
        <f>INDEX(MO_RIS_IE_Net_NONGAAP,0,COLUMN())</f>
        <v/>
      </c>
      <c r="AC33" s="2122">
        <f>INDEX(MO_RIS_IE_Net_NONGAAP,0,COLUMN())</f>
        <v/>
      </c>
      <c r="AD33" s="2087">
        <f>INDEX(MO_RIS_IE_Net_NONGAAP,0,COLUMN())</f>
        <v/>
      </c>
      <c r="AE33" s="2087">
        <f>INDEX(MO_RIS_IE_Net_NONGAAP,0,COLUMN())</f>
        <v/>
      </c>
      <c r="AF33" s="2087">
        <f>INDEX(MO_RIS_IE_Net_NONGAAP,0,COLUMN())</f>
        <v/>
      </c>
      <c r="AG33" s="2087">
        <f>INDEX(MO_RIS_IE_Net_NONGAAP,0,COLUMN())</f>
        <v/>
      </c>
      <c r="AH33" s="2122">
        <f>INDEX(MO_RIS_IE_Net_NONGAAP,0,COLUMN())</f>
        <v/>
      </c>
      <c r="AI33" s="2087">
        <f>INDEX(MO_RIS_IE_Net_NONGAAP,0,COLUMN())</f>
        <v/>
      </c>
      <c r="AJ33" s="2087">
        <f>INDEX(MO_RIS_IE_Net_NONGAAP,0,COLUMN())</f>
        <v/>
      </c>
      <c r="AK33" s="2123">
        <f>INDEX(MO_RIS_IE_Net_NONGAAP,0,COLUMN())</f>
        <v/>
      </c>
      <c r="AL33" s="2087">
        <f>INDEX(MO_RIS_IE_Net_NONGAAP,0,COLUMN())</f>
        <v/>
      </c>
      <c r="AM33" s="2122">
        <f>INDEX(MO_RIS_IE_Net_NONGAAP,0,COLUMN())</f>
        <v/>
      </c>
      <c r="AN33" s="2087">
        <f>INDEX(MO_RIS_IE_Net_NONGAAP,0,COLUMN())</f>
        <v/>
      </c>
      <c r="AO33" s="2087">
        <f>INDEX(MO_RIS_IE_Net_NONGAAP,0,COLUMN())</f>
        <v/>
      </c>
      <c r="AP33" s="2087">
        <f>INDEX(MO_RIS_IE_Net_NONGAAP,0,COLUMN())</f>
        <v/>
      </c>
      <c r="AQ33" s="2087">
        <f>INDEX(MO_RIS_IE_Net_NONGAAP,0,COLUMN())</f>
        <v/>
      </c>
      <c r="AR33" s="2122">
        <f>INDEX(MO_RIS_IE_Net_NONGAAP,0,COLUMN())</f>
        <v/>
      </c>
      <c r="AS33" s="2122">
        <f>INDEX(MO_RIS_IE_Net_NONGAAP,0,COLUMN())</f>
        <v/>
      </c>
      <c r="AT33" s="2122">
        <f>INDEX(MO_RIS_IE_Net_NONGAAP,0,COLUMN())</f>
        <v/>
      </c>
      <c r="AU33" s="2122">
        <f>INDEX(MO_RIS_IE_Net_NONGAAP,0,COLUMN())</f>
        <v/>
      </c>
      <c r="AV33" s="2119" t="n"/>
    </row>
    <row r="34" ht="14.4" customFormat="1" customHeight="1" s="2113">
      <c r="A34" s="2106">
        <f>INDEX(MO_RIS_OI_NONGAAP,0,COLUMN())</f>
        <v/>
      </c>
      <c r="B34" s="2155" t="n"/>
      <c r="C34" s="2110" t="n"/>
      <c r="D34" s="2110" t="n"/>
      <c r="E34" s="2110" t="n"/>
      <c r="F34" s="2110" t="n"/>
      <c r="G34" s="2110" t="n"/>
      <c r="H34" s="2110" t="n"/>
      <c r="I34" s="2110" t="n"/>
      <c r="J34" s="2110" t="n"/>
      <c r="K34" s="2110" t="n"/>
      <c r="L34" s="2110" t="n"/>
      <c r="M34" s="2110" t="n"/>
      <c r="N34" s="2110" t="n"/>
      <c r="O34" s="2156" t="n"/>
      <c r="P34" s="2156" t="n"/>
      <c r="Q34" s="2156" t="n"/>
      <c r="R34" s="2156" t="n"/>
      <c r="S34" s="2110" t="n"/>
      <c r="T34" s="2156" t="n"/>
      <c r="U34" s="2156" t="n"/>
      <c r="V34" s="2156" t="n"/>
      <c r="W34" s="2156" t="n"/>
      <c r="X34" s="2110">
        <f>INDEX(MO_RIS_OI_NONGAAP,0,COLUMN())</f>
        <v/>
      </c>
      <c r="Y34" s="2156" t="n"/>
      <c r="Z34" s="2156" t="n"/>
      <c r="AA34" s="2156">
        <f>INDEX(MO_RIS_OI_NONGAAP,0,COLUMN())</f>
        <v/>
      </c>
      <c r="AB34" s="2156">
        <f>INDEX(MO_RIS_OI_NONGAAP,0,COLUMN())</f>
        <v/>
      </c>
      <c r="AC34" s="2110">
        <f>INDEX(MO_RIS_OI_NONGAAP,0,COLUMN())</f>
        <v/>
      </c>
      <c r="AD34" s="2156">
        <f>INDEX(MO_RIS_OI_NONGAAP,0,COLUMN())</f>
        <v/>
      </c>
      <c r="AE34" s="2156">
        <f>INDEX(MO_RIS_OI_NONGAAP,0,COLUMN())</f>
        <v/>
      </c>
      <c r="AF34" s="2156">
        <f>INDEX(MO_RIS_OI_NONGAAP,0,COLUMN())</f>
        <v/>
      </c>
      <c r="AG34" s="2156">
        <f>INDEX(MO_RIS_OI_NONGAAP,0,COLUMN())</f>
        <v/>
      </c>
      <c r="AH34" s="2110">
        <f>INDEX(MO_RIS_OI_NONGAAP,0,COLUMN())</f>
        <v/>
      </c>
      <c r="AI34" s="2156">
        <f>INDEX(MO_RIS_OI_NONGAAP,0,COLUMN())</f>
        <v/>
      </c>
      <c r="AJ34" s="2156">
        <f>INDEX(MO_RIS_OI_NONGAAP,0,COLUMN())</f>
        <v/>
      </c>
      <c r="AK34" s="2157">
        <f>INDEX(MO_RIS_OI_NONGAAP,0,COLUMN())</f>
        <v/>
      </c>
      <c r="AL34" s="2156">
        <f>INDEX(MO_RIS_OI_NONGAAP,0,COLUMN())</f>
        <v/>
      </c>
      <c r="AM34" s="2110">
        <f>INDEX(MO_RIS_OI_NONGAAP,0,COLUMN())</f>
        <v/>
      </c>
      <c r="AN34" s="2156">
        <f>INDEX(MO_RIS_OI_NONGAAP,0,COLUMN())</f>
        <v/>
      </c>
      <c r="AO34" s="2156">
        <f>INDEX(MO_RIS_OI_NONGAAP,0,COLUMN())</f>
        <v/>
      </c>
      <c r="AP34" s="2156">
        <f>INDEX(MO_RIS_OI_NONGAAP,0,COLUMN())</f>
        <v/>
      </c>
      <c r="AQ34" s="2156">
        <f>INDEX(MO_RIS_OI_NONGAAP,0,COLUMN())</f>
        <v/>
      </c>
      <c r="AR34" s="2110">
        <f>INDEX(MO_RIS_OI_NONGAAP,0,COLUMN())</f>
        <v/>
      </c>
      <c r="AS34" s="2110">
        <f>INDEX(MO_RIS_OI_NONGAAP,0,COLUMN())</f>
        <v/>
      </c>
      <c r="AT34" s="2110">
        <f>INDEX(MO_RIS_OI_NONGAAP,0,COLUMN())</f>
        <v/>
      </c>
      <c r="AU34" s="2110">
        <f>INDEX(MO_RIS_OI_NONGAAP,0,COLUMN())</f>
        <v/>
      </c>
      <c r="AV34" s="2119" t="n"/>
    </row>
    <row r="35" ht="14.4" customFormat="1" customHeight="1" s="2113">
      <c r="A35" s="2100">
        <f>INDEX(MO_RIS_EBT_NONGAAP,0,COLUMN())</f>
        <v/>
      </c>
      <c r="B35" s="2124" t="n"/>
      <c r="C35" s="2125" t="n"/>
      <c r="D35" s="2125" t="n"/>
      <c r="E35" s="2125" t="n"/>
      <c r="F35" s="2125" t="n"/>
      <c r="G35" s="2125" t="n"/>
      <c r="H35" s="2125" t="n"/>
      <c r="I35" s="2125" t="n"/>
      <c r="J35" s="2125" t="n"/>
      <c r="K35" s="2125" t="n"/>
      <c r="L35" s="2125" t="n"/>
      <c r="M35" s="2125" t="n"/>
      <c r="N35" s="2125" t="n"/>
      <c r="O35" s="2119" t="n"/>
      <c r="P35" s="2119" t="n"/>
      <c r="Q35" s="2119" t="n"/>
      <c r="R35" s="2119" t="n"/>
      <c r="S35" s="2125" t="n"/>
      <c r="T35" s="2119" t="n"/>
      <c r="U35" s="2119" t="n"/>
      <c r="V35" s="2119" t="n"/>
      <c r="W35" s="2119" t="n"/>
      <c r="X35" s="2125">
        <f>INDEX(MO_RIS_EBT_NONGAAP,0,COLUMN())</f>
        <v/>
      </c>
      <c r="Y35" s="2119" t="n"/>
      <c r="Z35" s="2119" t="n"/>
      <c r="AA35" s="2119">
        <f>INDEX(MO_RIS_EBT_NONGAAP,0,COLUMN())</f>
        <v/>
      </c>
      <c r="AB35" s="2119">
        <f>INDEX(MO_RIS_EBT_NONGAAP,0,COLUMN())</f>
        <v/>
      </c>
      <c r="AC35" s="2125">
        <f>INDEX(MO_RIS_EBT_NONGAAP,0,COLUMN())</f>
        <v/>
      </c>
      <c r="AD35" s="2119">
        <f>INDEX(MO_RIS_EBT_NONGAAP,0,COLUMN())</f>
        <v/>
      </c>
      <c r="AE35" s="2119">
        <f>INDEX(MO_RIS_EBT_NONGAAP,0,COLUMN())</f>
        <v/>
      </c>
      <c r="AF35" s="2119">
        <f>INDEX(MO_RIS_EBT_NONGAAP,0,COLUMN())</f>
        <v/>
      </c>
      <c r="AG35" s="2119">
        <f>INDEX(MO_RIS_EBT_NONGAAP,0,COLUMN())</f>
        <v/>
      </c>
      <c r="AH35" s="2125">
        <f>INDEX(MO_RIS_EBT_NONGAAP,0,COLUMN())</f>
        <v/>
      </c>
      <c r="AI35" s="2119">
        <f>INDEX(MO_RIS_EBT_NONGAAP,0,COLUMN())</f>
        <v/>
      </c>
      <c r="AJ35" s="2119">
        <f>INDEX(MO_RIS_EBT_NONGAAP,0,COLUMN())</f>
        <v/>
      </c>
      <c r="AK35" s="2126">
        <f>INDEX(MO_RIS_EBT_NONGAAP,0,COLUMN())</f>
        <v/>
      </c>
      <c r="AL35" s="2119">
        <f>INDEX(MO_RIS_EBT_NONGAAP,0,COLUMN())</f>
        <v/>
      </c>
      <c r="AM35" s="2125">
        <f>INDEX(MO_RIS_EBT_NONGAAP,0,COLUMN())</f>
        <v/>
      </c>
      <c r="AN35" s="2119">
        <f>INDEX(MO_RIS_EBT_NONGAAP,0,COLUMN())</f>
        <v/>
      </c>
      <c r="AO35" s="2119">
        <f>INDEX(MO_RIS_EBT_NONGAAP,0,COLUMN())</f>
        <v/>
      </c>
      <c r="AP35" s="2119">
        <f>INDEX(MO_RIS_EBT_NONGAAP,0,COLUMN())</f>
        <v/>
      </c>
      <c r="AQ35" s="2119">
        <f>INDEX(MO_RIS_EBT_NONGAAP,0,COLUMN())</f>
        <v/>
      </c>
      <c r="AR35" s="2125">
        <f>INDEX(MO_RIS_EBT_NONGAAP,0,COLUMN())</f>
        <v/>
      </c>
      <c r="AS35" s="2125">
        <f>INDEX(MO_RIS_EBT_NONGAAP,0,COLUMN())</f>
        <v/>
      </c>
      <c r="AT35" s="2125">
        <f>INDEX(MO_RIS_EBT_NONGAAP,0,COLUMN())</f>
        <v/>
      </c>
      <c r="AU35" s="2125">
        <f>INDEX(MO_RIS_EBT_NONGAAP,0,COLUMN())</f>
        <v/>
      </c>
      <c r="AV35" s="2119" t="n"/>
    </row>
    <row r="36" ht="14.4" customFormat="1" customHeight="1" s="2113">
      <c r="A36" s="2106">
        <f>INDEX(MO_RIS_Tax_NONGAAP,0,COLUMN())</f>
        <v/>
      </c>
      <c r="B36" s="2155" t="n"/>
      <c r="C36" s="2110" t="n"/>
      <c r="D36" s="2110" t="n"/>
      <c r="E36" s="2110" t="n"/>
      <c r="F36" s="2110" t="n"/>
      <c r="G36" s="2110" t="n"/>
      <c r="H36" s="2110" t="n"/>
      <c r="I36" s="2110" t="n"/>
      <c r="J36" s="2110" t="n"/>
      <c r="K36" s="2110" t="n"/>
      <c r="L36" s="2110" t="n"/>
      <c r="M36" s="2110" t="n"/>
      <c r="N36" s="2110" t="n"/>
      <c r="O36" s="2156" t="n"/>
      <c r="P36" s="2156" t="n"/>
      <c r="Q36" s="2156" t="n"/>
      <c r="R36" s="2156" t="n"/>
      <c r="S36" s="2110" t="n"/>
      <c r="T36" s="2156" t="n"/>
      <c r="U36" s="2156" t="n"/>
      <c r="V36" s="2156" t="n"/>
      <c r="W36" s="2156" t="n"/>
      <c r="X36" s="2110">
        <f>INDEX(MO_RIS_Tax_NONGAAP,0,COLUMN())</f>
        <v/>
      </c>
      <c r="Y36" s="2156" t="n"/>
      <c r="Z36" s="2156" t="n"/>
      <c r="AA36" s="2156">
        <f>INDEX(MO_RIS_Tax_NONGAAP,0,COLUMN())</f>
        <v/>
      </c>
      <c r="AB36" s="2156">
        <f>INDEX(MO_RIS_Tax_NONGAAP,0,COLUMN())</f>
        <v/>
      </c>
      <c r="AC36" s="2110">
        <f>INDEX(MO_RIS_Tax_NONGAAP,0,COLUMN())</f>
        <v/>
      </c>
      <c r="AD36" s="2156">
        <f>INDEX(MO_RIS_Tax_NONGAAP,0,COLUMN())</f>
        <v/>
      </c>
      <c r="AE36" s="2156">
        <f>INDEX(MO_RIS_Tax_NONGAAP,0,COLUMN())</f>
        <v/>
      </c>
      <c r="AF36" s="2156">
        <f>INDEX(MO_RIS_Tax_NONGAAP,0,COLUMN())</f>
        <v/>
      </c>
      <c r="AG36" s="2156">
        <f>INDEX(MO_RIS_Tax_NONGAAP,0,COLUMN())</f>
        <v/>
      </c>
      <c r="AH36" s="2110">
        <f>INDEX(MO_RIS_Tax_NONGAAP,0,COLUMN())</f>
        <v/>
      </c>
      <c r="AI36" s="2156">
        <f>INDEX(MO_RIS_Tax_NONGAAP,0,COLUMN())</f>
        <v/>
      </c>
      <c r="AJ36" s="2156">
        <f>INDEX(MO_RIS_Tax_NONGAAP,0,COLUMN())</f>
        <v/>
      </c>
      <c r="AK36" s="2157">
        <f>INDEX(MO_RIS_Tax_NONGAAP,0,COLUMN())</f>
        <v/>
      </c>
      <c r="AL36" s="2156">
        <f>INDEX(MO_RIS_Tax_NONGAAP,0,COLUMN())</f>
        <v/>
      </c>
      <c r="AM36" s="2110">
        <f>INDEX(MO_RIS_Tax_NONGAAP,0,COLUMN())</f>
        <v/>
      </c>
      <c r="AN36" s="2156">
        <f>INDEX(MO_RIS_Tax_NONGAAP,0,COLUMN())</f>
        <v/>
      </c>
      <c r="AO36" s="2156">
        <f>INDEX(MO_RIS_Tax_NONGAAP,0,COLUMN())</f>
        <v/>
      </c>
      <c r="AP36" s="2156">
        <f>INDEX(MO_RIS_Tax_NONGAAP,0,COLUMN())</f>
        <v/>
      </c>
      <c r="AQ36" s="2156">
        <f>INDEX(MO_RIS_Tax_NONGAAP,0,COLUMN())</f>
        <v/>
      </c>
      <c r="AR36" s="2110">
        <f>INDEX(MO_RIS_Tax_NONGAAP,0,COLUMN())</f>
        <v/>
      </c>
      <c r="AS36" s="2110">
        <f>INDEX(MO_RIS_Tax_NONGAAP,0,COLUMN())</f>
        <v/>
      </c>
      <c r="AT36" s="2110">
        <f>INDEX(MO_RIS_Tax_NONGAAP,0,COLUMN())</f>
        <v/>
      </c>
      <c r="AU36" s="2110">
        <f>INDEX(MO_RIS_Tax_NONGAAP,0,COLUMN())</f>
        <v/>
      </c>
      <c r="AV36" s="2119" t="n"/>
    </row>
    <row r="37" ht="14.4" customFormat="1" customHeight="1" s="2113">
      <c r="A37" s="2100">
        <f>INDEX(MO_RIS_NI_NONGAAP_Diluted,0,COLUMN())</f>
        <v/>
      </c>
      <c r="B37" s="2124" t="n"/>
      <c r="C37" s="2125" t="n"/>
      <c r="D37" s="2125" t="n"/>
      <c r="E37" s="2125" t="n"/>
      <c r="F37" s="2125" t="n"/>
      <c r="G37" s="2125" t="n"/>
      <c r="H37" s="2125" t="n"/>
      <c r="I37" s="2125" t="n"/>
      <c r="J37" s="2125" t="n"/>
      <c r="K37" s="2125" t="n"/>
      <c r="L37" s="2125" t="n"/>
      <c r="M37" s="2125" t="n"/>
      <c r="N37" s="2125" t="n"/>
      <c r="O37" s="2119" t="n"/>
      <c r="P37" s="2119" t="n"/>
      <c r="Q37" s="2119" t="n"/>
      <c r="R37" s="2119" t="n"/>
      <c r="S37" s="2125" t="n"/>
      <c r="T37" s="2119" t="n"/>
      <c r="U37" s="2119" t="n"/>
      <c r="V37" s="2119" t="n"/>
      <c r="W37" s="2119" t="n"/>
      <c r="X37" s="2125">
        <f>INDEX(MO_RIS_NI_NONGAAP_Diluted,0,COLUMN())</f>
        <v/>
      </c>
      <c r="Y37" s="2119" t="n"/>
      <c r="Z37" s="2119" t="n"/>
      <c r="AA37" s="2119">
        <f>INDEX(MO_RIS_NI_NONGAAP_Diluted,0,COLUMN())</f>
        <v/>
      </c>
      <c r="AB37" s="2119">
        <f>INDEX(MO_RIS_NI_NONGAAP_Diluted,0,COLUMN())</f>
        <v/>
      </c>
      <c r="AC37" s="2125">
        <f>INDEX(MO_RIS_NI_NONGAAP_Diluted,0,COLUMN())</f>
        <v/>
      </c>
      <c r="AD37" s="2119">
        <f>INDEX(MO_RIS_NI_NONGAAP_Diluted,0,COLUMN())</f>
        <v/>
      </c>
      <c r="AE37" s="2119">
        <f>INDEX(MO_RIS_NI_NONGAAP_Diluted,0,COLUMN())</f>
        <v/>
      </c>
      <c r="AF37" s="2119">
        <f>INDEX(MO_RIS_NI_NONGAAP_Diluted,0,COLUMN())</f>
        <v/>
      </c>
      <c r="AG37" s="2119">
        <f>INDEX(MO_RIS_NI_NONGAAP_Diluted,0,COLUMN())</f>
        <v/>
      </c>
      <c r="AH37" s="2125">
        <f>INDEX(MO_RIS_NI_NONGAAP_Diluted,0,COLUMN())</f>
        <v/>
      </c>
      <c r="AI37" s="2119">
        <f>INDEX(MO_RIS_NI_NONGAAP_Diluted,0,COLUMN())</f>
        <v/>
      </c>
      <c r="AJ37" s="2119">
        <f>INDEX(MO_RIS_NI_NONGAAP_Diluted,0,COLUMN())</f>
        <v/>
      </c>
      <c r="AK37" s="2126">
        <f>INDEX(MO_RIS_NI_NONGAAP_Diluted,0,COLUMN())</f>
        <v/>
      </c>
      <c r="AL37" s="2119">
        <f>INDEX(MO_RIS_NI_NONGAAP_Diluted,0,COLUMN())</f>
        <v/>
      </c>
      <c r="AM37" s="2125">
        <f>INDEX(MO_RIS_NI_NONGAAP_Diluted,0,COLUMN())</f>
        <v/>
      </c>
      <c r="AN37" s="2119">
        <f>INDEX(MO_RIS_NI_NONGAAP_Diluted,0,COLUMN())</f>
        <v/>
      </c>
      <c r="AO37" s="2119">
        <f>INDEX(MO_RIS_NI_NONGAAP_Diluted,0,COLUMN())</f>
        <v/>
      </c>
      <c r="AP37" s="2119">
        <f>INDEX(MO_RIS_NI_NONGAAP_Diluted,0,COLUMN())</f>
        <v/>
      </c>
      <c r="AQ37" s="2119">
        <f>INDEX(MO_RIS_NI_NONGAAP_Diluted,0,COLUMN())</f>
        <v/>
      </c>
      <c r="AR37" s="2125">
        <f>INDEX(MO_RIS_NI_NONGAAP_Diluted,0,COLUMN())</f>
        <v/>
      </c>
      <c r="AS37" s="2125">
        <f>INDEX(MO_RIS_NI_NONGAAP_Diluted,0,COLUMN())</f>
        <v/>
      </c>
      <c r="AT37" s="2125">
        <f>INDEX(MO_RIS_NI_NONGAAP_Diluted,0,COLUMN())</f>
        <v/>
      </c>
      <c r="AU37" s="2125">
        <f>INDEX(MO_RIS_NI_NONGAAP_Diluted,0,COLUMN())</f>
        <v/>
      </c>
      <c r="AV37" s="2119" t="n"/>
    </row>
    <row r="38" ht="14.4" customFormat="1" customHeight="1" s="2113">
      <c r="A38" s="2106" t="inlineStr">
        <is>
          <t>GAAP Adjustments</t>
        </is>
      </c>
      <c r="B38" s="2155" t="n"/>
      <c r="C38" s="2110" t="n"/>
      <c r="D38" s="2110" t="n"/>
      <c r="E38" s="2110" t="n"/>
      <c r="F38" s="2110" t="n"/>
      <c r="G38" s="2110" t="n"/>
      <c r="H38" s="2110" t="n"/>
      <c r="I38" s="2110" t="n"/>
      <c r="J38" s="2110" t="n"/>
      <c r="K38" s="2110" t="n"/>
      <c r="L38" s="2110" t="n"/>
      <c r="M38" s="2110" t="n"/>
      <c r="N38" s="2110" t="n"/>
      <c r="O38" s="2156" t="n"/>
      <c r="P38" s="2156" t="n"/>
      <c r="Q38" s="2156" t="n"/>
      <c r="R38" s="2156" t="n"/>
      <c r="S38" s="2110" t="n"/>
      <c r="T38" s="2156" t="n"/>
      <c r="U38" s="2156" t="n"/>
      <c r="V38" s="2156" t="n"/>
      <c r="W38" s="2156" t="n"/>
      <c r="X38" s="2110">
        <f>INDEX(MO_RIS_NI_NONGAAP_Diluted,0,COLUMN())-INDEX(MO_RIS_NI_GAAP_Basic,0,COLUMN())</f>
        <v/>
      </c>
      <c r="Y38" s="2156" t="n"/>
      <c r="Z38" s="2156" t="n"/>
      <c r="AA38" s="2156">
        <f>INDEX(MO_RIS_NI_NONGAAP_Diluted,0,COLUMN())-INDEX(MO_RIS_NI_GAAP_Basic,0,COLUMN())</f>
        <v/>
      </c>
      <c r="AB38" s="2156">
        <f>INDEX(MO_RIS_NI_NONGAAP_Diluted,0,COLUMN())-INDEX(MO_RIS_NI_GAAP_Basic,0,COLUMN())</f>
        <v/>
      </c>
      <c r="AC38" s="2110">
        <f>INDEX(MO_RIS_NI_NONGAAP_Diluted,0,COLUMN())-INDEX(MO_RIS_NI_GAAP_Basic,0,COLUMN())</f>
        <v/>
      </c>
      <c r="AD38" s="2156">
        <f>INDEX(MO_RIS_NI_NONGAAP_Diluted,0,COLUMN())-INDEX(MO_RIS_NI_GAAP_Basic,0,COLUMN())</f>
        <v/>
      </c>
      <c r="AE38" s="2156">
        <f>INDEX(MO_RIS_NI_NONGAAP_Diluted,0,COLUMN())-INDEX(MO_RIS_NI_GAAP_Basic,0,COLUMN())</f>
        <v/>
      </c>
      <c r="AF38" s="2156">
        <f>INDEX(MO_RIS_NI_NONGAAP_Diluted,0,COLUMN())-INDEX(MO_RIS_NI_GAAP_Basic,0,COLUMN())</f>
        <v/>
      </c>
      <c r="AG38" s="2156">
        <f>INDEX(MO_RIS_NI_NONGAAP_Diluted,0,COLUMN())-INDEX(MO_RIS_NI_GAAP_Basic,0,COLUMN())</f>
        <v/>
      </c>
      <c r="AH38" s="2110">
        <f>INDEX(MO_RIS_NI_NONGAAP_Diluted,0,COLUMN())-INDEX(MO_RIS_NI_GAAP_Basic,0,COLUMN())</f>
        <v/>
      </c>
      <c r="AI38" s="2156">
        <f>INDEX(MO_RIS_NI_NONGAAP_Diluted,0,COLUMN())-INDEX(MO_RIS_NI_GAAP_Basic,0,COLUMN())</f>
        <v/>
      </c>
      <c r="AJ38" s="2156">
        <f>INDEX(MO_RIS_NI_NONGAAP_Diluted,0,COLUMN())-INDEX(MO_RIS_NI_GAAP_Basic,0,COLUMN())</f>
        <v/>
      </c>
      <c r="AK38" s="2157">
        <f>INDEX(MO_RIS_NI_NONGAAP_Diluted,0,COLUMN())-INDEX(MO_RIS_NI_GAAP_Basic,0,COLUMN())</f>
        <v/>
      </c>
      <c r="AL38" s="2156">
        <f>INDEX(MO_RIS_NI_NONGAAP_Diluted,0,COLUMN())-INDEX(MO_RIS_NI_GAAP_Basic,0,COLUMN())</f>
        <v/>
      </c>
      <c r="AM38" s="2110">
        <f>INDEX(MO_RIS_NI_NONGAAP_Diluted,0,COLUMN())-INDEX(MO_RIS_NI_GAAP_Basic,0,COLUMN())</f>
        <v/>
      </c>
      <c r="AN38" s="2156">
        <f>INDEX(MO_RIS_NI_NONGAAP_Diluted,0,COLUMN())-INDEX(MO_RIS_NI_GAAP_Basic,0,COLUMN())</f>
        <v/>
      </c>
      <c r="AO38" s="2156">
        <f>INDEX(MO_RIS_NI_NONGAAP_Diluted,0,COLUMN())-INDEX(MO_RIS_NI_GAAP_Basic,0,COLUMN())</f>
        <v/>
      </c>
      <c r="AP38" s="2156">
        <f>INDEX(MO_RIS_NI_NONGAAP_Diluted,0,COLUMN())-INDEX(MO_RIS_NI_GAAP_Basic,0,COLUMN())</f>
        <v/>
      </c>
      <c r="AQ38" s="2156">
        <f>INDEX(MO_RIS_NI_NONGAAP_Diluted,0,COLUMN())-INDEX(MO_RIS_NI_GAAP_Basic,0,COLUMN())</f>
        <v/>
      </c>
      <c r="AR38" s="2110">
        <f>INDEX(MO_RIS_NI_NONGAAP_Diluted,0,COLUMN())-INDEX(MO_RIS_NI_GAAP_Basic,0,COLUMN())</f>
        <v/>
      </c>
      <c r="AS38" s="2110">
        <f>INDEX(MO_RIS_NI_NONGAAP_Diluted,0,COLUMN())-INDEX(MO_RIS_NI_GAAP_Basic,0,COLUMN())</f>
        <v/>
      </c>
      <c r="AT38" s="2110">
        <f>INDEX(MO_RIS_NI_NONGAAP_Diluted,0,COLUMN())-INDEX(MO_RIS_NI_GAAP_Basic,0,COLUMN())</f>
        <v/>
      </c>
      <c r="AU38" s="2110">
        <f>INDEX(MO_RIS_NI_NONGAAP_Diluted,0,COLUMN())-INDEX(MO_RIS_NI_GAAP_Basic,0,COLUMN())</f>
        <v/>
      </c>
      <c r="AV38" s="2119" t="n"/>
    </row>
    <row r="39" ht="14.4" customFormat="1" customHeight="1" s="2113">
      <c r="A39" s="2100">
        <f>INDEX(MO_RIS_NI_GAAP_Basic,0,COLUMN())</f>
        <v/>
      </c>
      <c r="B39" s="2124" t="n"/>
      <c r="C39" s="2125" t="n"/>
      <c r="D39" s="2125" t="n"/>
      <c r="E39" s="2125" t="n"/>
      <c r="F39" s="2125" t="n"/>
      <c r="G39" s="2125" t="n"/>
      <c r="H39" s="2125" t="n"/>
      <c r="I39" s="2125" t="n"/>
      <c r="J39" s="2125" t="n"/>
      <c r="K39" s="2125" t="n"/>
      <c r="L39" s="2125" t="n"/>
      <c r="M39" s="2125" t="n"/>
      <c r="N39" s="2125" t="n"/>
      <c r="O39" s="2119" t="n"/>
      <c r="P39" s="2119" t="n"/>
      <c r="Q39" s="2119" t="n"/>
      <c r="R39" s="2119" t="n"/>
      <c r="S39" s="2125" t="n"/>
      <c r="T39" s="2119" t="n"/>
      <c r="U39" s="2119" t="n"/>
      <c r="V39" s="2119" t="n"/>
      <c r="W39" s="2119" t="n"/>
      <c r="X39" s="2125">
        <f>INDEX(MO_RIS_NI_GAAP_Basic,0,COLUMN())</f>
        <v/>
      </c>
      <c r="Y39" s="2119" t="n"/>
      <c r="Z39" s="2119" t="n"/>
      <c r="AA39" s="2119">
        <f>INDEX(MO_RIS_NI_GAAP_Basic,0,COLUMN())</f>
        <v/>
      </c>
      <c r="AB39" s="2119">
        <f>INDEX(MO_RIS_NI_GAAP_Basic,0,COLUMN())</f>
        <v/>
      </c>
      <c r="AC39" s="2125">
        <f>INDEX(MO_RIS_NI_GAAP_Basic,0,COLUMN())</f>
        <v/>
      </c>
      <c r="AD39" s="2119">
        <f>INDEX(MO_RIS_NI_GAAP_Basic,0,COLUMN())</f>
        <v/>
      </c>
      <c r="AE39" s="2119">
        <f>INDEX(MO_RIS_NI_GAAP_Basic,0,COLUMN())</f>
        <v/>
      </c>
      <c r="AF39" s="2119">
        <f>INDEX(MO_RIS_NI_GAAP_Basic,0,COLUMN())</f>
        <v/>
      </c>
      <c r="AG39" s="2119">
        <f>INDEX(MO_RIS_NI_GAAP_Basic,0,COLUMN())</f>
        <v/>
      </c>
      <c r="AH39" s="2125">
        <f>INDEX(MO_RIS_NI_GAAP_Basic,0,COLUMN())</f>
        <v/>
      </c>
      <c r="AI39" s="2119">
        <f>INDEX(MO_RIS_NI_GAAP_Basic,0,COLUMN())</f>
        <v/>
      </c>
      <c r="AJ39" s="2119">
        <f>INDEX(MO_RIS_NI_GAAP_Basic,0,COLUMN())</f>
        <v/>
      </c>
      <c r="AK39" s="2126">
        <f>INDEX(MO_RIS_NI_GAAP_Basic,0,COLUMN())</f>
        <v/>
      </c>
      <c r="AL39" s="2119">
        <f>INDEX(MO_RIS_NI_GAAP_Basic,0,COLUMN())</f>
        <v/>
      </c>
      <c r="AM39" s="2125">
        <f>INDEX(MO_RIS_NI_GAAP_Basic,0,COLUMN())</f>
        <v/>
      </c>
      <c r="AN39" s="2119">
        <f>INDEX(MO_RIS_NI_GAAP_Basic,0,COLUMN())</f>
        <v/>
      </c>
      <c r="AO39" s="2119">
        <f>INDEX(MO_RIS_NI_GAAP_Basic,0,COLUMN())</f>
        <v/>
      </c>
      <c r="AP39" s="2119">
        <f>INDEX(MO_RIS_NI_GAAP_Basic,0,COLUMN())</f>
        <v/>
      </c>
      <c r="AQ39" s="2119">
        <f>INDEX(MO_RIS_NI_GAAP_Basic,0,COLUMN())</f>
        <v/>
      </c>
      <c r="AR39" s="2125">
        <f>INDEX(MO_RIS_NI_GAAP_Basic,0,COLUMN())</f>
        <v/>
      </c>
      <c r="AS39" s="2125">
        <f>INDEX(MO_RIS_NI_GAAP_Basic,0,COLUMN())</f>
        <v/>
      </c>
      <c r="AT39" s="2125">
        <f>INDEX(MO_RIS_NI_GAAP_Basic,0,COLUMN())</f>
        <v/>
      </c>
      <c r="AU39" s="2125">
        <f>INDEX(MO_RIS_NI_GAAP_Basic,0,COLUMN())</f>
        <v/>
      </c>
      <c r="AV39" s="2119" t="n"/>
    </row>
    <row r="40" ht="14.4" customFormat="1" customHeight="1" s="2113">
      <c r="A40" s="2100" t="n"/>
      <c r="B40" s="2124" t="n"/>
      <c r="C40" s="2125" t="n"/>
      <c r="D40" s="2125" t="n"/>
      <c r="E40" s="2125" t="n"/>
      <c r="F40" s="2125" t="n"/>
      <c r="G40" s="2125" t="n"/>
      <c r="H40" s="2125" t="n"/>
      <c r="I40" s="2125" t="n"/>
      <c r="J40" s="2125" t="n"/>
      <c r="K40" s="2125" t="n"/>
      <c r="L40" s="2125" t="n"/>
      <c r="M40" s="2125" t="n"/>
      <c r="N40" s="2125" t="n"/>
      <c r="O40" s="2119" t="n"/>
      <c r="P40" s="2119" t="n"/>
      <c r="Q40" s="2119" t="n"/>
      <c r="R40" s="2119" t="n"/>
      <c r="S40" s="2125" t="n"/>
      <c r="T40" s="2119" t="n"/>
      <c r="U40" s="2119" t="n"/>
      <c r="V40" s="2119" t="n"/>
      <c r="W40" s="2119" t="n"/>
      <c r="X40" s="2125" t="n"/>
      <c r="Y40" s="2119" t="n"/>
      <c r="Z40" s="2119" t="n"/>
      <c r="AA40" s="2119" t="n"/>
      <c r="AB40" s="2119" t="n"/>
      <c r="AC40" s="2125" t="n"/>
      <c r="AD40" s="2119" t="n"/>
      <c r="AE40" s="2119" t="n"/>
      <c r="AF40" s="2119" t="n"/>
      <c r="AG40" s="2119" t="n"/>
      <c r="AH40" s="2125" t="n"/>
      <c r="AI40" s="2119" t="n"/>
      <c r="AJ40" s="2119" t="n"/>
      <c r="AK40" s="2126" t="n"/>
      <c r="AL40" s="2119" t="n"/>
      <c r="AM40" s="2125" t="n"/>
      <c r="AN40" s="2119" t="n"/>
      <c r="AO40" s="2119" t="n"/>
      <c r="AP40" s="2119" t="n"/>
      <c r="AQ40" s="2119" t="n"/>
      <c r="AR40" s="2125" t="n"/>
      <c r="AS40" s="2125" t="n"/>
      <c r="AT40" s="2125" t="n"/>
      <c r="AU40" s="2125" t="n"/>
      <c r="AV40" s="2119" t="n"/>
    </row>
    <row r="41" ht="14.4" customFormat="1" customHeight="1" s="2113">
      <c r="A41" s="2100">
        <f>INDEX(MO_RIS_EPS_WAB,0,COLUMN())</f>
        <v/>
      </c>
      <c r="B41" s="2124" t="n"/>
      <c r="C41" s="2158" t="n"/>
      <c r="D41" s="2158" t="n"/>
      <c r="E41" s="2158" t="n"/>
      <c r="F41" s="2158" t="n"/>
      <c r="G41" s="2158" t="n"/>
      <c r="H41" s="2158" t="n"/>
      <c r="I41" s="2158" t="n"/>
      <c r="J41" s="2158" t="n"/>
      <c r="K41" s="2158" t="n"/>
      <c r="L41" s="2158" t="n"/>
      <c r="M41" s="2158" t="n"/>
      <c r="N41" s="2158" t="n"/>
      <c r="O41" s="2112" t="n"/>
      <c r="P41" s="2112" t="n"/>
      <c r="Q41" s="2112" t="n"/>
      <c r="R41" s="2112" t="n"/>
      <c r="S41" s="2158" t="n"/>
      <c r="T41" s="2112" t="n"/>
      <c r="U41" s="2112" t="n"/>
      <c r="V41" s="2112" t="n"/>
      <c r="W41" s="2112" t="n"/>
      <c r="X41" s="2158">
        <f>INDEX(MO_RIS_EPS_WAB,0,COLUMN())</f>
        <v/>
      </c>
      <c r="Y41" s="2112" t="n"/>
      <c r="Z41" s="2112" t="n"/>
      <c r="AA41" s="2112">
        <f>INDEX(MO_RIS_EPS_WAB,0,COLUMN())</f>
        <v/>
      </c>
      <c r="AB41" s="2112">
        <f>INDEX(MO_RIS_EPS_WAB,0,COLUMN())</f>
        <v/>
      </c>
      <c r="AC41" s="2158">
        <f>INDEX(MO_RIS_EPS_WAB,0,COLUMN())</f>
        <v/>
      </c>
      <c r="AD41" s="2112">
        <f>INDEX(MO_RIS_EPS_WAB,0,COLUMN())</f>
        <v/>
      </c>
      <c r="AE41" s="2112">
        <f>INDEX(MO_RIS_EPS_WAB,0,COLUMN())</f>
        <v/>
      </c>
      <c r="AF41" s="2112">
        <f>INDEX(MO_RIS_EPS_WAB,0,COLUMN())</f>
        <v/>
      </c>
      <c r="AG41" s="2112">
        <f>INDEX(MO_RIS_EPS_WAB,0,COLUMN())</f>
        <v/>
      </c>
      <c r="AH41" s="2158">
        <f>INDEX(MO_RIS_EPS_WAB,0,COLUMN())</f>
        <v/>
      </c>
      <c r="AI41" s="2112">
        <f>INDEX(MO_RIS_EPS_WAB,0,COLUMN())</f>
        <v/>
      </c>
      <c r="AJ41" s="2112">
        <f>INDEX(MO_RIS_EPS_WAB,0,COLUMN())</f>
        <v/>
      </c>
      <c r="AK41" s="2159">
        <f>INDEX(MO_RIS_EPS_WAB,0,COLUMN())</f>
        <v/>
      </c>
      <c r="AL41" s="2112">
        <f>INDEX(MO_RIS_EPS_WAB,0,COLUMN())</f>
        <v/>
      </c>
      <c r="AM41" s="2158">
        <f>INDEX(MO_RIS_EPS_WAB,0,COLUMN())</f>
        <v/>
      </c>
      <c r="AN41" s="2112">
        <f>INDEX(MO_RIS_EPS_WAB,0,COLUMN())</f>
        <v/>
      </c>
      <c r="AO41" s="2112">
        <f>INDEX(MO_RIS_EPS_WAB,0,COLUMN())</f>
        <v/>
      </c>
      <c r="AP41" s="2112">
        <f>INDEX(MO_RIS_EPS_WAB,0,COLUMN())</f>
        <v/>
      </c>
      <c r="AQ41" s="2112">
        <f>INDEX(MO_RIS_EPS_WAB,0,COLUMN())</f>
        <v/>
      </c>
      <c r="AR41" s="2158">
        <f>INDEX(MO_RIS_EPS_WAB,0,COLUMN())</f>
        <v/>
      </c>
      <c r="AS41" s="2158">
        <f>INDEX(MO_RIS_EPS_WAB,0,COLUMN())</f>
        <v/>
      </c>
      <c r="AT41" s="2158">
        <f>INDEX(MO_RIS_EPS_WAB,0,COLUMN())</f>
        <v/>
      </c>
      <c r="AU41" s="2158">
        <f>INDEX(MO_RIS_EPS_WAB,0,COLUMN())</f>
        <v/>
      </c>
      <c r="AV41" s="2119" t="n"/>
    </row>
    <row r="42" ht="14.4" customFormat="1" customHeight="1" s="2088">
      <c r="A42" s="2120" t="n"/>
      <c r="B42" s="2121" t="n"/>
      <c r="C42" s="2122" t="n"/>
      <c r="D42" s="2122" t="n"/>
      <c r="E42" s="2122" t="n"/>
      <c r="F42" s="2122" t="n"/>
      <c r="G42" s="2122" t="n"/>
      <c r="H42" s="2122" t="n"/>
      <c r="I42" s="2122" t="n"/>
      <c r="J42" s="2122" t="n"/>
      <c r="K42" s="2122" t="n"/>
      <c r="L42" s="2122" t="n"/>
      <c r="M42" s="2122" t="n"/>
      <c r="N42" s="2122" t="n"/>
      <c r="O42" s="2087" t="n"/>
      <c r="P42" s="2087" t="n"/>
      <c r="Q42" s="2087" t="n"/>
      <c r="R42" s="2087" t="n"/>
      <c r="S42" s="2122" t="n"/>
      <c r="T42" s="2087" t="n"/>
      <c r="U42" s="2087" t="n"/>
      <c r="V42" s="2087" t="n"/>
      <c r="W42" s="2087" t="n"/>
      <c r="X42" s="2122" t="n"/>
      <c r="Y42" s="2087" t="n"/>
      <c r="Z42" s="2087" t="n"/>
      <c r="AA42" s="2087" t="n"/>
      <c r="AB42" s="2087" t="n"/>
      <c r="AC42" s="2122" t="n"/>
      <c r="AD42" s="2087" t="n"/>
      <c r="AE42" s="2087" t="n"/>
      <c r="AF42" s="2087" t="n"/>
      <c r="AG42" s="2087" t="n"/>
      <c r="AH42" s="2122" t="n"/>
      <c r="AI42" s="2087" t="n"/>
      <c r="AJ42" s="2087" t="n"/>
      <c r="AK42" s="2123" t="n"/>
      <c r="AL42" s="2087" t="n"/>
      <c r="AM42" s="2122" t="n"/>
      <c r="AN42" s="2087" t="n"/>
      <c r="AO42" s="2087" t="n"/>
      <c r="AP42" s="2087" t="n"/>
      <c r="AQ42" s="2087" t="n"/>
      <c r="AR42" s="2122" t="n"/>
      <c r="AS42" s="2122" t="n"/>
      <c r="AT42" s="2122" t="n"/>
      <c r="AU42" s="2122" t="n"/>
      <c r="AV42" s="2087" t="n"/>
    </row>
    <row r="43" ht="14.4" customHeight="1" s="877">
      <c r="A43" s="2160" t="inlineStr">
        <is>
          <t>Non-GAAP Financials</t>
        </is>
      </c>
      <c r="B43" s="2161" t="n"/>
      <c r="C43" s="2161" t="n"/>
      <c r="D43" s="2161" t="n"/>
      <c r="E43" s="2161" t="n"/>
      <c r="F43" s="2161" t="n"/>
      <c r="G43" s="2161" t="n"/>
      <c r="H43" s="2161" t="n"/>
      <c r="I43" s="2161" t="n"/>
      <c r="J43" s="2161" t="n"/>
      <c r="K43" s="2161" t="n"/>
      <c r="L43" s="2161" t="n"/>
      <c r="M43" s="2161" t="n"/>
      <c r="N43" s="2161" t="n"/>
      <c r="O43" s="2161" t="n"/>
      <c r="P43" s="2161" t="n"/>
      <c r="Q43" s="2161" t="n"/>
      <c r="R43" s="2161" t="n"/>
      <c r="S43" s="2161" t="n"/>
      <c r="T43" s="2161" t="n"/>
      <c r="U43" s="2161" t="n"/>
      <c r="V43" s="2161" t="n"/>
      <c r="W43" s="2161" t="n"/>
      <c r="X43" s="2161" t="n"/>
      <c r="Y43" s="2161" t="n"/>
      <c r="Z43" s="2161" t="n"/>
      <c r="AA43" s="2162" t="inlineStr">
        <is>
          <t>9 months</t>
        </is>
      </c>
      <c r="AB43" s="2161" t="n"/>
      <c r="AC43" s="2161" t="n"/>
      <c r="AD43" s="2161" t="n"/>
      <c r="AE43" s="2161" t="n"/>
      <c r="AF43" s="2161" t="n"/>
      <c r="AG43" s="2161" t="n"/>
      <c r="AH43" s="2161" t="n"/>
      <c r="AI43" s="2161" t="n"/>
      <c r="AJ43" s="2161" t="n"/>
      <c r="AK43" s="2163" t="n"/>
      <c r="AL43" s="2161" t="n"/>
      <c r="AM43" s="2161" t="n"/>
      <c r="AN43" s="2161" t="n"/>
      <c r="AO43" s="2161" t="n"/>
      <c r="AP43" s="2161" t="n"/>
      <c r="AQ43" s="2161" t="n"/>
      <c r="AR43" s="2161" t="n"/>
      <c r="AS43" s="2161" t="n"/>
      <c r="AT43" s="2161" t="n"/>
      <c r="AU43" s="2161" t="n"/>
      <c r="AV43" s="2097" t="n"/>
    </row>
    <row r="44" ht="14.4" customFormat="1" customHeight="1" s="2113">
      <c r="A44" s="2100">
        <f>INDEX(MO_RIS_EBITDA_Adj,0,COLUMN())</f>
        <v/>
      </c>
      <c r="B44" s="2124" t="n"/>
      <c r="C44" s="2125" t="n"/>
      <c r="D44" s="2125" t="n"/>
      <c r="E44" s="2125" t="n"/>
      <c r="F44" s="2125" t="n"/>
      <c r="G44" s="2125" t="n"/>
      <c r="H44" s="2125" t="n"/>
      <c r="I44" s="2125" t="n"/>
      <c r="J44" s="2125" t="n"/>
      <c r="K44" s="2125" t="n"/>
      <c r="L44" s="2125" t="n"/>
      <c r="M44" s="2125" t="n"/>
      <c r="N44" s="2125" t="n"/>
      <c r="O44" s="2119" t="n"/>
      <c r="P44" s="2119" t="n"/>
      <c r="Q44" s="2119" t="n"/>
      <c r="R44" s="2119" t="n"/>
      <c r="S44" s="2125" t="n"/>
      <c r="T44" s="2119" t="n"/>
      <c r="U44" s="2119" t="n"/>
      <c r="V44" s="2119" t="n"/>
      <c r="W44" s="2119" t="n"/>
      <c r="X44" s="2125">
        <f>INDEX(MO_RIS_EBITDA_Adj,0,COLUMN())</f>
        <v/>
      </c>
      <c r="Y44" s="2119" t="n"/>
      <c r="Z44" s="2119" t="n"/>
      <c r="AA44" s="2119">
        <f>INDEX(MO_RIS_EBITDA_Adj,0,COLUMN())</f>
        <v/>
      </c>
      <c r="AB44" s="2119">
        <f>INDEX(MO_RIS_EBITDA_Adj,0,COLUMN())</f>
        <v/>
      </c>
      <c r="AC44" s="2125">
        <f>INDEX(MO_RIS_EBITDA_Adj,0,COLUMN())</f>
        <v/>
      </c>
      <c r="AD44" s="2119">
        <f>INDEX(MO_RIS_EBITDA_Adj,0,COLUMN())</f>
        <v/>
      </c>
      <c r="AE44" s="2119">
        <f>INDEX(MO_RIS_EBITDA_Adj,0,COLUMN())</f>
        <v/>
      </c>
      <c r="AF44" s="2119">
        <f>INDEX(MO_RIS_EBITDA_Adj,0,COLUMN())</f>
        <v/>
      </c>
      <c r="AG44" s="2119">
        <f>INDEX(MO_RIS_EBITDA_Adj,0,COLUMN())</f>
        <v/>
      </c>
      <c r="AH44" s="2125">
        <f>INDEX(MO_RIS_EBITDA_Adj,0,COLUMN())</f>
        <v/>
      </c>
      <c r="AI44" s="2119">
        <f>INDEX(MO_RIS_EBITDA_Adj,0,COLUMN())</f>
        <v/>
      </c>
      <c r="AJ44" s="2119">
        <f>INDEX(MO_RIS_EBITDA_Adj,0,COLUMN())</f>
        <v/>
      </c>
      <c r="AK44" s="2126">
        <f>INDEX(MO_RIS_EBITDA_Adj,0,COLUMN())</f>
        <v/>
      </c>
      <c r="AL44" s="2119">
        <f>INDEX(MO_RIS_EBITDA_Adj,0,COLUMN())</f>
        <v/>
      </c>
      <c r="AM44" s="2125">
        <f>INDEX(MO_RIS_EBITDA_Adj,0,COLUMN())</f>
        <v/>
      </c>
      <c r="AN44" s="2119">
        <f>INDEX(MO_RIS_EBITDA_Adj,0,COLUMN())</f>
        <v/>
      </c>
      <c r="AO44" s="2119">
        <f>INDEX(MO_RIS_EBITDA_Adj,0,COLUMN())</f>
        <v/>
      </c>
      <c r="AP44" s="2119">
        <f>INDEX(MO_RIS_EBITDA_Adj,0,COLUMN())</f>
        <v/>
      </c>
      <c r="AQ44" s="2119">
        <f>INDEX(MO_RIS_EBITDA_Adj,0,COLUMN())</f>
        <v/>
      </c>
      <c r="AR44" s="2125">
        <f>INDEX(MO_RIS_EBITDA_Adj,0,COLUMN())</f>
        <v/>
      </c>
      <c r="AS44" s="2125">
        <f>INDEX(MO_RIS_EBITDA_Adj,0,COLUMN())</f>
        <v/>
      </c>
      <c r="AT44" s="2125">
        <f>INDEX(MO_RIS_EBITDA_Adj,0,COLUMN())</f>
        <v/>
      </c>
      <c r="AU44" s="2125">
        <f>INDEX(MO_RIS_EBITDA_Adj,0,COLUMN())</f>
        <v/>
      </c>
      <c r="AV44" s="2119" t="n"/>
    </row>
    <row r="45" ht="14.4" customFormat="1" customHeight="1" s="2113">
      <c r="A45" s="2100">
        <f>INDEX(MO_RIS_Reported_OperatingIncome_NONGAAP,0,COLUMN())</f>
        <v/>
      </c>
      <c r="B45" s="2124" t="n"/>
      <c r="C45" s="2125" t="n"/>
      <c r="D45" s="2125" t="n"/>
      <c r="E45" s="2125" t="n"/>
      <c r="F45" s="2125" t="n"/>
      <c r="G45" s="2125" t="n"/>
      <c r="H45" s="2125" t="n"/>
      <c r="I45" s="2125" t="n"/>
      <c r="J45" s="2125" t="n"/>
      <c r="K45" s="2125" t="n"/>
      <c r="L45" s="2125" t="n"/>
      <c r="M45" s="2125" t="n"/>
      <c r="N45" s="2125" t="n"/>
      <c r="O45" s="2119" t="n"/>
      <c r="P45" s="2119" t="n"/>
      <c r="Q45" s="2119" t="n"/>
      <c r="R45" s="2119" t="n"/>
      <c r="S45" s="2125" t="n"/>
      <c r="T45" s="2119" t="n"/>
      <c r="U45" s="2119" t="n"/>
      <c r="V45" s="2119" t="n"/>
      <c r="W45" s="2119" t="n"/>
      <c r="X45" s="2125">
        <f>INDEX(MO_RIS_Reported_OperatingIncome_NONGAAP,0,COLUMN())</f>
        <v/>
      </c>
      <c r="Y45" s="2119" t="n"/>
      <c r="Z45" s="2119" t="n"/>
      <c r="AA45" s="2119">
        <f>INDEX(MO_RIS_Reported_OperatingIncome_NONGAAP,0,COLUMN())</f>
        <v/>
      </c>
      <c r="AB45" s="2119">
        <f>INDEX(MO_RIS_Reported_OperatingIncome_NONGAAP,0,COLUMN())</f>
        <v/>
      </c>
      <c r="AC45" s="2125">
        <f>INDEX(MO_RIS_Reported_OperatingIncome_NONGAAP,0,COLUMN())</f>
        <v/>
      </c>
      <c r="AD45" s="2119">
        <f>INDEX(MO_RIS_Reported_OperatingIncome_NONGAAP,0,COLUMN())</f>
        <v/>
      </c>
      <c r="AE45" s="2119">
        <f>INDEX(MO_RIS_Reported_OperatingIncome_NONGAAP,0,COLUMN())</f>
        <v/>
      </c>
      <c r="AF45" s="2119">
        <f>INDEX(MO_RIS_Reported_OperatingIncome_NONGAAP,0,COLUMN())</f>
        <v/>
      </c>
      <c r="AG45" s="2119">
        <f>INDEX(MO_RIS_Reported_OperatingIncome_NONGAAP,0,COLUMN())</f>
        <v/>
      </c>
      <c r="AH45" s="2125">
        <f>INDEX(MO_RIS_Reported_OperatingIncome_NONGAAP,0,COLUMN())</f>
        <v/>
      </c>
      <c r="AI45" s="2119">
        <f>INDEX(MO_RIS_Reported_OperatingIncome_NONGAAP,0,COLUMN())</f>
        <v/>
      </c>
      <c r="AJ45" s="2119">
        <f>INDEX(MO_RIS_Reported_OperatingIncome_NONGAAP,0,COLUMN())</f>
        <v/>
      </c>
      <c r="AK45" s="2126">
        <f>INDEX(MO_RIS_Reported_OperatingIncome_NONGAAP,0,COLUMN())</f>
        <v/>
      </c>
      <c r="AL45" s="2119">
        <f>INDEX(MO_RIS_Reported_OperatingIncome_NONGAAP,0,COLUMN())</f>
        <v/>
      </c>
      <c r="AM45" s="2125">
        <f>INDEX(MO_RIS_Reported_OperatingIncome_NONGAAP,0,COLUMN())</f>
        <v/>
      </c>
      <c r="AN45" s="2119">
        <f>INDEX(MO_RIS_Reported_OperatingIncome_NONGAAP,0,COLUMN())</f>
        <v/>
      </c>
      <c r="AO45" s="2119">
        <f>INDEX(MO_RIS_Reported_OperatingIncome_NONGAAP,0,COLUMN())</f>
        <v/>
      </c>
      <c r="AP45" s="2119">
        <f>INDEX(MO_RIS_Reported_OperatingIncome_NONGAAP,0,COLUMN())</f>
        <v/>
      </c>
      <c r="AQ45" s="2119">
        <f>INDEX(MO_RIS_Reported_OperatingIncome_NONGAAP,0,COLUMN())</f>
        <v/>
      </c>
      <c r="AR45" s="2125">
        <f>INDEX(MO_RIS_Reported_OperatingIncome_NONGAAP,0,COLUMN())</f>
        <v/>
      </c>
      <c r="AS45" s="2125">
        <f>INDEX(MO_RIS_Reported_OperatingIncome_NONGAAP,0,COLUMN())</f>
        <v/>
      </c>
      <c r="AT45" s="2125">
        <f>INDEX(MO_RIS_Reported_OperatingIncome_NONGAAP,0,COLUMN())</f>
        <v/>
      </c>
      <c r="AU45" s="2125">
        <f>INDEX(MO_RIS_Reported_OperatingIncome_NONGAAP,0,COLUMN())</f>
        <v/>
      </c>
      <c r="AV45" s="2119" t="n"/>
    </row>
    <row r="46" ht="14.4" customFormat="1" customHeight="1" s="2113">
      <c r="A46" s="2100">
        <f>INDEX(MO_RIS_NI_NONGAAP_Diluted,0,COLUMN())</f>
        <v/>
      </c>
      <c r="B46" s="2124" t="n"/>
      <c r="C46" s="2125" t="n"/>
      <c r="D46" s="2125" t="n"/>
      <c r="E46" s="2125" t="n"/>
      <c r="F46" s="2125" t="n"/>
      <c r="G46" s="2125" t="n"/>
      <c r="H46" s="2125" t="n"/>
      <c r="I46" s="2125" t="n"/>
      <c r="J46" s="2125" t="n"/>
      <c r="K46" s="2125" t="n"/>
      <c r="L46" s="2125" t="n"/>
      <c r="M46" s="2125" t="n"/>
      <c r="N46" s="2125" t="n"/>
      <c r="O46" s="2119" t="n"/>
      <c r="P46" s="2119" t="n"/>
      <c r="Q46" s="2119" t="n"/>
      <c r="R46" s="2119" t="n"/>
      <c r="S46" s="2125" t="n"/>
      <c r="T46" s="2119" t="n"/>
      <c r="U46" s="2119" t="n"/>
      <c r="V46" s="2119" t="n"/>
      <c r="W46" s="2119" t="n"/>
      <c r="X46" s="2125">
        <f>INDEX(MO_RIS_NI_NONGAAP_Diluted,0,COLUMN())</f>
        <v/>
      </c>
      <c r="Y46" s="2119" t="n"/>
      <c r="Z46" s="2119" t="n"/>
      <c r="AA46" s="2119">
        <f>INDEX(MO_RIS_NI_NONGAAP_Diluted,0,COLUMN())</f>
        <v/>
      </c>
      <c r="AB46" s="2119">
        <f>INDEX(MO_RIS_NI_NONGAAP_Diluted,0,COLUMN())</f>
        <v/>
      </c>
      <c r="AC46" s="2125">
        <f>INDEX(MO_RIS_NI_NONGAAP_Diluted,0,COLUMN())</f>
        <v/>
      </c>
      <c r="AD46" s="2119">
        <f>INDEX(MO_RIS_NI_NONGAAP_Diluted,0,COLUMN())</f>
        <v/>
      </c>
      <c r="AE46" s="2119">
        <f>INDEX(MO_RIS_NI_NONGAAP_Diluted,0,COLUMN())</f>
        <v/>
      </c>
      <c r="AF46" s="2119">
        <f>INDEX(MO_RIS_NI_NONGAAP_Diluted,0,COLUMN())</f>
        <v/>
      </c>
      <c r="AG46" s="2119">
        <f>INDEX(MO_RIS_NI_NONGAAP_Diluted,0,COLUMN())</f>
        <v/>
      </c>
      <c r="AH46" s="2125">
        <f>INDEX(MO_RIS_NI_NONGAAP_Diluted,0,COLUMN())</f>
        <v/>
      </c>
      <c r="AI46" s="2119">
        <f>INDEX(MO_RIS_NI_NONGAAP_Diluted,0,COLUMN())</f>
        <v/>
      </c>
      <c r="AJ46" s="2119">
        <f>INDEX(MO_RIS_NI_NONGAAP_Diluted,0,COLUMN())</f>
        <v/>
      </c>
      <c r="AK46" s="2126">
        <f>INDEX(MO_RIS_NI_NONGAAP_Diluted,0,COLUMN())</f>
        <v/>
      </c>
      <c r="AL46" s="2119">
        <f>INDEX(MO_RIS_NI_NONGAAP_Diluted,0,COLUMN())</f>
        <v/>
      </c>
      <c r="AM46" s="2125">
        <f>INDEX(MO_RIS_NI_NONGAAP_Diluted,0,COLUMN())</f>
        <v/>
      </c>
      <c r="AN46" s="2119">
        <f>INDEX(MO_RIS_NI_NONGAAP_Diluted,0,COLUMN())</f>
        <v/>
      </c>
      <c r="AO46" s="2119">
        <f>INDEX(MO_RIS_NI_NONGAAP_Diluted,0,COLUMN())</f>
        <v/>
      </c>
      <c r="AP46" s="2119">
        <f>INDEX(MO_RIS_NI_NONGAAP_Diluted,0,COLUMN())</f>
        <v/>
      </c>
      <c r="AQ46" s="2119">
        <f>INDEX(MO_RIS_NI_NONGAAP_Diluted,0,COLUMN())</f>
        <v/>
      </c>
      <c r="AR46" s="2125">
        <f>INDEX(MO_RIS_NI_NONGAAP_Diluted,0,COLUMN())</f>
        <v/>
      </c>
      <c r="AS46" s="2125">
        <f>INDEX(MO_RIS_NI_NONGAAP_Diluted,0,COLUMN())</f>
        <v/>
      </c>
      <c r="AT46" s="2125">
        <f>INDEX(MO_RIS_NI_NONGAAP_Diluted,0,COLUMN())</f>
        <v/>
      </c>
      <c r="AU46" s="2125">
        <f>INDEX(MO_RIS_NI_NONGAAP_Diluted,0,COLUMN())</f>
        <v/>
      </c>
      <c r="AV46" s="2119" t="n"/>
    </row>
    <row r="47" ht="14.4" customFormat="1" customHeight="1" s="2098">
      <c r="A47" s="2164">
        <f>INDEX(MO_RIS_EPS_WAD_Adj,0,COLUMN())</f>
        <v/>
      </c>
      <c r="B47" s="2165" t="n"/>
      <c r="C47" s="2158" t="n"/>
      <c r="D47" s="2158" t="n"/>
      <c r="E47" s="2158" t="n"/>
      <c r="F47" s="2158" t="n"/>
      <c r="G47" s="2158" t="n"/>
      <c r="H47" s="2158" t="n"/>
      <c r="I47" s="2158" t="n"/>
      <c r="J47" s="2158" t="n"/>
      <c r="K47" s="2158" t="n"/>
      <c r="L47" s="2158" t="n"/>
      <c r="M47" s="2158" t="n"/>
      <c r="N47" s="2158" t="n"/>
      <c r="O47" s="2112" t="n"/>
      <c r="P47" s="2112" t="n"/>
      <c r="Q47" s="2112" t="n"/>
      <c r="R47" s="2112" t="n"/>
      <c r="S47" s="2158" t="n"/>
      <c r="T47" s="2112" t="n"/>
      <c r="U47" s="2112" t="n"/>
      <c r="V47" s="2112" t="n"/>
      <c r="W47" s="2112" t="n"/>
      <c r="X47" s="2158">
        <f>INDEX(MO_RIS_EPS_WAD_Adj,0,COLUMN())</f>
        <v/>
      </c>
      <c r="Y47" s="2112" t="n"/>
      <c r="Z47" s="2112" t="n"/>
      <c r="AA47" s="2112">
        <f>INDEX(MO_RIS_EPS_WAD_Adj,0,COLUMN())</f>
        <v/>
      </c>
      <c r="AB47" s="2112">
        <f>INDEX(MO_RIS_EPS_WAD_Adj,0,COLUMN())</f>
        <v/>
      </c>
      <c r="AC47" s="2158">
        <f>INDEX(MO_RIS_EPS_WAD_Adj,0,COLUMN())</f>
        <v/>
      </c>
      <c r="AD47" s="2112">
        <f>INDEX(MO_RIS_EPS_WAD_Adj,0,COLUMN())</f>
        <v/>
      </c>
      <c r="AE47" s="2112">
        <f>INDEX(MO_RIS_EPS_WAD_Adj,0,COLUMN())</f>
        <v/>
      </c>
      <c r="AF47" s="2112">
        <f>INDEX(MO_RIS_EPS_WAD_Adj,0,COLUMN())</f>
        <v/>
      </c>
      <c r="AG47" s="2112">
        <f>INDEX(MO_RIS_EPS_WAD_Adj,0,COLUMN())</f>
        <v/>
      </c>
      <c r="AH47" s="2158">
        <f>INDEX(MO_RIS_EPS_WAD_Adj,0,COLUMN())</f>
        <v/>
      </c>
      <c r="AI47" s="2112">
        <f>INDEX(MO_RIS_EPS_WAD_Adj,0,COLUMN())</f>
        <v/>
      </c>
      <c r="AJ47" s="2112">
        <f>INDEX(MO_RIS_EPS_WAD_Adj,0,COLUMN())</f>
        <v/>
      </c>
      <c r="AK47" s="2159">
        <f>INDEX(MO_RIS_EPS_WAD_Adj,0,COLUMN())</f>
        <v/>
      </c>
      <c r="AL47" s="2112">
        <f>INDEX(MO_RIS_EPS_WAD_Adj,0,COLUMN())</f>
        <v/>
      </c>
      <c r="AM47" s="2158">
        <f>INDEX(MO_RIS_EPS_WAD_Adj,0,COLUMN())</f>
        <v/>
      </c>
      <c r="AN47" s="2112">
        <f>INDEX(MO_RIS_EPS_WAD_Adj,0,COLUMN())</f>
        <v/>
      </c>
      <c r="AO47" s="2112">
        <f>INDEX(MO_RIS_EPS_WAD_Adj,0,COLUMN())</f>
        <v/>
      </c>
      <c r="AP47" s="2112">
        <f>INDEX(MO_RIS_EPS_WAD_Adj,0,COLUMN())</f>
        <v/>
      </c>
      <c r="AQ47" s="2112">
        <f>INDEX(MO_RIS_EPS_WAD_Adj,0,COLUMN())</f>
        <v/>
      </c>
      <c r="AR47" s="2158">
        <f>INDEX(MO_RIS_EPS_WAD_Adj,0,COLUMN())</f>
        <v/>
      </c>
      <c r="AS47" s="2158">
        <f>INDEX(MO_RIS_EPS_WAD_Adj,0,COLUMN())</f>
        <v/>
      </c>
      <c r="AT47" s="2158">
        <f>INDEX(MO_RIS_EPS_WAD_Adj,0,COLUMN())</f>
        <v/>
      </c>
      <c r="AU47" s="2158">
        <f>INDEX(MO_RIS_EPS_WAD_Adj,0,COLUMN())</f>
        <v/>
      </c>
      <c r="AV47" s="2112" t="n"/>
    </row>
    <row r="48" ht="14.4" customHeight="1" s="877">
      <c r="A48" s="2097" t="n"/>
      <c r="B48" s="2150" t="n"/>
      <c r="C48" s="2166" t="n"/>
      <c r="D48" s="2166" t="n"/>
      <c r="E48" s="2166" t="n"/>
      <c r="F48" s="2166" t="n"/>
      <c r="G48" s="2166" t="n"/>
      <c r="H48" s="2166" t="n"/>
      <c r="I48" s="2166" t="n"/>
      <c r="J48" s="2166" t="n"/>
      <c r="K48" s="2166" t="n"/>
      <c r="L48" s="2166" t="n"/>
      <c r="M48" s="2166" t="n"/>
      <c r="N48" s="2166" t="n"/>
      <c r="O48" s="2167" t="n"/>
      <c r="P48" s="2167" t="n"/>
      <c r="Q48" s="2167" t="n"/>
      <c r="R48" s="2168" t="n"/>
      <c r="S48" s="2169" t="n"/>
      <c r="T48" s="2167" t="n"/>
      <c r="U48" s="2167" t="n"/>
      <c r="V48" s="2167" t="n"/>
      <c r="W48" s="2168" t="n"/>
      <c r="X48" s="2169" t="n"/>
      <c r="Y48" s="2167" t="n"/>
      <c r="Z48" s="2167" t="n"/>
      <c r="AA48" s="2167" t="n"/>
      <c r="AB48" s="2168" t="n"/>
      <c r="AC48" s="2169" t="n"/>
      <c r="AD48" s="2167" t="n"/>
      <c r="AE48" s="2167" t="n"/>
      <c r="AF48" s="2167" t="n"/>
      <c r="AG48" s="2168" t="n"/>
      <c r="AH48" s="2169" t="n"/>
      <c r="AI48" s="2167" t="n"/>
      <c r="AJ48" s="2167" t="n"/>
      <c r="AK48" s="2170" t="n"/>
      <c r="AL48" s="2168" t="n"/>
      <c r="AM48" s="2169" t="n"/>
      <c r="AN48" s="2167" t="n"/>
      <c r="AO48" s="2167" t="n"/>
      <c r="AP48" s="2167" t="n"/>
      <c r="AQ48" s="2168" t="n"/>
      <c r="AR48" s="2169" t="n"/>
      <c r="AS48" s="2169" t="n"/>
      <c r="AT48" s="2169" t="n"/>
      <c r="AU48" s="2169" t="n"/>
      <c r="AV48" s="2097" t="n"/>
    </row>
    <row r="49" ht="14.4" customHeight="1" s="877">
      <c r="A49" s="2171" t="inlineStr">
        <is>
          <t>Margin Analysis</t>
        </is>
      </c>
      <c r="B49" s="2127" t="n"/>
      <c r="C49" s="2127" t="n"/>
      <c r="D49" s="2127" t="n"/>
      <c r="E49" s="2127" t="n"/>
      <c r="F49" s="2127" t="n"/>
      <c r="G49" s="2127" t="n"/>
      <c r="H49" s="2127" t="n"/>
      <c r="I49" s="2127" t="n"/>
      <c r="J49" s="2127" t="n"/>
      <c r="K49" s="2127" t="n"/>
      <c r="L49" s="2127" t="n"/>
      <c r="M49" s="2127" t="n"/>
      <c r="N49" s="2127" t="n"/>
      <c r="O49" s="2127" t="n"/>
      <c r="P49" s="2127" t="n"/>
      <c r="Q49" s="2127" t="n"/>
      <c r="R49" s="2127" t="n"/>
      <c r="S49" s="2127" t="n"/>
      <c r="T49" s="2127" t="n"/>
      <c r="U49" s="2127" t="n"/>
      <c r="V49" s="2127" t="n"/>
      <c r="W49" s="2127" t="n"/>
      <c r="X49" s="2127" t="n"/>
      <c r="Y49" s="2127" t="n"/>
      <c r="Z49" s="2127" t="n"/>
      <c r="AA49" s="2154" t="inlineStr">
        <is>
          <t>9 months</t>
        </is>
      </c>
      <c r="AB49" s="2127" t="n"/>
      <c r="AC49" s="2127" t="n"/>
      <c r="AD49" s="2127" t="n"/>
      <c r="AE49" s="2127" t="n"/>
      <c r="AF49" s="2127" t="n"/>
      <c r="AG49" s="2127" t="n"/>
      <c r="AH49" s="2127" t="n"/>
      <c r="AI49" s="2127" t="n"/>
      <c r="AJ49" s="2127" t="n"/>
      <c r="AK49" s="2128" t="n"/>
      <c r="AL49" s="2127" t="n"/>
      <c r="AM49" s="2127" t="n"/>
      <c r="AN49" s="2127" t="n"/>
      <c r="AO49" s="2127" t="n"/>
      <c r="AP49" s="2127" t="n"/>
      <c r="AQ49" s="2127" t="n"/>
      <c r="AR49" s="2127" t="n"/>
      <c r="AS49" s="2127" t="n"/>
      <c r="AT49" s="2127" t="n"/>
      <c r="AU49" s="2127" t="n"/>
      <c r="AV49" s="2087" t="n"/>
    </row>
    <row r="50" ht="14.4" customFormat="1" customHeight="1" s="2148">
      <c r="A50" s="2149">
        <f>INDEX(MO_MA_COGS_NONGAAP,0,COLUMN())</f>
        <v/>
      </c>
      <c r="B50" s="2150" t="n"/>
      <c r="C50" s="2151" t="n"/>
      <c r="D50" s="2151" t="n"/>
      <c r="E50" s="2151" t="n"/>
      <c r="F50" s="2151" t="n"/>
      <c r="G50" s="2151" t="n"/>
      <c r="H50" s="2151" t="n"/>
      <c r="I50" s="2151" t="n"/>
      <c r="J50" s="2151" t="n"/>
      <c r="K50" s="2151" t="n"/>
      <c r="L50" s="2151" t="n"/>
      <c r="M50" s="2151" t="n"/>
      <c r="N50" s="2151" t="n"/>
      <c r="O50" s="2152" t="n"/>
      <c r="P50" s="2152" t="n"/>
      <c r="Q50" s="2152" t="n"/>
      <c r="R50" s="2152" t="n"/>
      <c r="S50" s="2151" t="n"/>
      <c r="T50" s="2152" t="n"/>
      <c r="U50" s="2152" t="n"/>
      <c r="V50" s="2152" t="n"/>
      <c r="W50" s="2152" t="n"/>
      <c r="X50" s="2151">
        <f>INDEX(MO_MA_COGS_NONGAAP,0,COLUMN())</f>
        <v/>
      </c>
      <c r="Y50" s="2152" t="n"/>
      <c r="Z50" s="2152" t="n"/>
      <c r="AA50" s="2152">
        <f>INDEX(MO_MA_COGS_NONGAAP,0,COLUMN())</f>
        <v/>
      </c>
      <c r="AB50" s="2152">
        <f>INDEX(MO_MA_COGS_NONGAAP,0,COLUMN())</f>
        <v/>
      </c>
      <c r="AC50" s="2151">
        <f>INDEX(MO_MA_COGS_NONGAAP,0,COLUMN())</f>
        <v/>
      </c>
      <c r="AD50" s="2152">
        <f>INDEX(MO_MA_COGS_NONGAAP,0,COLUMN())</f>
        <v/>
      </c>
      <c r="AE50" s="2152">
        <f>INDEX(MO_MA_COGS_NONGAAP,0,COLUMN())</f>
        <v/>
      </c>
      <c r="AF50" s="2152">
        <f>INDEX(MO_MA_COGS_NONGAAP,0,COLUMN())</f>
        <v/>
      </c>
      <c r="AG50" s="2152">
        <f>INDEX(MO_MA_COGS_NONGAAP,0,COLUMN())</f>
        <v/>
      </c>
      <c r="AH50" s="2151">
        <f>INDEX(MO_MA_COGS_NONGAAP,0,COLUMN())</f>
        <v/>
      </c>
      <c r="AI50" s="2152">
        <f>INDEX(MO_MA_COGS_NONGAAP,0,COLUMN())</f>
        <v/>
      </c>
      <c r="AJ50" s="2152">
        <f>INDEX(MO_MA_COGS_NONGAAP,0,COLUMN())</f>
        <v/>
      </c>
      <c r="AK50" s="2153">
        <f>INDEX(MO_MA_COGS_NONGAAP,0,COLUMN())</f>
        <v/>
      </c>
      <c r="AL50" s="2152">
        <f>INDEX(MO_MA_COGS_NONGAAP,0,COLUMN())</f>
        <v/>
      </c>
      <c r="AM50" s="2169">
        <f>INDEX(MO_MA_COGS_NONGAAP,0,COLUMN())</f>
        <v/>
      </c>
      <c r="AN50" s="2152">
        <f>INDEX(MO_MA_COGS_NONGAAP,0,COLUMN())</f>
        <v/>
      </c>
      <c r="AO50" s="2152">
        <f>INDEX(MO_MA_COGS_NONGAAP,0,COLUMN())</f>
        <v/>
      </c>
      <c r="AP50" s="2152">
        <f>INDEX(MO_MA_COGS_NONGAAP,0,COLUMN())</f>
        <v/>
      </c>
      <c r="AQ50" s="2152">
        <f>INDEX(MO_MA_COGS_NONGAAP,0,COLUMN())</f>
        <v/>
      </c>
      <c r="AR50" s="2169">
        <f>INDEX(MO_MA_COGS_NONGAAP,0,COLUMN())</f>
        <v/>
      </c>
      <c r="AS50" s="2169">
        <f>INDEX(MO_MA_COGS_NONGAAP,0,COLUMN())</f>
        <v/>
      </c>
      <c r="AT50" s="2169">
        <f>INDEX(MO_MA_COGS_NONGAAP,0,COLUMN())</f>
        <v/>
      </c>
      <c r="AU50" s="2169">
        <f>INDEX(MO_MA_COGS_NONGAAP,0,COLUMN())</f>
        <v/>
      </c>
      <c r="AV50" s="2097" t="n"/>
    </row>
    <row r="51" ht="14.4" customFormat="1" customHeight="1" s="2148">
      <c r="A51" s="2149">
        <f>INDEX(MO_MA_SM_NONGAAP,0,COLUMN())</f>
        <v/>
      </c>
      <c r="B51" s="2150" t="n"/>
      <c r="C51" s="2151" t="n"/>
      <c r="D51" s="2151" t="n"/>
      <c r="E51" s="2151" t="n"/>
      <c r="F51" s="2151" t="n"/>
      <c r="G51" s="2151" t="n"/>
      <c r="H51" s="2151" t="n"/>
      <c r="I51" s="2151" t="n"/>
      <c r="J51" s="2151" t="n"/>
      <c r="K51" s="2151" t="n"/>
      <c r="L51" s="2151" t="n"/>
      <c r="M51" s="2151" t="n"/>
      <c r="N51" s="2151" t="n"/>
      <c r="O51" s="2152" t="n"/>
      <c r="P51" s="2152" t="n"/>
      <c r="Q51" s="2152" t="n"/>
      <c r="R51" s="2152" t="n"/>
      <c r="S51" s="2151" t="n"/>
      <c r="T51" s="2152" t="n"/>
      <c r="U51" s="2152" t="n"/>
      <c r="V51" s="2152" t="n"/>
      <c r="W51" s="2152" t="n"/>
      <c r="X51" s="2151">
        <f>INDEX(MO_MA_SM_NONGAAP,0,COLUMN())</f>
        <v/>
      </c>
      <c r="Y51" s="2152" t="n"/>
      <c r="Z51" s="2152" t="n"/>
      <c r="AA51" s="2152">
        <f>INDEX(MO_MA_SM_NONGAAP,0,COLUMN())</f>
        <v/>
      </c>
      <c r="AB51" s="2152">
        <f>INDEX(MO_MA_SM_NONGAAP,0,COLUMN())</f>
        <v/>
      </c>
      <c r="AC51" s="2151">
        <f>INDEX(MO_MA_SM_NONGAAP,0,COLUMN())</f>
        <v/>
      </c>
      <c r="AD51" s="2152">
        <f>INDEX(MO_MA_SM_NONGAAP,0,COLUMN())</f>
        <v/>
      </c>
      <c r="AE51" s="2152">
        <f>INDEX(MO_MA_SM_NONGAAP,0,COLUMN())</f>
        <v/>
      </c>
      <c r="AF51" s="2152">
        <f>INDEX(MO_MA_SM_NONGAAP,0,COLUMN())</f>
        <v/>
      </c>
      <c r="AG51" s="2152">
        <f>INDEX(MO_MA_SM_NONGAAP,0,COLUMN())</f>
        <v/>
      </c>
      <c r="AH51" s="2151">
        <f>INDEX(MO_MA_SM_NONGAAP,0,COLUMN())</f>
        <v/>
      </c>
      <c r="AI51" s="2152">
        <f>INDEX(MO_MA_SM_NONGAAP,0,COLUMN())</f>
        <v/>
      </c>
      <c r="AJ51" s="2152">
        <f>INDEX(MO_MA_SM_NONGAAP,0,COLUMN())</f>
        <v/>
      </c>
      <c r="AK51" s="2153">
        <f>INDEX(MO_MA_SM_NONGAAP,0,COLUMN())</f>
        <v/>
      </c>
      <c r="AL51" s="2152">
        <f>INDEX(MO_MA_SM_NONGAAP,0,COLUMN())</f>
        <v/>
      </c>
      <c r="AM51" s="2169">
        <f>INDEX(MO_MA_SM_NONGAAP,0,COLUMN())</f>
        <v/>
      </c>
      <c r="AN51" s="2152">
        <f>INDEX(MO_MA_SM_NONGAAP,0,COLUMN())</f>
        <v/>
      </c>
      <c r="AO51" s="2152">
        <f>INDEX(MO_MA_SM_NONGAAP,0,COLUMN())</f>
        <v/>
      </c>
      <c r="AP51" s="2152">
        <f>INDEX(MO_MA_SM_NONGAAP,0,COLUMN())</f>
        <v/>
      </c>
      <c r="AQ51" s="2152">
        <f>INDEX(MO_MA_SM_NONGAAP,0,COLUMN())</f>
        <v/>
      </c>
      <c r="AR51" s="2169">
        <f>INDEX(MO_MA_SM_NONGAAP,0,COLUMN())</f>
        <v/>
      </c>
      <c r="AS51" s="2169">
        <f>INDEX(MO_MA_SM_NONGAAP,0,COLUMN())</f>
        <v/>
      </c>
      <c r="AT51" s="2169">
        <f>INDEX(MO_MA_SM_NONGAAP,0,COLUMN())</f>
        <v/>
      </c>
      <c r="AU51" s="2169">
        <f>INDEX(MO_MA_SM_NONGAAP,0,COLUMN())</f>
        <v/>
      </c>
      <c r="AV51" s="2097" t="n"/>
    </row>
    <row r="52" ht="14.4" customFormat="1" customHeight="1" s="2148">
      <c r="A52" s="2149">
        <f>INDEX(MO_MA_GA_NONGAAP,0,COLUMN())</f>
        <v/>
      </c>
      <c r="B52" s="2150" t="n"/>
      <c r="C52" s="2151" t="n"/>
      <c r="D52" s="2151" t="n"/>
      <c r="E52" s="2151" t="n"/>
      <c r="F52" s="2151" t="n"/>
      <c r="G52" s="2151" t="n"/>
      <c r="H52" s="2151" t="n"/>
      <c r="I52" s="2151" t="n"/>
      <c r="J52" s="2151" t="n"/>
      <c r="K52" s="2151" t="n"/>
      <c r="L52" s="2151" t="n"/>
      <c r="M52" s="2151" t="n"/>
      <c r="N52" s="2151" t="n"/>
      <c r="O52" s="2152" t="n"/>
      <c r="P52" s="2152" t="n"/>
      <c r="Q52" s="2152" t="n"/>
      <c r="R52" s="2152" t="n"/>
      <c r="S52" s="2151" t="n"/>
      <c r="T52" s="2152" t="n"/>
      <c r="U52" s="2152" t="n"/>
      <c r="V52" s="2152" t="n"/>
      <c r="W52" s="2152" t="n"/>
      <c r="X52" s="2151">
        <f>INDEX(MO_MA_GA_NONGAAP,0,COLUMN())</f>
        <v/>
      </c>
      <c r="Y52" s="2152" t="n"/>
      <c r="Z52" s="2152" t="n"/>
      <c r="AA52" s="2152">
        <f>INDEX(MO_MA_GA_NONGAAP,0,COLUMN())</f>
        <v/>
      </c>
      <c r="AB52" s="2152">
        <f>INDEX(MO_MA_GA_NONGAAP,0,COLUMN())</f>
        <v/>
      </c>
      <c r="AC52" s="2151">
        <f>INDEX(MO_MA_GA_NONGAAP,0,COLUMN())</f>
        <v/>
      </c>
      <c r="AD52" s="2152">
        <f>INDEX(MO_MA_GA_NONGAAP,0,COLUMN())</f>
        <v/>
      </c>
      <c r="AE52" s="2152">
        <f>INDEX(MO_MA_GA_NONGAAP,0,COLUMN())</f>
        <v/>
      </c>
      <c r="AF52" s="2152">
        <f>INDEX(MO_MA_GA_NONGAAP,0,COLUMN())</f>
        <v/>
      </c>
      <c r="AG52" s="2152">
        <f>INDEX(MO_MA_GA_NONGAAP,0,COLUMN())</f>
        <v/>
      </c>
      <c r="AH52" s="2151">
        <f>INDEX(MO_MA_GA_NONGAAP,0,COLUMN())</f>
        <v/>
      </c>
      <c r="AI52" s="2152">
        <f>INDEX(MO_MA_GA_NONGAAP,0,COLUMN())</f>
        <v/>
      </c>
      <c r="AJ52" s="2152">
        <f>INDEX(MO_MA_GA_NONGAAP,0,COLUMN())</f>
        <v/>
      </c>
      <c r="AK52" s="2153">
        <f>INDEX(MO_MA_GA_NONGAAP,0,COLUMN())</f>
        <v/>
      </c>
      <c r="AL52" s="2152">
        <f>INDEX(MO_MA_GA_NONGAAP,0,COLUMN())</f>
        <v/>
      </c>
      <c r="AM52" s="2169">
        <f>INDEX(MO_MA_GA_NONGAAP,0,COLUMN())</f>
        <v/>
      </c>
      <c r="AN52" s="2152">
        <f>INDEX(MO_MA_GA_NONGAAP,0,COLUMN())</f>
        <v/>
      </c>
      <c r="AO52" s="2152">
        <f>INDEX(MO_MA_GA_NONGAAP,0,COLUMN())</f>
        <v/>
      </c>
      <c r="AP52" s="2152">
        <f>INDEX(MO_MA_GA_NONGAAP,0,COLUMN())</f>
        <v/>
      </c>
      <c r="AQ52" s="2152">
        <f>INDEX(MO_MA_GA_NONGAAP,0,COLUMN())</f>
        <v/>
      </c>
      <c r="AR52" s="2169">
        <f>INDEX(MO_MA_GA_NONGAAP,0,COLUMN())</f>
        <v/>
      </c>
      <c r="AS52" s="2169">
        <f>INDEX(MO_MA_GA_NONGAAP,0,COLUMN())</f>
        <v/>
      </c>
      <c r="AT52" s="2169">
        <f>INDEX(MO_MA_GA_NONGAAP,0,COLUMN())</f>
        <v/>
      </c>
      <c r="AU52" s="2169">
        <f>INDEX(MO_MA_GA_NONGAAP,0,COLUMN())</f>
        <v/>
      </c>
      <c r="AV52" s="2097" t="n"/>
    </row>
    <row r="53" ht="14.4" customFormat="1" customHeight="1" s="2148">
      <c r="A53" s="2172">
        <f>INDEX(MO_MA_RD_NONGAAP,0,COLUMN())</f>
        <v/>
      </c>
      <c r="B53" s="2173" t="n"/>
      <c r="C53" s="2174" t="n"/>
      <c r="D53" s="2174" t="n"/>
      <c r="E53" s="2174" t="n"/>
      <c r="F53" s="2174" t="n"/>
      <c r="G53" s="2174" t="n"/>
      <c r="H53" s="2174" t="n"/>
      <c r="I53" s="2174" t="n"/>
      <c r="J53" s="2174" t="n"/>
      <c r="K53" s="2174" t="n"/>
      <c r="L53" s="2174" t="n"/>
      <c r="M53" s="2174" t="n"/>
      <c r="N53" s="2174" t="n"/>
      <c r="O53" s="2175" t="n"/>
      <c r="P53" s="2175" t="n"/>
      <c r="Q53" s="2175" t="n"/>
      <c r="R53" s="2175" t="n"/>
      <c r="S53" s="2174" t="n"/>
      <c r="T53" s="2175" t="n"/>
      <c r="U53" s="2175" t="n"/>
      <c r="V53" s="2175" t="n"/>
      <c r="W53" s="2175" t="n"/>
      <c r="X53" s="2174">
        <f>INDEX(MO_MA_RD_NONGAAP,0,COLUMN())</f>
        <v/>
      </c>
      <c r="Y53" s="2175" t="n"/>
      <c r="Z53" s="2175" t="n"/>
      <c r="AA53" s="2175">
        <f>INDEX(MO_MA_RD_NONGAAP,0,COLUMN())</f>
        <v/>
      </c>
      <c r="AB53" s="2175">
        <f>INDEX(MO_MA_RD_NONGAAP,0,COLUMN())</f>
        <v/>
      </c>
      <c r="AC53" s="2174">
        <f>INDEX(MO_MA_RD_NONGAAP,0,COLUMN())</f>
        <v/>
      </c>
      <c r="AD53" s="2175">
        <f>INDEX(MO_MA_RD_NONGAAP,0,COLUMN())</f>
        <v/>
      </c>
      <c r="AE53" s="2175">
        <f>INDEX(MO_MA_RD_NONGAAP,0,COLUMN())</f>
        <v/>
      </c>
      <c r="AF53" s="2175">
        <f>INDEX(MO_MA_RD_NONGAAP,0,COLUMN())</f>
        <v/>
      </c>
      <c r="AG53" s="2175">
        <f>INDEX(MO_MA_RD_NONGAAP,0,COLUMN())</f>
        <v/>
      </c>
      <c r="AH53" s="2174">
        <f>INDEX(MO_MA_RD_NONGAAP,0,COLUMN())</f>
        <v/>
      </c>
      <c r="AI53" s="2175">
        <f>INDEX(MO_MA_RD_NONGAAP,0,COLUMN())</f>
        <v/>
      </c>
      <c r="AJ53" s="2175">
        <f>INDEX(MO_MA_RD_NONGAAP,0,COLUMN())</f>
        <v/>
      </c>
      <c r="AK53" s="2176">
        <f>INDEX(MO_MA_RD_NONGAAP,0,COLUMN())</f>
        <v/>
      </c>
      <c r="AL53" s="2175">
        <f>INDEX(MO_MA_RD_NONGAAP,0,COLUMN())</f>
        <v/>
      </c>
      <c r="AM53" s="2177">
        <f>INDEX(MO_MA_RD_NONGAAP,0,COLUMN())</f>
        <v/>
      </c>
      <c r="AN53" s="2175">
        <f>INDEX(MO_MA_RD_NONGAAP,0,COLUMN())</f>
        <v/>
      </c>
      <c r="AO53" s="2175">
        <f>INDEX(MO_MA_RD_NONGAAP,0,COLUMN())</f>
        <v/>
      </c>
      <c r="AP53" s="2175">
        <f>INDEX(MO_MA_RD_NONGAAP,0,COLUMN())</f>
        <v/>
      </c>
      <c r="AQ53" s="2175">
        <f>INDEX(MO_MA_RD_NONGAAP,0,COLUMN())</f>
        <v/>
      </c>
      <c r="AR53" s="2177">
        <f>INDEX(MO_MA_RD_NONGAAP,0,COLUMN())</f>
        <v/>
      </c>
      <c r="AS53" s="2177">
        <f>INDEX(MO_MA_RD_NONGAAP,0,COLUMN())</f>
        <v/>
      </c>
      <c r="AT53" s="2177">
        <f>INDEX(MO_MA_RD_NONGAAP,0,COLUMN())</f>
        <v/>
      </c>
      <c r="AU53" s="2177">
        <f>INDEX(MO_MA_RD_NONGAAP,0,COLUMN())</f>
        <v/>
      </c>
      <c r="AV53" s="2097" t="n"/>
    </row>
    <row r="54" ht="14.4" customFormat="1" customHeight="1" s="2148">
      <c r="A54" s="2178">
        <f>INDEX(MO_MA_OperatingIncome_NONGAAP,0,COLUMN())</f>
        <v/>
      </c>
      <c r="B54" s="2179" t="n"/>
      <c r="C54" s="2180" t="n"/>
      <c r="D54" s="2180" t="n"/>
      <c r="E54" s="2180" t="n"/>
      <c r="F54" s="2180" t="n"/>
      <c r="G54" s="2180" t="n"/>
      <c r="H54" s="2180" t="n"/>
      <c r="I54" s="2180" t="n"/>
      <c r="J54" s="2180" t="n"/>
      <c r="K54" s="2180" t="n"/>
      <c r="L54" s="2180" t="n"/>
      <c r="M54" s="2180" t="n"/>
      <c r="N54" s="2180" t="n"/>
      <c r="O54" s="2181" t="n"/>
      <c r="P54" s="2181" t="n"/>
      <c r="Q54" s="2181" t="n"/>
      <c r="R54" s="2181" t="n"/>
      <c r="S54" s="2180" t="n"/>
      <c r="T54" s="2181" t="n"/>
      <c r="U54" s="2181" t="n"/>
      <c r="V54" s="2181" t="n"/>
      <c r="W54" s="2181" t="n"/>
      <c r="X54" s="2180">
        <f>INDEX(MO_MA_OperatingIncome_NONGAAP,0,COLUMN())</f>
        <v/>
      </c>
      <c r="Y54" s="2181" t="n"/>
      <c r="Z54" s="2181" t="n"/>
      <c r="AA54" s="2181">
        <f>INDEX(MO_MA_OperatingIncome_NONGAAP,0,COLUMN())</f>
        <v/>
      </c>
      <c r="AB54" s="2181">
        <f>INDEX(MO_MA_OperatingIncome_NONGAAP,0,COLUMN())</f>
        <v/>
      </c>
      <c r="AC54" s="2180">
        <f>INDEX(MO_MA_OperatingIncome_NONGAAP,0,COLUMN())</f>
        <v/>
      </c>
      <c r="AD54" s="2181">
        <f>INDEX(MO_MA_OperatingIncome_NONGAAP,0,COLUMN())</f>
        <v/>
      </c>
      <c r="AE54" s="2181">
        <f>INDEX(MO_MA_OperatingIncome_NONGAAP,0,COLUMN())</f>
        <v/>
      </c>
      <c r="AF54" s="2181">
        <f>INDEX(MO_MA_OperatingIncome_NONGAAP,0,COLUMN())</f>
        <v/>
      </c>
      <c r="AG54" s="2181">
        <f>INDEX(MO_MA_OperatingIncome_NONGAAP,0,COLUMN())</f>
        <v/>
      </c>
      <c r="AH54" s="2180">
        <f>INDEX(MO_MA_OperatingIncome_NONGAAP,0,COLUMN())</f>
        <v/>
      </c>
      <c r="AI54" s="2181">
        <f>INDEX(MO_MA_OperatingIncome_NONGAAP,0,COLUMN())</f>
        <v/>
      </c>
      <c r="AJ54" s="2181">
        <f>INDEX(MO_MA_OperatingIncome_NONGAAP,0,COLUMN())</f>
        <v/>
      </c>
      <c r="AK54" s="2182">
        <f>INDEX(MO_MA_OperatingIncome_NONGAAP,0,COLUMN())</f>
        <v/>
      </c>
      <c r="AL54" s="2181">
        <f>INDEX(MO_MA_OperatingIncome_NONGAAP,0,COLUMN())</f>
        <v/>
      </c>
      <c r="AM54" s="2183">
        <f>INDEX(MO_MA_OperatingIncome_NONGAAP,0,COLUMN())</f>
        <v/>
      </c>
      <c r="AN54" s="2181">
        <f>INDEX(MO_MA_OperatingIncome_NONGAAP,0,COLUMN())</f>
        <v/>
      </c>
      <c r="AO54" s="2181">
        <f>INDEX(MO_MA_OperatingIncome_NONGAAP,0,COLUMN())</f>
        <v/>
      </c>
      <c r="AP54" s="2181">
        <f>INDEX(MO_MA_OperatingIncome_NONGAAP,0,COLUMN())</f>
        <v/>
      </c>
      <c r="AQ54" s="2181">
        <f>INDEX(MO_MA_OperatingIncome_NONGAAP,0,COLUMN())</f>
        <v/>
      </c>
      <c r="AR54" s="2183">
        <f>INDEX(MO_MA_OperatingIncome_NONGAAP,0,COLUMN())</f>
        <v/>
      </c>
      <c r="AS54" s="2183">
        <f>INDEX(MO_MA_OperatingIncome_NONGAAP,0,COLUMN())</f>
        <v/>
      </c>
      <c r="AT54" s="2183">
        <f>INDEX(MO_MA_OperatingIncome_NONGAAP,0,COLUMN())</f>
        <v/>
      </c>
      <c r="AU54" s="2183">
        <f>INDEX(MO_MA_OperatingIncome_NONGAAP,0,COLUMN())</f>
        <v/>
      </c>
      <c r="AV54" s="2097" t="n"/>
    </row>
    <row r="55" ht="14.4" customFormat="1" customHeight="1" s="2148">
      <c r="A55" s="2178">
        <f>INDEX(MO_MA_OperatingIncome,0,COLUMN())</f>
        <v/>
      </c>
      <c r="B55" s="2179" t="n"/>
      <c r="C55" s="2180" t="n"/>
      <c r="D55" s="2180" t="n"/>
      <c r="E55" s="2180" t="n"/>
      <c r="F55" s="2180" t="n"/>
      <c r="G55" s="2180" t="n"/>
      <c r="H55" s="2180" t="n"/>
      <c r="I55" s="2180" t="n"/>
      <c r="J55" s="2180" t="n"/>
      <c r="K55" s="2180" t="n"/>
      <c r="L55" s="2180" t="n"/>
      <c r="M55" s="2180" t="n"/>
      <c r="N55" s="2180" t="n"/>
      <c r="O55" s="2181" t="n"/>
      <c r="P55" s="2181" t="n"/>
      <c r="Q55" s="2181" t="n"/>
      <c r="R55" s="2181" t="n"/>
      <c r="S55" s="2180" t="n"/>
      <c r="T55" s="2181" t="n"/>
      <c r="U55" s="2181" t="n"/>
      <c r="V55" s="2181" t="n"/>
      <c r="W55" s="2181" t="n"/>
      <c r="X55" s="2180">
        <f>INDEX(MO_MA_OperatingIncome,0,COLUMN())</f>
        <v/>
      </c>
      <c r="Y55" s="2181" t="n"/>
      <c r="Z55" s="2181" t="n"/>
      <c r="AA55" s="2181">
        <f>INDEX(MO_MA_OperatingIncome,0,COLUMN())</f>
        <v/>
      </c>
      <c r="AB55" s="2181">
        <f>INDEX(MO_MA_OperatingIncome,0,COLUMN())</f>
        <v/>
      </c>
      <c r="AC55" s="2180">
        <f>INDEX(MO_MA_OperatingIncome,0,COLUMN())</f>
        <v/>
      </c>
      <c r="AD55" s="2181">
        <f>INDEX(MO_MA_OperatingIncome,0,COLUMN())</f>
        <v/>
      </c>
      <c r="AE55" s="2181">
        <f>INDEX(MO_MA_OperatingIncome,0,COLUMN())</f>
        <v/>
      </c>
      <c r="AF55" s="2181">
        <f>INDEX(MO_MA_OperatingIncome,0,COLUMN())</f>
        <v/>
      </c>
      <c r="AG55" s="2181">
        <f>INDEX(MO_MA_OperatingIncome,0,COLUMN())</f>
        <v/>
      </c>
      <c r="AH55" s="2180">
        <f>INDEX(MO_MA_OperatingIncome,0,COLUMN())</f>
        <v/>
      </c>
      <c r="AI55" s="2181">
        <f>INDEX(MO_MA_OperatingIncome,0,COLUMN())</f>
        <v/>
      </c>
      <c r="AJ55" s="2181">
        <f>INDEX(MO_MA_OperatingIncome,0,COLUMN())</f>
        <v/>
      </c>
      <c r="AK55" s="2182">
        <f>INDEX(MO_MA_OperatingIncome,0,COLUMN())</f>
        <v/>
      </c>
      <c r="AL55" s="2181">
        <f>INDEX(MO_MA_OperatingIncome,0,COLUMN())</f>
        <v/>
      </c>
      <c r="AM55" s="2183">
        <f>INDEX(MO_MA_OperatingIncome,0,COLUMN())</f>
        <v/>
      </c>
      <c r="AN55" s="2181">
        <f>INDEX(MO_MA_OperatingIncome,0,COLUMN())</f>
        <v/>
      </c>
      <c r="AO55" s="2181">
        <f>INDEX(MO_MA_OperatingIncome,0,COLUMN())</f>
        <v/>
      </c>
      <c r="AP55" s="2181">
        <f>INDEX(MO_MA_OperatingIncome,0,COLUMN())</f>
        <v/>
      </c>
      <c r="AQ55" s="2181">
        <f>INDEX(MO_MA_OperatingIncome,0,COLUMN())</f>
        <v/>
      </c>
      <c r="AR55" s="2183">
        <f>INDEX(MO_MA_OperatingIncome,0,COLUMN())</f>
        <v/>
      </c>
      <c r="AS55" s="2183">
        <f>INDEX(MO_MA_OperatingIncome,0,COLUMN())</f>
        <v/>
      </c>
      <c r="AT55" s="2183">
        <f>INDEX(MO_MA_OperatingIncome,0,COLUMN())</f>
        <v/>
      </c>
      <c r="AU55" s="2183">
        <f>INDEX(MO_MA_OperatingIncome,0,COLUMN())</f>
        <v/>
      </c>
      <c r="AV55" s="2097" t="n"/>
    </row>
    <row r="56" ht="14.4" customHeight="1" s="877">
      <c r="A56" s="2164" t="n"/>
      <c r="B56" s="2124" t="n"/>
      <c r="C56" s="2125" t="n"/>
      <c r="D56" s="2125" t="n"/>
      <c r="E56" s="2125" t="n"/>
      <c r="F56" s="2125" t="n"/>
      <c r="G56" s="2125" t="n"/>
      <c r="H56" s="2125" t="n"/>
      <c r="I56" s="2125" t="n"/>
      <c r="J56" s="2125" t="n"/>
      <c r="K56" s="2125" t="n"/>
      <c r="L56" s="2125" t="n"/>
      <c r="M56" s="2125" t="n"/>
      <c r="N56" s="2125" t="n"/>
      <c r="O56" s="2119" t="n"/>
      <c r="P56" s="2119" t="n"/>
      <c r="Q56" s="2119" t="n"/>
      <c r="R56" s="2119" t="n"/>
      <c r="S56" s="2125" t="n"/>
      <c r="T56" s="2119" t="n"/>
      <c r="U56" s="2119" t="n"/>
      <c r="V56" s="2119" t="n"/>
      <c r="W56" s="2119" t="n"/>
      <c r="X56" s="2125" t="n"/>
      <c r="Y56" s="2119" t="n"/>
      <c r="Z56" s="2119" t="n"/>
      <c r="AA56" s="2119" t="n"/>
      <c r="AB56" s="2119" t="n"/>
      <c r="AC56" s="2125" t="n"/>
      <c r="AD56" s="2119" t="n"/>
      <c r="AE56" s="2119" t="n"/>
      <c r="AF56" s="2119" t="n"/>
      <c r="AG56" s="2119" t="n"/>
      <c r="AH56" s="2125" t="n"/>
      <c r="AI56" s="2119" t="n"/>
      <c r="AJ56" s="2119" t="n"/>
      <c r="AK56" s="2126" t="n"/>
      <c r="AL56" s="2119" t="n"/>
      <c r="AM56" s="2125" t="n"/>
      <c r="AN56" s="2119" t="n"/>
      <c r="AO56" s="2119" t="n"/>
      <c r="AP56" s="2119" t="n"/>
      <c r="AQ56" s="2119" t="n"/>
      <c r="AR56" s="2125" t="n"/>
      <c r="AS56" s="2125" t="n"/>
      <c r="AT56" s="2125" t="n"/>
      <c r="AU56" s="2125" t="n"/>
      <c r="AV56" s="2119" t="n"/>
    </row>
    <row r="57" ht="14.4" customHeight="1" s="877">
      <c r="A57" s="2171" t="inlineStr">
        <is>
          <t>Cash Flow Analysis</t>
        </is>
      </c>
      <c r="B57" s="2127" t="n"/>
      <c r="C57" s="2127" t="n"/>
      <c r="D57" s="2127" t="n"/>
      <c r="E57" s="2127" t="n"/>
      <c r="F57" s="2127" t="n"/>
      <c r="G57" s="2127" t="n"/>
      <c r="H57" s="2127" t="n"/>
      <c r="I57" s="2127" t="n"/>
      <c r="J57" s="2127" t="n"/>
      <c r="K57" s="2127" t="n"/>
      <c r="L57" s="2127" t="n"/>
      <c r="M57" s="2127" t="n"/>
      <c r="N57" s="2127" t="n"/>
      <c r="O57" s="2127" t="n"/>
      <c r="P57" s="2127" t="n"/>
      <c r="Q57" s="2127" t="n"/>
      <c r="R57" s="2127" t="n"/>
      <c r="S57" s="2127" t="n"/>
      <c r="T57" s="2127" t="n"/>
      <c r="U57" s="2127" t="n"/>
      <c r="V57" s="2127" t="n"/>
      <c r="W57" s="2127" t="n"/>
      <c r="X57" s="2127" t="n"/>
      <c r="Y57" s="2127" t="n"/>
      <c r="Z57" s="2127" t="n"/>
      <c r="AA57" s="2154" t="inlineStr">
        <is>
          <t>9 months</t>
        </is>
      </c>
      <c r="AB57" s="2127" t="n"/>
      <c r="AC57" s="2127" t="n"/>
      <c r="AD57" s="2127" t="n"/>
      <c r="AE57" s="2127" t="n"/>
      <c r="AF57" s="2154" t="n"/>
      <c r="AG57" s="2127" t="n"/>
      <c r="AH57" s="2127" t="n"/>
      <c r="AI57" s="2127" t="n"/>
      <c r="AJ57" s="2127" t="n"/>
      <c r="AK57" s="2184" t="n"/>
      <c r="AL57" s="2127" t="n"/>
      <c r="AM57" s="2127" t="n"/>
      <c r="AN57" s="2127" t="n"/>
      <c r="AO57" s="2127" t="n"/>
      <c r="AP57" s="2127" t="n"/>
      <c r="AQ57" s="2127" t="n"/>
      <c r="AR57" s="2127" t="n"/>
      <c r="AS57" s="2127" t="n"/>
      <c r="AT57" s="2127" t="n"/>
      <c r="AU57" s="2127" t="n"/>
      <c r="AV57" s="2087" t="n"/>
    </row>
    <row r="58" hidden="1" outlineLevel="1" ht="14.4" customFormat="1" customHeight="1" s="2113">
      <c r="A58" s="2100">
        <f>INDEX(MO_CFSum_CFO_BeforeWC,0,COLUMN())</f>
        <v/>
      </c>
      <c r="B58" s="2124" t="n"/>
      <c r="C58" s="2125" t="n"/>
      <c r="D58" s="2125" t="n"/>
      <c r="E58" s="2125" t="n"/>
      <c r="F58" s="2125" t="n"/>
      <c r="G58" s="2125" t="n"/>
      <c r="H58" s="2125" t="n"/>
      <c r="I58" s="2125" t="n"/>
      <c r="J58" s="2125" t="n"/>
      <c r="K58" s="2125" t="n"/>
      <c r="L58" s="2125" t="n"/>
      <c r="M58" s="2125" t="n"/>
      <c r="N58" s="2125" t="n"/>
      <c r="O58" s="2119" t="n"/>
      <c r="P58" s="2119" t="n"/>
      <c r="Q58" s="2119" t="n"/>
      <c r="R58" s="2119" t="n"/>
      <c r="S58" s="2125" t="n"/>
      <c r="T58" s="2119" t="n"/>
      <c r="U58" s="2119" t="n"/>
      <c r="V58" s="2119" t="n"/>
      <c r="W58" s="2119" t="n"/>
      <c r="X58" s="2125">
        <f>INDEX(MO_CFSum_CFO_BeforeWC,0,COLUMN())</f>
        <v/>
      </c>
      <c r="Y58" s="2119" t="n"/>
      <c r="Z58" s="2119" t="n"/>
      <c r="AA58" s="2119">
        <f>INDEX(MO_CFSum_CFO_BeforeWC,0,COLUMN())</f>
        <v/>
      </c>
      <c r="AB58" s="2119">
        <f>INDEX(MO_CFSum_CFO_BeforeWC,0,COLUMN())</f>
        <v/>
      </c>
      <c r="AC58" s="2125">
        <f>INDEX(MO_CFSum_CFO_BeforeWC,0,COLUMN())</f>
        <v/>
      </c>
      <c r="AD58" s="2119">
        <f>INDEX(MO_CFSum_CFO_BeforeWC,0,COLUMN())</f>
        <v/>
      </c>
      <c r="AE58" s="2119">
        <f>INDEX(MO_CFSum_CFO_BeforeWC,0,COLUMN())</f>
        <v/>
      </c>
      <c r="AF58" s="2119">
        <f>INDEX(MO_CFSum_CFO_BeforeWC,0,COLUMN())</f>
        <v/>
      </c>
      <c r="AG58" s="2119">
        <f>INDEX(MO_CFSum_CFO_BeforeWC,0,COLUMN())</f>
        <v/>
      </c>
      <c r="AH58" s="2125">
        <f>INDEX(MO_CFSum_CFO_BeforeWC,0,COLUMN())</f>
        <v/>
      </c>
      <c r="AI58" s="2119">
        <f>INDEX(MO_CFSum_CFO_BeforeWC,0,COLUMN())</f>
        <v/>
      </c>
      <c r="AJ58" s="2119">
        <f>INDEX(MO_CFSum_CFO_BeforeWC,0,COLUMN())</f>
        <v/>
      </c>
      <c r="AK58" s="2126">
        <f>INDEX(MO_CFSum_CFO_BeforeWC,0,COLUMN())</f>
        <v/>
      </c>
      <c r="AL58" s="2119">
        <f>INDEX(MO_CFSum_CFO_BeforeWC,0,COLUMN())</f>
        <v/>
      </c>
      <c r="AM58" s="2125">
        <f>INDEX(MO_CFSum_CFO_BeforeWC,0,COLUMN())</f>
        <v/>
      </c>
      <c r="AN58" s="2119">
        <f>INDEX(MO_CFSum_CFO_BeforeWC,0,COLUMN())</f>
        <v/>
      </c>
      <c r="AO58" s="2119">
        <f>INDEX(MO_CFSum_CFO_BeforeWC,0,COLUMN())</f>
        <v/>
      </c>
      <c r="AP58" s="2119">
        <f>INDEX(MO_CFSum_CFO_BeforeWC,0,COLUMN())</f>
        <v/>
      </c>
      <c r="AQ58" s="2119">
        <f>INDEX(MO_CFSum_CFO_BeforeWC,0,COLUMN())</f>
        <v/>
      </c>
      <c r="AR58" s="2125">
        <f>INDEX(MO_CFSum_CFO_BeforeWC,0,COLUMN())</f>
        <v/>
      </c>
      <c r="AS58" s="2125">
        <f>INDEX(MO_CFSum_CFO_BeforeWC,0,COLUMN())</f>
        <v/>
      </c>
      <c r="AT58" s="2125">
        <f>INDEX(MO_CFSum_CFO_BeforeWC,0,COLUMN())</f>
        <v/>
      </c>
      <c r="AU58" s="2125">
        <f>INDEX(MO_CFSum_CFO_BeforeWC,0,COLUMN())</f>
        <v/>
      </c>
      <c r="AV58" s="2119" t="n"/>
    </row>
    <row r="59" hidden="1" outlineLevel="1" ht="14.4" customFormat="1" customHeight="1" s="2113">
      <c r="A59" s="2106" t="inlineStr">
        <is>
          <t>Change in WC</t>
        </is>
      </c>
      <c r="B59" s="2155" t="n"/>
      <c r="C59" s="2110" t="n"/>
      <c r="D59" s="2110" t="n"/>
      <c r="E59" s="2110" t="n"/>
      <c r="F59" s="2110" t="n"/>
      <c r="G59" s="2110" t="n"/>
      <c r="H59" s="2110" t="n"/>
      <c r="I59" s="2110" t="n"/>
      <c r="J59" s="2110" t="n"/>
      <c r="K59" s="2110" t="n"/>
      <c r="L59" s="2110" t="n"/>
      <c r="M59" s="2110" t="n"/>
      <c r="N59" s="2110" t="n"/>
      <c r="O59" s="2156" t="n"/>
      <c r="P59" s="2156" t="n"/>
      <c r="Q59" s="2156" t="n"/>
      <c r="R59" s="2156" t="n"/>
      <c r="S59" s="2110" t="n"/>
      <c r="T59" s="2156" t="n"/>
      <c r="U59" s="2156" t="n"/>
      <c r="V59" s="2156" t="n"/>
      <c r="W59" s="2156" t="n"/>
      <c r="X59" s="2110">
        <f>SUM(OFFSET(INDEX(MO_CFS_CFO_BeforeWC,0,COLUMN()),1,0,ROW(INDEX(MO_CFS_CFO,0,COLUMN()))-ROW(INDEX(MO_CFS_CFO_BeforeWC,0,COLUMN()))-1,1))</f>
        <v/>
      </c>
      <c r="Y59" s="2156" t="n"/>
      <c r="Z59" s="2156" t="n"/>
      <c r="AA59" s="2156">
        <f>SUM(OFFSET(INDEX(MO_CFS_CFO_BeforeWC,0,COLUMN()),1,0,ROW(INDEX(MO_CFS_CFO,0,COLUMN()))-ROW(INDEX(MO_CFS_CFO_BeforeWC,0,COLUMN()))-1,1))</f>
        <v/>
      </c>
      <c r="AB59" s="2156">
        <f>SUM(OFFSET(INDEX(MO_CFS_CFO_BeforeWC,0,COLUMN()),1,0,ROW(INDEX(MO_CFS_CFO,0,COLUMN()))-ROW(INDEX(MO_CFS_CFO_BeforeWC,0,COLUMN()))-1,1))</f>
        <v/>
      </c>
      <c r="AC59" s="2110">
        <f>SUM(OFFSET(INDEX(MO_CFS_CFO_BeforeWC,0,COLUMN()),1,0,ROW(INDEX(MO_CFS_CFO,0,COLUMN()))-ROW(INDEX(MO_CFS_CFO_BeforeWC,0,COLUMN()))-1,1))</f>
        <v/>
      </c>
      <c r="AD59" s="2156">
        <f>SUM(OFFSET(INDEX(MO_CFS_CFO_BeforeWC,0,COLUMN()),1,0,ROW(INDEX(MO_CFS_CFO,0,COLUMN()))-ROW(INDEX(MO_CFS_CFO_BeforeWC,0,COLUMN()))-1,1))</f>
        <v/>
      </c>
      <c r="AE59" s="2156">
        <f>SUM(OFFSET(INDEX(MO_CFS_CFO_BeforeWC,0,COLUMN()),1,0,ROW(INDEX(MO_CFS_CFO,0,COLUMN()))-ROW(INDEX(MO_CFS_CFO_BeforeWC,0,COLUMN()))-1,1))</f>
        <v/>
      </c>
      <c r="AF59" s="2156">
        <f>SUM(OFFSET(INDEX(MO_CFS_CFO_BeforeWC,0,COLUMN()),1,0,ROW(INDEX(MO_CFS_CFO,0,COLUMN()))-ROW(INDEX(MO_CFS_CFO_BeforeWC,0,COLUMN()))-1,1))</f>
        <v/>
      </c>
      <c r="AG59" s="2156">
        <f>SUM(OFFSET(INDEX(MO_CFS_CFO_BeforeWC,0,COLUMN()),1,0,ROW(INDEX(MO_CFS_CFO,0,COLUMN()))-ROW(INDEX(MO_CFS_CFO_BeforeWC,0,COLUMN()))-1,1))</f>
        <v/>
      </c>
      <c r="AH59" s="2110">
        <f>SUM(OFFSET(INDEX(MO_CFS_CFO_BeforeWC,0,COLUMN()),1,0,ROW(INDEX(MO_CFS_CFO,0,COLUMN()))-ROW(INDEX(MO_CFS_CFO_BeforeWC,0,COLUMN()))-1,1))</f>
        <v/>
      </c>
      <c r="AI59" s="2156">
        <f>SUM(OFFSET(INDEX(MO_CFS_CFO_BeforeWC,0,COLUMN()),1,0,ROW(INDEX(MO_CFS_CFO,0,COLUMN()))-ROW(INDEX(MO_CFS_CFO_BeforeWC,0,COLUMN()))-1,1))</f>
        <v/>
      </c>
      <c r="AJ59" s="2156">
        <f>SUM(OFFSET(INDEX(MO_CFS_CFO_BeforeWC,0,COLUMN()),1,0,ROW(INDEX(MO_CFS_CFO,0,COLUMN()))-ROW(INDEX(MO_CFS_CFO_BeforeWC,0,COLUMN()))-1,1))</f>
        <v/>
      </c>
      <c r="AK59" s="2157">
        <f>SUM(OFFSET(INDEX(MO_CFS_CFO_BeforeWC,0,COLUMN()),1,0,ROW(INDEX(MO_CFS_CFO,0,COLUMN()))-ROW(INDEX(MO_CFS_CFO_BeforeWC,0,COLUMN()))-1,1))</f>
        <v/>
      </c>
      <c r="AL59" s="2156">
        <f>SUM(OFFSET(INDEX(MO_CFS_CFO_BeforeWC,0,COLUMN()),1,0,ROW(INDEX(MO_CFS_CFO,0,COLUMN()))-ROW(INDEX(MO_CFS_CFO_BeforeWC,0,COLUMN()))-1,1))</f>
        <v/>
      </c>
      <c r="AM59" s="2110">
        <f>SUM(OFFSET(INDEX(MO_CFS_CFO_BeforeWC,0,COLUMN()),1,0,ROW(INDEX(MO_CFS_CFO,0,COLUMN()))-ROW(INDEX(MO_CFS_CFO_BeforeWC,0,COLUMN()))-1,1))</f>
        <v/>
      </c>
      <c r="AN59" s="2156">
        <f>SUM(OFFSET(INDEX(MO_CFS_CFO_BeforeWC,0,COLUMN()),1,0,ROW(INDEX(MO_CFS_CFO,0,COLUMN()))-ROW(INDEX(MO_CFS_CFO_BeforeWC,0,COLUMN()))-1,1))</f>
        <v/>
      </c>
      <c r="AO59" s="2156">
        <f>SUM(OFFSET(INDEX(MO_CFS_CFO_BeforeWC,0,COLUMN()),1,0,ROW(INDEX(MO_CFS_CFO,0,COLUMN()))-ROW(INDEX(MO_CFS_CFO_BeforeWC,0,COLUMN()))-1,1))</f>
        <v/>
      </c>
      <c r="AP59" s="2156">
        <f>SUM(OFFSET(INDEX(MO_CFS_CFO_BeforeWC,0,COLUMN()),1,0,ROW(INDEX(MO_CFS_CFO,0,COLUMN()))-ROW(INDEX(MO_CFS_CFO_BeforeWC,0,COLUMN()))-1,1))</f>
        <v/>
      </c>
      <c r="AQ59" s="2156">
        <f>SUM(OFFSET(INDEX(MO_CFS_CFO_BeforeWC,0,COLUMN()),1,0,ROW(INDEX(MO_CFS_CFO,0,COLUMN()))-ROW(INDEX(MO_CFS_CFO_BeforeWC,0,COLUMN()))-1,1))</f>
        <v/>
      </c>
      <c r="AR59" s="2110">
        <f>SUM(OFFSET(INDEX(MO_CFS_CFO_BeforeWC,0,COLUMN()),1,0,ROW(INDEX(MO_CFS_CFO,0,COLUMN()))-ROW(INDEX(MO_CFS_CFO_BeforeWC,0,COLUMN()))-1,1))</f>
        <v/>
      </c>
      <c r="AS59" s="2110">
        <f>SUM(OFFSET(INDEX(MO_CFS_CFO_BeforeWC,0,COLUMN()),1,0,ROW(INDEX(MO_CFS_CFO,0,COLUMN()))-ROW(INDEX(MO_CFS_CFO_BeforeWC,0,COLUMN()))-1,1))</f>
        <v/>
      </c>
      <c r="AT59" s="2110">
        <f>SUM(OFFSET(INDEX(MO_CFS_CFO_BeforeWC,0,COLUMN()),1,0,ROW(INDEX(MO_CFS_CFO,0,COLUMN()))-ROW(INDEX(MO_CFS_CFO_BeforeWC,0,COLUMN()))-1,1))</f>
        <v/>
      </c>
      <c r="AU59" s="2110">
        <f>SUM(OFFSET(INDEX(MO_CFS_CFO_BeforeWC,0,COLUMN()),1,0,ROW(INDEX(MO_CFS_CFO,0,COLUMN()))-ROW(INDEX(MO_CFS_CFO_BeforeWC,0,COLUMN()))-1,1))</f>
        <v/>
      </c>
      <c r="AV59" s="2087" t="n"/>
    </row>
    <row r="60" collapsed="1" ht="14.4" customFormat="1" customHeight="1" s="2113">
      <c r="A60" s="2100" t="inlineStr">
        <is>
          <t>Operating Cash Flow after WC</t>
        </is>
      </c>
      <c r="B60" s="2124" t="n"/>
      <c r="C60" s="2125" t="n"/>
      <c r="D60" s="2125" t="n"/>
      <c r="E60" s="2125" t="n"/>
      <c r="F60" s="2125" t="n"/>
      <c r="G60" s="2125" t="n"/>
      <c r="H60" s="2125" t="n"/>
      <c r="I60" s="2125" t="n"/>
      <c r="J60" s="2125" t="n"/>
      <c r="K60" s="2125" t="n"/>
      <c r="L60" s="2125" t="n"/>
      <c r="M60" s="2125" t="n"/>
      <c r="N60" s="2125" t="n"/>
      <c r="O60" s="2119" t="n"/>
      <c r="P60" s="2119" t="n"/>
      <c r="Q60" s="2119" t="n"/>
      <c r="R60" s="2119" t="n"/>
      <c r="S60" s="2125" t="n"/>
      <c r="T60" s="2119" t="n"/>
      <c r="U60" s="2119" t="n"/>
      <c r="V60" s="2119" t="n"/>
      <c r="W60" s="2119" t="n"/>
      <c r="X60" s="2125">
        <f>SUM(X58:X59)</f>
        <v/>
      </c>
      <c r="Y60" s="2119" t="n"/>
      <c r="Z60" s="2119" t="n"/>
      <c r="AA60" s="2119">
        <f>SUM(AA58:AA59)</f>
        <v/>
      </c>
      <c r="AB60" s="2119">
        <f>SUM(AB58:AB59)</f>
        <v/>
      </c>
      <c r="AC60" s="2125">
        <f>SUM(AC58:AC59)</f>
        <v/>
      </c>
      <c r="AD60" s="2119">
        <f>SUM(AD58:AD59)</f>
        <v/>
      </c>
      <c r="AE60" s="2119">
        <f>SUM(AE58:AE59)</f>
        <v/>
      </c>
      <c r="AF60" s="2119">
        <f>SUM(AF58:AF59)</f>
        <v/>
      </c>
      <c r="AG60" s="2119">
        <f>SUM(AG58:AG59)</f>
        <v/>
      </c>
      <c r="AH60" s="2125">
        <f>SUM(AH58:AH59)</f>
        <v/>
      </c>
      <c r="AI60" s="2119">
        <f>SUM(AI58:AI59)</f>
        <v/>
      </c>
      <c r="AJ60" s="2119">
        <f>SUM(AJ58:AJ59)</f>
        <v/>
      </c>
      <c r="AK60" s="2126">
        <f>SUM(AK58:AK59)</f>
        <v/>
      </c>
      <c r="AL60" s="2119">
        <f>SUM(AL58:AL59)</f>
        <v/>
      </c>
      <c r="AM60" s="2125">
        <f>SUM(AM58:AM59)</f>
        <v/>
      </c>
      <c r="AN60" s="2119">
        <f>SUM(AN58:AN59)</f>
        <v/>
      </c>
      <c r="AO60" s="2119">
        <f>SUM(AO58:AO59)</f>
        <v/>
      </c>
      <c r="AP60" s="2119">
        <f>SUM(AP58:AP59)</f>
        <v/>
      </c>
      <c r="AQ60" s="2119">
        <f>SUM(AQ58:AQ59)</f>
        <v/>
      </c>
      <c r="AR60" s="2125">
        <f>SUM(AR58:AR59)</f>
        <v/>
      </c>
      <c r="AS60" s="2125">
        <f>SUM(AS58:AS59)</f>
        <v/>
      </c>
      <c r="AT60" s="2125">
        <f>SUM(AT58:AT59)</f>
        <v/>
      </c>
      <c r="AU60" s="2125">
        <f>SUM(AU58:AU59)</f>
        <v/>
      </c>
      <c r="AV60" s="2087" t="n"/>
    </row>
    <row r="61" ht="14.4" customFormat="1" customHeight="1" s="2088">
      <c r="A61" s="2120">
        <f>INDEX(MO_CFSum_Capex,0,COLUMN())</f>
        <v/>
      </c>
      <c r="B61" s="2121" t="n"/>
      <c r="C61" s="2122" t="n"/>
      <c r="D61" s="2122" t="n"/>
      <c r="E61" s="2122" t="n"/>
      <c r="F61" s="2122" t="n"/>
      <c r="G61" s="2122" t="n"/>
      <c r="H61" s="2122" t="n"/>
      <c r="I61" s="2122" t="n"/>
      <c r="J61" s="2122" t="n"/>
      <c r="K61" s="2122" t="n"/>
      <c r="L61" s="2122" t="n"/>
      <c r="M61" s="2122" t="n"/>
      <c r="N61" s="2122" t="n"/>
      <c r="O61" s="2087" t="n"/>
      <c r="P61" s="2087" t="n"/>
      <c r="Q61" s="2087" t="n"/>
      <c r="R61" s="2087" t="n"/>
      <c r="S61" s="2122" t="n"/>
      <c r="T61" s="2087" t="n"/>
      <c r="U61" s="2087" t="n"/>
      <c r="V61" s="2087" t="n"/>
      <c r="W61" s="2087" t="n"/>
      <c r="X61" s="2122">
        <f>INDEX(MO_CFSum_Capex,0,COLUMN())</f>
        <v/>
      </c>
      <c r="Y61" s="2087" t="n"/>
      <c r="Z61" s="2087" t="n"/>
      <c r="AA61" s="2087">
        <f>INDEX(MO_CFSum_Capex,0,COLUMN())</f>
        <v/>
      </c>
      <c r="AB61" s="2087">
        <f>INDEX(MO_CFSum_Capex,0,COLUMN())</f>
        <v/>
      </c>
      <c r="AC61" s="2122">
        <f>INDEX(MO_CFSum_Capex,0,COLUMN())</f>
        <v/>
      </c>
      <c r="AD61" s="2087">
        <f>INDEX(MO_CFSum_Capex,0,COLUMN())</f>
        <v/>
      </c>
      <c r="AE61" s="2087">
        <f>INDEX(MO_CFSum_Capex,0,COLUMN())</f>
        <v/>
      </c>
      <c r="AF61" s="2087">
        <f>INDEX(MO_CFSum_Capex,0,COLUMN())</f>
        <v/>
      </c>
      <c r="AG61" s="2087">
        <f>INDEX(MO_CFSum_Capex,0,COLUMN())</f>
        <v/>
      </c>
      <c r="AH61" s="2122">
        <f>INDEX(MO_CFSum_Capex,0,COLUMN())</f>
        <v/>
      </c>
      <c r="AI61" s="2087">
        <f>INDEX(MO_CFSum_Capex,0,COLUMN())</f>
        <v/>
      </c>
      <c r="AJ61" s="2087">
        <f>INDEX(MO_CFSum_Capex,0,COLUMN())</f>
        <v/>
      </c>
      <c r="AK61" s="2123">
        <f>INDEX(MO_CFSum_Capex,0,COLUMN())</f>
        <v/>
      </c>
      <c r="AL61" s="2087">
        <f>INDEX(MO_CFSum_Capex,0,COLUMN())</f>
        <v/>
      </c>
      <c r="AM61" s="2122">
        <f>INDEX(MO_CFSum_Capex,0,COLUMN())</f>
        <v/>
      </c>
      <c r="AN61" s="2087">
        <f>INDEX(MO_CFSum_Capex,0,COLUMN())</f>
        <v/>
      </c>
      <c r="AO61" s="2087">
        <f>INDEX(MO_CFSum_Capex,0,COLUMN())</f>
        <v/>
      </c>
      <c r="AP61" s="2087">
        <f>INDEX(MO_CFSum_Capex,0,COLUMN())</f>
        <v/>
      </c>
      <c r="AQ61" s="2087">
        <f>INDEX(MO_CFSum_Capex,0,COLUMN())</f>
        <v/>
      </c>
      <c r="AR61" s="2122">
        <f>INDEX(MO_CFSum_Capex,0,COLUMN())</f>
        <v/>
      </c>
      <c r="AS61" s="2122">
        <f>INDEX(MO_CFSum_Capex,0,COLUMN())</f>
        <v/>
      </c>
      <c r="AT61" s="2122">
        <f>INDEX(MO_CFSum_Capex,0,COLUMN())</f>
        <v/>
      </c>
      <c r="AU61" s="2122">
        <f>INDEX(MO_CFSum_Capex,0,COLUMN())</f>
        <v/>
      </c>
      <c r="AV61" s="2087" t="n"/>
    </row>
    <row r="62" ht="14.4" customFormat="1" customHeight="1" s="2113">
      <c r="A62" s="2114" t="inlineStr">
        <is>
          <t>Core FCF, Pre Div</t>
        </is>
      </c>
      <c r="B62" s="2115" t="n"/>
      <c r="C62" s="2116" t="n"/>
      <c r="D62" s="2116" t="n"/>
      <c r="E62" s="2116" t="n"/>
      <c r="F62" s="2116" t="n"/>
      <c r="G62" s="2116" t="n"/>
      <c r="H62" s="2116" t="n"/>
      <c r="I62" s="2116" t="n"/>
      <c r="J62" s="2116" t="n"/>
      <c r="K62" s="2116" t="n"/>
      <c r="L62" s="2116" t="n"/>
      <c r="M62" s="2116" t="n"/>
      <c r="N62" s="2116" t="n"/>
      <c r="O62" s="2117" t="n"/>
      <c r="P62" s="2117" t="n"/>
      <c r="Q62" s="2117" t="n"/>
      <c r="R62" s="2117" t="n"/>
      <c r="S62" s="2116" t="n"/>
      <c r="T62" s="2117" t="n"/>
      <c r="U62" s="2117" t="n"/>
      <c r="V62" s="2117" t="n"/>
      <c r="W62" s="2117" t="n"/>
      <c r="X62" s="2116">
        <f>SUM(X60:X61)</f>
        <v/>
      </c>
      <c r="Y62" s="2117" t="n"/>
      <c r="Z62" s="2117" t="n"/>
      <c r="AA62" s="2117">
        <f>SUM(AA60:AA61)</f>
        <v/>
      </c>
      <c r="AB62" s="2117">
        <f>SUM(AB60:AB61)</f>
        <v/>
      </c>
      <c r="AC62" s="2116">
        <f>SUM(AC60:AC61)</f>
        <v/>
      </c>
      <c r="AD62" s="2117">
        <f>SUM(AD60:AD61)</f>
        <v/>
      </c>
      <c r="AE62" s="2117">
        <f>SUM(AE60:AE61)</f>
        <v/>
      </c>
      <c r="AF62" s="2117">
        <f>SUM(AF60:AF61)</f>
        <v/>
      </c>
      <c r="AG62" s="2117">
        <f>SUM(AG60:AG61)</f>
        <v/>
      </c>
      <c r="AH62" s="2116">
        <f>SUM(AH60:AH61)</f>
        <v/>
      </c>
      <c r="AI62" s="2117">
        <f>SUM(AI60:AI61)</f>
        <v/>
      </c>
      <c r="AJ62" s="2117">
        <f>SUM(AJ60:AJ61)</f>
        <v/>
      </c>
      <c r="AK62" s="2118">
        <f>SUM(AK60:AK61)</f>
        <v/>
      </c>
      <c r="AL62" s="2117">
        <f>SUM(AL60:AL61)</f>
        <v/>
      </c>
      <c r="AM62" s="2116">
        <f>SUM(AM60:AM61)</f>
        <v/>
      </c>
      <c r="AN62" s="2117">
        <f>SUM(AN60:AN61)</f>
        <v/>
      </c>
      <c r="AO62" s="2117">
        <f>SUM(AO60:AO61)</f>
        <v/>
      </c>
      <c r="AP62" s="2117">
        <f>SUM(AP60:AP61)</f>
        <v/>
      </c>
      <c r="AQ62" s="2117">
        <f>SUM(AQ60:AQ61)</f>
        <v/>
      </c>
      <c r="AR62" s="2116">
        <f>SUM(AR60:AR61)</f>
        <v/>
      </c>
      <c r="AS62" s="2116">
        <f>SUM(AS60:AS61)</f>
        <v/>
      </c>
      <c r="AT62" s="2116">
        <f>SUM(AT60:AT61)</f>
        <v/>
      </c>
      <c r="AU62" s="2116">
        <f>SUM(AU60:AU61)</f>
        <v/>
      </c>
      <c r="AV62" s="2119" t="n"/>
    </row>
    <row r="63" ht="14.4" customFormat="1" customHeight="1" s="2088">
      <c r="A63" s="2120">
        <f>INDEX(MO_CFSum_Dividend,0,COLUMN())</f>
        <v/>
      </c>
      <c r="B63" s="2121" t="n"/>
      <c r="C63" s="2122" t="n"/>
      <c r="D63" s="2122" t="n"/>
      <c r="E63" s="2122" t="n"/>
      <c r="F63" s="2122" t="n"/>
      <c r="G63" s="2122" t="n"/>
      <c r="H63" s="2122" t="n"/>
      <c r="I63" s="2122" t="n"/>
      <c r="J63" s="2122" t="n"/>
      <c r="K63" s="2122" t="n"/>
      <c r="L63" s="2122" t="n"/>
      <c r="M63" s="2122" t="n"/>
      <c r="N63" s="2122" t="n"/>
      <c r="O63" s="2087" t="n"/>
      <c r="P63" s="2087" t="n"/>
      <c r="Q63" s="2087" t="n"/>
      <c r="R63" s="2087" t="n"/>
      <c r="S63" s="2122" t="n"/>
      <c r="T63" s="2087" t="n"/>
      <c r="U63" s="2087" t="n"/>
      <c r="V63" s="2087" t="n"/>
      <c r="W63" s="2087" t="n"/>
      <c r="X63" s="2122">
        <f>INDEX(MO_CFSum_Dividend,0,COLUMN())</f>
        <v/>
      </c>
      <c r="Y63" s="2087" t="n"/>
      <c r="Z63" s="2087" t="n"/>
      <c r="AA63" s="2087">
        <f>INDEX(MO_CFSum_Dividend,0,COLUMN())</f>
        <v/>
      </c>
      <c r="AB63" s="2087">
        <f>INDEX(MO_CFSum_Dividend,0,COLUMN())</f>
        <v/>
      </c>
      <c r="AC63" s="2122">
        <f>INDEX(MO_CFSum_Dividend,0,COLUMN())</f>
        <v/>
      </c>
      <c r="AD63" s="2087">
        <f>INDEX(MO_CFSum_Dividend,0,COLUMN())</f>
        <v/>
      </c>
      <c r="AE63" s="2087">
        <f>INDEX(MO_CFSum_Dividend,0,COLUMN())</f>
        <v/>
      </c>
      <c r="AF63" s="2087">
        <f>INDEX(MO_CFSum_Dividend,0,COLUMN())</f>
        <v/>
      </c>
      <c r="AG63" s="2087">
        <f>INDEX(MO_CFSum_Dividend,0,COLUMN())</f>
        <v/>
      </c>
      <c r="AH63" s="2122">
        <f>INDEX(MO_CFSum_Dividend,0,COLUMN())</f>
        <v/>
      </c>
      <c r="AI63" s="2087">
        <f>INDEX(MO_CFSum_Dividend,0,COLUMN())</f>
        <v/>
      </c>
      <c r="AJ63" s="2087">
        <f>INDEX(MO_CFSum_Dividend,0,COLUMN())</f>
        <v/>
      </c>
      <c r="AK63" s="2123">
        <f>INDEX(MO_CFSum_Dividend,0,COLUMN())</f>
        <v/>
      </c>
      <c r="AL63" s="2087">
        <f>INDEX(MO_CFSum_Dividend,0,COLUMN())</f>
        <v/>
      </c>
      <c r="AM63" s="2122">
        <f>INDEX(MO_CFSum_Dividend,0,COLUMN())</f>
        <v/>
      </c>
      <c r="AN63" s="2087">
        <f>INDEX(MO_CFSum_Dividend,0,COLUMN())</f>
        <v/>
      </c>
      <c r="AO63" s="2087">
        <f>INDEX(MO_CFSum_Dividend,0,COLUMN())</f>
        <v/>
      </c>
      <c r="AP63" s="2087">
        <f>INDEX(MO_CFSum_Dividend,0,COLUMN())</f>
        <v/>
      </c>
      <c r="AQ63" s="2087">
        <f>INDEX(MO_CFSum_Dividend,0,COLUMN())</f>
        <v/>
      </c>
      <c r="AR63" s="2122">
        <f>INDEX(MO_CFSum_Dividend,0,COLUMN())</f>
        <v/>
      </c>
      <c r="AS63" s="2122">
        <f>INDEX(MO_CFSum_Dividend,0,COLUMN())</f>
        <v/>
      </c>
      <c r="AT63" s="2122">
        <f>INDEX(MO_CFSum_Dividend,0,COLUMN())</f>
        <v/>
      </c>
      <c r="AU63" s="2122">
        <f>INDEX(MO_CFSum_Dividend,0,COLUMN())</f>
        <v/>
      </c>
      <c r="AV63" s="2087" t="n"/>
    </row>
    <row r="64" ht="14.4" customFormat="1" customHeight="1" s="2113">
      <c r="A64" s="2114" t="inlineStr">
        <is>
          <t>Core FCF, Post Div</t>
        </is>
      </c>
      <c r="B64" s="2115" t="n"/>
      <c r="C64" s="2116" t="n"/>
      <c r="D64" s="2116" t="n"/>
      <c r="E64" s="2116" t="n"/>
      <c r="F64" s="2116" t="n"/>
      <c r="G64" s="2116" t="n"/>
      <c r="H64" s="2116" t="n"/>
      <c r="I64" s="2116" t="n"/>
      <c r="J64" s="2116" t="n"/>
      <c r="K64" s="2116" t="n"/>
      <c r="L64" s="2116" t="n"/>
      <c r="M64" s="2116" t="n"/>
      <c r="N64" s="2116" t="n"/>
      <c r="O64" s="2117" t="n"/>
      <c r="P64" s="2117" t="n"/>
      <c r="Q64" s="2117" t="n"/>
      <c r="R64" s="2117" t="n"/>
      <c r="S64" s="2116" t="n"/>
      <c r="T64" s="2117" t="n"/>
      <c r="U64" s="2117" t="n"/>
      <c r="V64" s="2117" t="n"/>
      <c r="W64" s="2117" t="n"/>
      <c r="X64" s="2116">
        <f>SUM(X62:X63)</f>
        <v/>
      </c>
      <c r="Y64" s="2117" t="n"/>
      <c r="Z64" s="2117" t="n"/>
      <c r="AA64" s="2117">
        <f>SUM(AA62:AA63)</f>
        <v/>
      </c>
      <c r="AB64" s="2117">
        <f>SUM(AB62:AB63)</f>
        <v/>
      </c>
      <c r="AC64" s="2116">
        <f>SUM(AC62:AC63)</f>
        <v/>
      </c>
      <c r="AD64" s="2117">
        <f>SUM(AD62:AD63)</f>
        <v/>
      </c>
      <c r="AE64" s="2117">
        <f>SUM(AE62:AE63)</f>
        <v/>
      </c>
      <c r="AF64" s="2117">
        <f>SUM(AF62:AF63)</f>
        <v/>
      </c>
      <c r="AG64" s="2117">
        <f>SUM(AG62:AG63)</f>
        <v/>
      </c>
      <c r="AH64" s="2116">
        <f>SUM(AH62:AH63)</f>
        <v/>
      </c>
      <c r="AI64" s="2117">
        <f>SUM(AI62:AI63)</f>
        <v/>
      </c>
      <c r="AJ64" s="2117">
        <f>SUM(AJ62:AJ63)</f>
        <v/>
      </c>
      <c r="AK64" s="2118">
        <f>SUM(AK62:AK63)</f>
        <v/>
      </c>
      <c r="AL64" s="2117">
        <f>SUM(AL62:AL63)</f>
        <v/>
      </c>
      <c r="AM64" s="2116">
        <f>SUM(AM62:AM63)</f>
        <v/>
      </c>
      <c r="AN64" s="2117">
        <f>SUM(AN62:AN63)</f>
        <v/>
      </c>
      <c r="AO64" s="2117">
        <f>SUM(AO62:AO63)</f>
        <v/>
      </c>
      <c r="AP64" s="2117">
        <f>SUM(AP62:AP63)</f>
        <v/>
      </c>
      <c r="AQ64" s="2117">
        <f>SUM(AQ62:AQ63)</f>
        <v/>
      </c>
      <c r="AR64" s="2116">
        <f>SUM(AR62:AR63)</f>
        <v/>
      </c>
      <c r="AS64" s="2116">
        <f>SUM(AS62:AS63)</f>
        <v/>
      </c>
      <c r="AT64" s="2116">
        <f>SUM(AT62:AT63)</f>
        <v/>
      </c>
      <c r="AU64" s="2116">
        <f>SUM(AU62:AU63)</f>
        <v/>
      </c>
      <c r="AV64" s="2119" t="n"/>
    </row>
    <row r="65" ht="14.4" customFormat="1" customHeight="1" s="2088">
      <c r="A65" s="2120">
        <f>INDEX(MO_CFSum_Acquisition,0,COLUMN())</f>
        <v/>
      </c>
      <c r="B65" s="2121" t="n"/>
      <c r="C65" s="2122" t="n"/>
      <c r="D65" s="2122" t="n"/>
      <c r="E65" s="2122" t="n"/>
      <c r="F65" s="2122" t="n"/>
      <c r="G65" s="2122" t="n"/>
      <c r="H65" s="2122" t="n"/>
      <c r="I65" s="2122" t="n"/>
      <c r="J65" s="2122" t="n"/>
      <c r="K65" s="2122" t="n"/>
      <c r="L65" s="2122" t="n"/>
      <c r="M65" s="2122" t="n"/>
      <c r="N65" s="2122" t="n"/>
      <c r="O65" s="2087" t="n"/>
      <c r="P65" s="2087" t="n"/>
      <c r="Q65" s="2087" t="n"/>
      <c r="R65" s="2087" t="n"/>
      <c r="S65" s="2122" t="n"/>
      <c r="T65" s="2087" t="n"/>
      <c r="U65" s="2087" t="n"/>
      <c r="V65" s="2087" t="n"/>
      <c r="W65" s="2087" t="n"/>
      <c r="X65" s="2122">
        <f>INDEX(MO_CFSum_Acquisition,0,COLUMN())</f>
        <v/>
      </c>
      <c r="Y65" s="2087" t="n"/>
      <c r="Z65" s="2087" t="n"/>
      <c r="AA65" s="2087">
        <f>INDEX(MO_CFSum_Acquisition,0,COLUMN())</f>
        <v/>
      </c>
      <c r="AB65" s="2087">
        <f>INDEX(MO_CFSum_Acquisition,0,COLUMN())</f>
        <v/>
      </c>
      <c r="AC65" s="2122">
        <f>INDEX(MO_CFSum_Acquisition,0,COLUMN())</f>
        <v/>
      </c>
      <c r="AD65" s="2087">
        <f>INDEX(MO_CFSum_Acquisition,0,COLUMN())</f>
        <v/>
      </c>
      <c r="AE65" s="2087">
        <f>INDEX(MO_CFSum_Acquisition,0,COLUMN())</f>
        <v/>
      </c>
      <c r="AF65" s="2087">
        <f>INDEX(MO_CFSum_Acquisition,0,COLUMN())</f>
        <v/>
      </c>
      <c r="AG65" s="2087">
        <f>INDEX(MO_CFSum_Acquisition,0,COLUMN())</f>
        <v/>
      </c>
      <c r="AH65" s="2122">
        <f>INDEX(MO_CFSum_Acquisition,0,COLUMN())</f>
        <v/>
      </c>
      <c r="AI65" s="2087">
        <f>INDEX(MO_CFSum_Acquisition,0,COLUMN())</f>
        <v/>
      </c>
      <c r="AJ65" s="2087">
        <f>INDEX(MO_CFSum_Acquisition,0,COLUMN())</f>
        <v/>
      </c>
      <c r="AK65" s="2123">
        <f>INDEX(MO_CFSum_Acquisition,0,COLUMN())</f>
        <v/>
      </c>
      <c r="AL65" s="2087">
        <f>INDEX(MO_CFSum_Acquisition,0,COLUMN())</f>
        <v/>
      </c>
      <c r="AM65" s="2122">
        <f>INDEX(MO_CFSum_Acquisition,0,COLUMN())</f>
        <v/>
      </c>
      <c r="AN65" s="2087">
        <f>INDEX(MO_CFSum_Acquisition,0,COLUMN())</f>
        <v/>
      </c>
      <c r="AO65" s="2087">
        <f>INDEX(MO_CFSum_Acquisition,0,COLUMN())</f>
        <v/>
      </c>
      <c r="AP65" s="2087">
        <f>INDEX(MO_CFSum_Acquisition,0,COLUMN())</f>
        <v/>
      </c>
      <c r="AQ65" s="2087">
        <f>INDEX(MO_CFSum_Acquisition,0,COLUMN())</f>
        <v/>
      </c>
      <c r="AR65" s="2122">
        <f>INDEX(MO_CFSum_Acquisition,0,COLUMN())</f>
        <v/>
      </c>
      <c r="AS65" s="2122">
        <f>INDEX(MO_CFSum_Acquisition,0,COLUMN())</f>
        <v/>
      </c>
      <c r="AT65" s="2122">
        <f>INDEX(MO_CFSum_Acquisition,0,COLUMN())</f>
        <v/>
      </c>
      <c r="AU65" s="2122">
        <f>INDEX(MO_CFSum_Acquisition,0,COLUMN())</f>
        <v/>
      </c>
      <c r="AV65" s="2087" t="n"/>
    </row>
    <row r="66" ht="14.4" customFormat="1" customHeight="1" s="2088">
      <c r="A66" s="2120">
        <f>INDEX(MO_CFSum_Divestiture,0,COLUMN())</f>
        <v/>
      </c>
      <c r="B66" s="2121" t="n"/>
      <c r="C66" s="2122" t="n"/>
      <c r="D66" s="2122" t="n"/>
      <c r="E66" s="2122" t="n"/>
      <c r="F66" s="2122" t="n"/>
      <c r="G66" s="2122" t="n"/>
      <c r="H66" s="2122" t="n"/>
      <c r="I66" s="2122" t="n"/>
      <c r="J66" s="2122" t="n"/>
      <c r="K66" s="2122" t="n"/>
      <c r="L66" s="2122" t="n"/>
      <c r="M66" s="2122" t="n"/>
      <c r="N66" s="2122" t="n"/>
      <c r="O66" s="2087" t="n"/>
      <c r="P66" s="2087" t="n"/>
      <c r="Q66" s="2087" t="n"/>
      <c r="R66" s="2087" t="n"/>
      <c r="S66" s="2122" t="n"/>
      <c r="T66" s="2087" t="n"/>
      <c r="U66" s="2087" t="n"/>
      <c r="V66" s="2087" t="n"/>
      <c r="W66" s="2087" t="n"/>
      <c r="X66" s="2122">
        <f>INDEX(MO_CFSum_Divestiture,0,COLUMN())</f>
        <v/>
      </c>
      <c r="Y66" s="2087" t="n"/>
      <c r="Z66" s="2087" t="n"/>
      <c r="AA66" s="2087">
        <f>INDEX(MO_CFSum_Divestiture,0,COLUMN())</f>
        <v/>
      </c>
      <c r="AB66" s="2087">
        <f>INDEX(MO_CFSum_Divestiture,0,COLUMN())</f>
        <v/>
      </c>
      <c r="AC66" s="2122">
        <f>INDEX(MO_CFSum_Divestiture,0,COLUMN())</f>
        <v/>
      </c>
      <c r="AD66" s="2087">
        <f>INDEX(MO_CFSum_Divestiture,0,COLUMN())</f>
        <v/>
      </c>
      <c r="AE66" s="2087">
        <f>INDEX(MO_CFSum_Divestiture,0,COLUMN())</f>
        <v/>
      </c>
      <c r="AF66" s="2087">
        <f>INDEX(MO_CFSum_Divestiture,0,COLUMN())</f>
        <v/>
      </c>
      <c r="AG66" s="2087">
        <f>INDEX(MO_CFSum_Divestiture,0,COLUMN())</f>
        <v/>
      </c>
      <c r="AH66" s="2122">
        <f>INDEX(MO_CFSum_Divestiture,0,COLUMN())</f>
        <v/>
      </c>
      <c r="AI66" s="2087">
        <f>INDEX(MO_CFSum_Divestiture,0,COLUMN())</f>
        <v/>
      </c>
      <c r="AJ66" s="2087">
        <f>INDEX(MO_CFSum_Divestiture,0,COLUMN())</f>
        <v/>
      </c>
      <c r="AK66" s="2123">
        <f>INDEX(MO_CFSum_Divestiture,0,COLUMN())</f>
        <v/>
      </c>
      <c r="AL66" s="2087">
        <f>INDEX(MO_CFSum_Divestiture,0,COLUMN())</f>
        <v/>
      </c>
      <c r="AM66" s="2122">
        <f>INDEX(MO_CFSum_Divestiture,0,COLUMN())</f>
        <v/>
      </c>
      <c r="AN66" s="2087">
        <f>INDEX(MO_CFSum_Divestiture,0,COLUMN())</f>
        <v/>
      </c>
      <c r="AO66" s="2087">
        <f>INDEX(MO_CFSum_Divestiture,0,COLUMN())</f>
        <v/>
      </c>
      <c r="AP66" s="2087">
        <f>INDEX(MO_CFSum_Divestiture,0,COLUMN())</f>
        <v/>
      </c>
      <c r="AQ66" s="2087">
        <f>INDEX(MO_CFSum_Divestiture,0,COLUMN())</f>
        <v/>
      </c>
      <c r="AR66" s="2122">
        <f>INDEX(MO_CFSum_Divestiture,0,COLUMN())</f>
        <v/>
      </c>
      <c r="AS66" s="2122">
        <f>INDEX(MO_CFSum_Divestiture,0,COLUMN())</f>
        <v/>
      </c>
      <c r="AT66" s="2122">
        <f>INDEX(MO_CFSum_Divestiture,0,COLUMN())</f>
        <v/>
      </c>
      <c r="AU66" s="2122">
        <f>INDEX(MO_CFSum_Divestiture,0,COLUMN())</f>
        <v/>
      </c>
      <c r="AV66" s="2087" t="n"/>
    </row>
    <row r="67" ht="14.4" customFormat="1" customHeight="1" s="2088">
      <c r="A67" s="2120" t="inlineStr">
        <is>
          <t>New Equity Issuance</t>
        </is>
      </c>
      <c r="B67" s="2121" t="n"/>
      <c r="C67" s="2122" t="n"/>
      <c r="D67" s="2122" t="n"/>
      <c r="E67" s="2122" t="n"/>
      <c r="F67" s="2122" t="n"/>
      <c r="G67" s="2122" t="n"/>
      <c r="H67" s="2122" t="n"/>
      <c r="I67" s="2122" t="n"/>
      <c r="J67" s="2122" t="n"/>
      <c r="K67" s="2122" t="n"/>
      <c r="L67" s="2122" t="n"/>
      <c r="M67" s="2122" t="n"/>
      <c r="N67" s="2122" t="n"/>
      <c r="O67" s="2087" t="n"/>
      <c r="P67" s="2087" t="n"/>
      <c r="Q67" s="2087" t="n"/>
      <c r="R67" s="2087" t="n"/>
      <c r="S67" s="2122" t="n"/>
      <c r="T67" s="2087" t="n"/>
      <c r="U67" s="2087" t="n"/>
      <c r="V67" s="2087" t="n"/>
      <c r="W67" s="2087" t="n"/>
      <c r="X67" s="2122">
        <f>INDEX(MO_CFSum_NetShares,0,COLUMN())</f>
        <v/>
      </c>
      <c r="Y67" s="2087" t="n"/>
      <c r="Z67" s="2087" t="n"/>
      <c r="AA67" s="2087">
        <f>INDEX(MO_CFSum_NetShares,0,COLUMN())</f>
        <v/>
      </c>
      <c r="AB67" s="2087">
        <f>INDEX(MO_CFSum_NetShares,0,COLUMN())</f>
        <v/>
      </c>
      <c r="AC67" s="2122">
        <f>INDEX(MO_CFSum_NetShares,0,COLUMN())</f>
        <v/>
      </c>
      <c r="AD67" s="2087">
        <f>INDEX(MO_CFSum_NetShares,0,COLUMN())</f>
        <v/>
      </c>
      <c r="AE67" s="2087">
        <f>INDEX(MO_CFSum_NetShares,0,COLUMN())</f>
        <v/>
      </c>
      <c r="AF67" s="2087">
        <f>INDEX(MO_CFSum_NetShares,0,COLUMN())</f>
        <v/>
      </c>
      <c r="AG67" s="2087">
        <f>INDEX(MO_CFSum_NetShares,0,COLUMN())</f>
        <v/>
      </c>
      <c r="AH67" s="2122">
        <f>INDEX(MO_CFSum_NetShares,0,COLUMN())</f>
        <v/>
      </c>
      <c r="AI67" s="2087">
        <f>INDEX(MO_CFSum_NetShares,0,COLUMN())</f>
        <v/>
      </c>
      <c r="AJ67" s="2087">
        <f>INDEX(MO_CFSum_NetShares,0,COLUMN())</f>
        <v/>
      </c>
      <c r="AK67" s="2123">
        <f>INDEX(MO_CFSum_NetShares,0,COLUMN())</f>
        <v/>
      </c>
      <c r="AL67" s="2087">
        <f>INDEX(MO_CFSum_NetShares,0,COLUMN())</f>
        <v/>
      </c>
      <c r="AM67" s="2122">
        <f>INDEX(MO_CFSum_NetShares,0,COLUMN())</f>
        <v/>
      </c>
      <c r="AN67" s="2087">
        <f>INDEX(MO_CFSum_NetShares,0,COLUMN())</f>
        <v/>
      </c>
      <c r="AO67" s="2087">
        <f>INDEX(MO_CFSum_NetShares,0,COLUMN())</f>
        <v/>
      </c>
      <c r="AP67" s="2087">
        <f>INDEX(MO_CFSum_NetShares,0,COLUMN())</f>
        <v/>
      </c>
      <c r="AQ67" s="2087">
        <f>INDEX(MO_CFSum_NetShares,0,COLUMN())</f>
        <v/>
      </c>
      <c r="AR67" s="2122">
        <f>INDEX(MO_CFSum_NetShares,0,COLUMN())</f>
        <v/>
      </c>
      <c r="AS67" s="2122">
        <f>INDEX(MO_CFSum_NetShares,0,COLUMN())</f>
        <v/>
      </c>
      <c r="AT67" s="2122">
        <f>INDEX(MO_CFSum_NetShares,0,COLUMN())</f>
        <v/>
      </c>
      <c r="AU67" s="2122">
        <f>INDEX(MO_CFSum_NetShares,0,COLUMN())</f>
        <v/>
      </c>
      <c r="AV67" s="2087" t="n"/>
    </row>
    <row r="68" ht="14.4" customFormat="1" customHeight="1" s="2088">
      <c r="A68" s="2120" t="inlineStr">
        <is>
          <t>New Debt Issuance</t>
        </is>
      </c>
      <c r="B68" s="2121" t="n"/>
      <c r="C68" s="2122" t="n"/>
      <c r="D68" s="2122" t="n"/>
      <c r="E68" s="2122" t="n"/>
      <c r="F68" s="2122" t="n"/>
      <c r="G68" s="2122" t="n"/>
      <c r="H68" s="2122" t="n"/>
      <c r="I68" s="2122" t="n"/>
      <c r="J68" s="2122" t="n"/>
      <c r="K68" s="2122" t="n"/>
      <c r="L68" s="2122" t="n"/>
      <c r="M68" s="2122" t="n"/>
      <c r="N68" s="2122" t="n"/>
      <c r="O68" s="2087" t="n"/>
      <c r="P68" s="2087" t="n"/>
      <c r="Q68" s="2087" t="n"/>
      <c r="R68" s="2087" t="n"/>
      <c r="S68" s="2122" t="n"/>
      <c r="T68" s="2087" t="n"/>
      <c r="U68" s="2087" t="n"/>
      <c r="V68" s="2087" t="n"/>
      <c r="W68" s="2087" t="n"/>
      <c r="X68" s="2122">
        <f>INDEX(MO_CFSum_NetDebtIssuance,0,COLUMN())</f>
        <v/>
      </c>
      <c r="Y68" s="2087" t="n"/>
      <c r="Z68" s="2087" t="n"/>
      <c r="AA68" s="2087">
        <f>INDEX(MO_CFSum_NetDebtIssuance,0,COLUMN())</f>
        <v/>
      </c>
      <c r="AB68" s="2087">
        <f>INDEX(MO_CFSum_NetDebtIssuance,0,COLUMN())</f>
        <v/>
      </c>
      <c r="AC68" s="2122">
        <f>INDEX(MO_CFSum_NetDebtIssuance,0,COLUMN())</f>
        <v/>
      </c>
      <c r="AD68" s="2087">
        <f>INDEX(MO_CFSum_NetDebtIssuance,0,COLUMN())</f>
        <v/>
      </c>
      <c r="AE68" s="2087">
        <f>INDEX(MO_CFSum_NetDebtIssuance,0,COLUMN())</f>
        <v/>
      </c>
      <c r="AF68" s="2087">
        <f>INDEX(MO_CFSum_NetDebtIssuance,0,COLUMN())</f>
        <v/>
      </c>
      <c r="AG68" s="2087">
        <f>INDEX(MO_CFSum_NetDebtIssuance,0,COLUMN())</f>
        <v/>
      </c>
      <c r="AH68" s="2122">
        <f>INDEX(MO_CFSum_NetDebtIssuance,0,COLUMN())</f>
        <v/>
      </c>
      <c r="AI68" s="2087">
        <f>INDEX(MO_CFSum_NetDebtIssuance,0,COLUMN())</f>
        <v/>
      </c>
      <c r="AJ68" s="2087">
        <f>INDEX(MO_CFSum_NetDebtIssuance,0,COLUMN())</f>
        <v/>
      </c>
      <c r="AK68" s="2123">
        <f>INDEX(MO_CFSum_NetDebtIssuance,0,COLUMN())</f>
        <v/>
      </c>
      <c r="AL68" s="2087">
        <f>INDEX(MO_CFSum_NetDebtIssuance,0,COLUMN())</f>
        <v/>
      </c>
      <c r="AM68" s="2122">
        <f>INDEX(MO_CFSum_NetDebtIssuance,0,COLUMN())</f>
        <v/>
      </c>
      <c r="AN68" s="2087">
        <f>INDEX(MO_CFSum_NetDebtIssuance,0,COLUMN())</f>
        <v/>
      </c>
      <c r="AO68" s="2087">
        <f>INDEX(MO_CFSum_NetDebtIssuance,0,COLUMN())</f>
        <v/>
      </c>
      <c r="AP68" s="2087">
        <f>INDEX(MO_CFSum_NetDebtIssuance,0,COLUMN())</f>
        <v/>
      </c>
      <c r="AQ68" s="2087">
        <f>INDEX(MO_CFSum_NetDebtIssuance,0,COLUMN())</f>
        <v/>
      </c>
      <c r="AR68" s="2122">
        <f>INDEX(MO_CFSum_NetDebtIssuance,0,COLUMN())</f>
        <v/>
      </c>
      <c r="AS68" s="2122">
        <f>INDEX(MO_CFSum_NetDebtIssuance,0,COLUMN())</f>
        <v/>
      </c>
      <c r="AT68" s="2122">
        <f>INDEX(MO_CFSum_NetDebtIssuance,0,COLUMN())</f>
        <v/>
      </c>
      <c r="AU68" s="2122">
        <f>INDEX(MO_CFSum_NetDebtIssuance,0,COLUMN())</f>
        <v/>
      </c>
      <c r="AV68" s="2087" t="n"/>
    </row>
    <row r="69" ht="14.4" customFormat="1" customHeight="1" s="2088">
      <c r="A69" s="2120" t="inlineStr">
        <is>
          <t>Other Items</t>
        </is>
      </c>
      <c r="B69" s="2121" t="n"/>
      <c r="C69" s="2122" t="n"/>
      <c r="D69" s="2122" t="n"/>
      <c r="E69" s="2122" t="n"/>
      <c r="F69" s="2122" t="n"/>
      <c r="G69" s="2122" t="n"/>
      <c r="H69" s="2122" t="n"/>
      <c r="I69" s="2122" t="n"/>
      <c r="J69" s="2122" t="n"/>
      <c r="K69" s="2122" t="n"/>
      <c r="L69" s="2122" t="n"/>
      <c r="M69" s="2122" t="n"/>
      <c r="N69" s="2122" t="n"/>
      <c r="O69" s="2087" t="n"/>
      <c r="P69" s="2087" t="n"/>
      <c r="Q69" s="2087" t="n"/>
      <c r="R69" s="2087" t="n"/>
      <c r="S69" s="2122" t="n"/>
      <c r="T69" s="2087" t="n"/>
      <c r="U69" s="2087" t="n"/>
      <c r="V69" s="2087" t="n"/>
      <c r="W69" s="2087" t="n"/>
      <c r="X69" s="2122">
        <f>Model!X592+Model!X593+Model!X594+Model!X595+Model!X597+Model!X598+Model!X601+Model!X609+Model!X610+Model!X616+Model!X617+Model!X618+Model!X621</f>
        <v/>
      </c>
      <c r="Y69" s="2087" t="n"/>
      <c r="Z69" s="2087" t="n"/>
      <c r="AA69" s="2087">
        <f>Model!AA592+Model!AA593+Model!AA594+Model!AA595+Model!AA597+Model!AA598+Model!AA601+Model!AA609+Model!AA610+Model!AA616+Model!AA617+Model!AA618+Model!AA621+Model!AA596</f>
        <v/>
      </c>
      <c r="AB69" s="2087">
        <f>Model!AB592+Model!AB593+Model!AB594+Model!AB595+Model!AB597+Model!AB598+Model!AB601+Model!AB609+Model!AB610+Model!AB616+Model!AB617+Model!AB618+Model!AB621+Model!AB596</f>
        <v/>
      </c>
      <c r="AC69" s="2122">
        <f>Model!AC592+Model!AC593+Model!AC594+Model!AC595+Model!AC597+Model!AC598+Model!AC601+Model!AC609+Model!AC610+Model!AC616+Model!AC617+Model!AC618+Model!AC621+Model!AC596</f>
        <v/>
      </c>
      <c r="AD69" s="2087">
        <f>Model!AD592+Model!AD593+Model!AD594+Model!AD595+Model!AD597+Model!AD598+Model!AD601+Model!AD609+Model!AD610+Model!AD616+Model!AD617+Model!AD618+Model!AD621+Model!AD596</f>
        <v/>
      </c>
      <c r="AE69" s="2087">
        <f>Model!AE592+Model!AE593+Model!AE594+Model!AE595+Model!AE597+Model!AE598+Model!AE601+Model!AE609+Model!AE610+Model!AE616+Model!AE617+Model!AE618+Model!AE621+Model!AE596</f>
        <v/>
      </c>
      <c r="AF69" s="2087">
        <f>Model!AF592+Model!AF593+Model!AF594+Model!AF595+Model!AF597+Model!AF598+Model!AF601+Model!AF609+Model!AF610+Model!AF616+Model!AF617+Model!AF618+Model!AF621+Model!AF596</f>
        <v/>
      </c>
      <c r="AG69" s="2087">
        <f>Model!AG592+Model!AG593+Model!AG594+Model!AG595+Model!AG597+Model!AG598+Model!AG601+Model!AG609+Model!AG610+Model!AG616+Model!AG617+Model!AG618+Model!AG621+Model!AG596</f>
        <v/>
      </c>
      <c r="AH69" s="2122">
        <f>Model!AH592+Model!AH593+Model!AH594+Model!AH595+Model!AH597+Model!AH598+Model!AH601+Model!AH609+Model!AH610+Model!AH616+Model!AH617+Model!AH618+Model!AH621+Model!AH596</f>
        <v/>
      </c>
      <c r="AI69" s="2087">
        <f>Model!AI592+Model!AI593+Model!AI594+Model!AI595+Model!AI597+Model!AI598+Model!AI601+Model!AI609+Model!AI610+Model!AI616+Model!AI617+Model!AI618+Model!AI621+Model!AI596</f>
        <v/>
      </c>
      <c r="AJ69" s="2087">
        <f>Model!AJ592+Model!AJ593+Model!AJ594+Model!AJ595+Model!AJ597+Model!AJ598+Model!AJ601+Model!AJ609+Model!AJ610+Model!AJ616+Model!AJ617+Model!AJ618+Model!AJ621+Model!AJ596</f>
        <v/>
      </c>
      <c r="AK69" s="2123">
        <f>Model!AK592+Model!AK593+Model!AK594+Model!AK595+Model!AK597+Model!AK598+Model!AK601+Model!AK609+Model!AK610+Model!AK616+Model!AK617+Model!AK618+Model!AK621+Model!AK596</f>
        <v/>
      </c>
      <c r="AL69" s="2087">
        <f>Model!AL592+Model!AL593+Model!AL594+Model!AL595+Model!AL597+Model!AL598+Model!AL601+Model!AL609+Model!AL610+Model!AL616+Model!AL617+Model!AL618+Model!AL621+Model!AL596</f>
        <v/>
      </c>
      <c r="AM69" s="2122">
        <f>Model!AM592+Model!AM593+Model!AM594+Model!AM595+Model!AM597+Model!AM598+Model!AM601+Model!AM609+Model!AM610+Model!AM616+Model!AM617+Model!AM618+Model!AM621+Model!AM596</f>
        <v/>
      </c>
      <c r="AN69" s="2087">
        <f>Model!AN592+Model!AN593+Model!AN594+Model!AN595+Model!AN597+Model!AN598+Model!AN601+Model!AN609+Model!AN610+Model!AN616+Model!AN617+Model!AN618+Model!AN621+Model!AN596</f>
        <v/>
      </c>
      <c r="AO69" s="2087">
        <f>Model!AO592+Model!AO593+Model!AO594+Model!AO595+Model!AO597+Model!AO598+Model!AO601+Model!AO609+Model!AO610+Model!AO616+Model!AO617+Model!AO618+Model!AO621+Model!AO596</f>
        <v/>
      </c>
      <c r="AP69" s="2087">
        <f>Model!AP592+Model!AP593+Model!AP594+Model!AP595+Model!AP597+Model!AP598+Model!AP601+Model!AP609+Model!AP610+Model!AP616+Model!AP617+Model!AP618+Model!AP621+Model!AP596</f>
        <v/>
      </c>
      <c r="AQ69" s="2087">
        <f>Model!AQ592+Model!AQ593+Model!AQ594+Model!AQ595+Model!AQ597+Model!AQ598+Model!AQ601+Model!AQ609+Model!AQ610+Model!AQ616+Model!AQ617+Model!AQ618+Model!AQ621+Model!AQ596</f>
        <v/>
      </c>
      <c r="AR69" s="2122">
        <f>Model!AR592+Model!AR593+Model!AR594+Model!AR595+Model!AR597+Model!AR598+Model!AR601+Model!AR609+Model!AR610+Model!AR616+Model!AR617+Model!AR618+Model!AR621+Model!AR596</f>
        <v/>
      </c>
      <c r="AS69" s="2122">
        <f>Model!AS592+Model!AS593+Model!AS594+Model!AS595+Model!AS597+Model!AS598+Model!AS601+Model!AS609+Model!AS610+Model!AS616+Model!AS617+Model!AS618+Model!AS621+Model!AS596</f>
        <v/>
      </c>
      <c r="AT69" s="2122">
        <f>Model!AT592+Model!AT593+Model!AT594+Model!AT595+Model!AT597+Model!AT598+Model!AT601+Model!AT609+Model!AT610+Model!AT616+Model!AT617+Model!AT618+Model!AT621+Model!AT596</f>
        <v/>
      </c>
      <c r="AU69" s="2122">
        <f>Model!AU592+Model!AU593+Model!AU594+Model!AU595+Model!AU597+Model!AU598+Model!AU601+Model!AU609+Model!AU610+Model!AU616+Model!AU617+Model!AU618+Model!AU621+Model!AU596</f>
        <v/>
      </c>
      <c r="AV69" s="2087" t="n"/>
    </row>
    <row r="70" ht="14.4" customFormat="1" customHeight="1" s="2113">
      <c r="A70" s="2114" t="inlineStr">
        <is>
          <t>Change in Cash Position</t>
        </is>
      </c>
      <c r="B70" s="2115" t="n"/>
      <c r="C70" s="2116" t="n"/>
      <c r="D70" s="2116" t="n"/>
      <c r="E70" s="2116" t="n"/>
      <c r="F70" s="2116" t="n"/>
      <c r="G70" s="2116" t="n"/>
      <c r="H70" s="2116" t="n"/>
      <c r="I70" s="2116" t="n"/>
      <c r="J70" s="2116" t="n"/>
      <c r="K70" s="2116" t="n"/>
      <c r="L70" s="2116" t="n"/>
      <c r="M70" s="2116" t="n"/>
      <c r="N70" s="2116" t="n"/>
      <c r="O70" s="2117" t="n"/>
      <c r="P70" s="2117" t="n"/>
      <c r="Q70" s="2117" t="n"/>
      <c r="R70" s="2117" t="n"/>
      <c r="S70" s="2116" t="n"/>
      <c r="T70" s="2117" t="n"/>
      <c r="U70" s="2117" t="n"/>
      <c r="V70" s="2117" t="n"/>
      <c r="W70" s="2117" t="n"/>
      <c r="X70" s="2116">
        <f>SUM(X64:X69)</f>
        <v/>
      </c>
      <c r="Y70" s="2117" t="n"/>
      <c r="Z70" s="2117" t="n"/>
      <c r="AA70" s="2117">
        <f>SUM(AA64:AA69)</f>
        <v/>
      </c>
      <c r="AB70" s="2117">
        <f>SUM(AB64:AB69)</f>
        <v/>
      </c>
      <c r="AC70" s="2116">
        <f>SUM(AC64:AC69)</f>
        <v/>
      </c>
      <c r="AD70" s="2117">
        <f>SUM(AD64:AD69)</f>
        <v/>
      </c>
      <c r="AE70" s="2117">
        <f>SUM(AE64:AE69)</f>
        <v/>
      </c>
      <c r="AF70" s="2117">
        <f>SUM(AF64:AF69)</f>
        <v/>
      </c>
      <c r="AG70" s="2117">
        <f>SUM(AG64:AG69)</f>
        <v/>
      </c>
      <c r="AH70" s="2116">
        <f>SUM(AH64:AH69)</f>
        <v/>
      </c>
      <c r="AI70" s="2117">
        <f>SUM(AI64:AI69)</f>
        <v/>
      </c>
      <c r="AJ70" s="2117">
        <f>SUM(AJ64:AJ69)</f>
        <v/>
      </c>
      <c r="AK70" s="2118">
        <f>SUM(AK64:AK69)</f>
        <v/>
      </c>
      <c r="AL70" s="2117">
        <f>SUM(AL64:AL69)</f>
        <v/>
      </c>
      <c r="AM70" s="2116">
        <f>SUM(AM64:AM69)</f>
        <v/>
      </c>
      <c r="AN70" s="2117">
        <f>SUM(AN64:AN69)</f>
        <v/>
      </c>
      <c r="AO70" s="2117">
        <f>SUM(AO64:AO69)</f>
        <v/>
      </c>
      <c r="AP70" s="2117">
        <f>SUM(AP64:AP69)</f>
        <v/>
      </c>
      <c r="AQ70" s="2117">
        <f>SUM(AQ64:AQ69)</f>
        <v/>
      </c>
      <c r="AR70" s="2116">
        <f>SUM(AR64:AR69)</f>
        <v/>
      </c>
      <c r="AS70" s="2116">
        <f>SUM(AS64:AS69)</f>
        <v/>
      </c>
      <c r="AT70" s="2116">
        <f>SUM(AT64:AT69)</f>
        <v/>
      </c>
      <c r="AU70" s="2116">
        <f>SUM(AU64:AU69)</f>
        <v/>
      </c>
      <c r="AV70" s="2119" t="n"/>
    </row>
    <row r="71" ht="14.4" customFormat="1" customHeight="1" s="2113">
      <c r="A71" s="2100" t="n"/>
      <c r="B71" s="2124" t="n"/>
      <c r="C71" s="2125" t="n"/>
      <c r="D71" s="2125" t="n"/>
      <c r="E71" s="2125" t="n"/>
      <c r="F71" s="2125" t="n"/>
      <c r="G71" s="2125" t="n"/>
      <c r="H71" s="2125" t="n"/>
      <c r="I71" s="2125" t="n"/>
      <c r="J71" s="2125" t="n"/>
      <c r="K71" s="2125" t="n"/>
      <c r="L71" s="2125" t="n"/>
      <c r="M71" s="2125" t="n"/>
      <c r="N71" s="2125" t="n"/>
      <c r="O71" s="2119" t="n"/>
      <c r="P71" s="2119" t="n"/>
      <c r="Q71" s="2119" t="n"/>
      <c r="R71" s="2119" t="n"/>
      <c r="S71" s="2125" t="n"/>
      <c r="T71" s="2119" t="n"/>
      <c r="U71" s="2119" t="n"/>
      <c r="V71" s="2119" t="n"/>
      <c r="W71" s="2119" t="n"/>
      <c r="X71" s="2125" t="n"/>
      <c r="Y71" s="2119" t="n"/>
      <c r="Z71" s="2119" t="n"/>
      <c r="AA71" s="2119" t="n"/>
      <c r="AB71" s="2119" t="n"/>
      <c r="AC71" s="2125" t="n"/>
      <c r="AD71" s="2119" t="n"/>
      <c r="AE71" s="2119" t="n"/>
      <c r="AF71" s="2119" t="n"/>
      <c r="AG71" s="2119" t="n"/>
      <c r="AH71" s="2125" t="n"/>
      <c r="AI71" s="2119" t="n"/>
      <c r="AJ71" s="2119" t="n"/>
      <c r="AK71" s="2126" t="n"/>
      <c r="AL71" s="2119" t="n"/>
      <c r="AM71" s="2125" t="n"/>
      <c r="AN71" s="2119" t="n"/>
      <c r="AO71" s="2119" t="n"/>
      <c r="AP71" s="2119" t="n"/>
      <c r="AQ71" s="2119" t="n"/>
      <c r="AR71" s="2125" t="n"/>
      <c r="AS71" s="2125" t="n"/>
      <c r="AT71" s="2125" t="n"/>
      <c r="AU71" s="2125" t="n"/>
      <c r="AV71" s="2119" t="n"/>
    </row>
    <row r="72" ht="14.4" customFormat="1" customHeight="1" s="2098">
      <c r="A72" s="2164" t="inlineStr">
        <is>
          <t>Operating Cash Flow Per Share</t>
        </is>
      </c>
      <c r="B72" s="2165" t="n"/>
      <c r="C72" s="2158" t="n"/>
      <c r="D72" s="2158" t="n"/>
      <c r="E72" s="2158" t="n"/>
      <c r="F72" s="2158" t="n"/>
      <c r="G72" s="2158" t="n"/>
      <c r="H72" s="2158" t="n"/>
      <c r="I72" s="2158" t="n"/>
      <c r="J72" s="2158" t="n"/>
      <c r="K72" s="2158" t="n"/>
      <c r="L72" s="2158" t="n"/>
      <c r="M72" s="2158" t="n"/>
      <c r="N72" s="2158" t="n"/>
      <c r="O72" s="2112" t="n"/>
      <c r="P72" s="2112" t="n"/>
      <c r="Q72" s="2112" t="n"/>
      <c r="R72" s="2112" t="n"/>
      <c r="S72" s="2158" t="n"/>
      <c r="T72" s="2112" t="n"/>
      <c r="U72" s="2112" t="n"/>
      <c r="V72" s="2112" t="n"/>
      <c r="W72" s="2112" t="n"/>
      <c r="X72" s="2158">
        <f>INDEX(SP_CFA_CFO,0,COLUMN())/INDEX(SP_CS_ShareCount_EoP_Diluted,0,COLUMN())</f>
        <v/>
      </c>
      <c r="Y72" s="2112" t="n"/>
      <c r="Z72" s="2112" t="n"/>
      <c r="AA72" s="2112">
        <f>INDEX(SP_CFA_CFO,0,COLUMN())/INDEX(SP_CS_ShareCount_EoP_Diluted,0,COLUMN())</f>
        <v/>
      </c>
      <c r="AB72" s="2112">
        <f>INDEX(SP_CFA_CFO,0,COLUMN())/INDEX(SP_CS_ShareCount_EoP_Diluted,0,COLUMN())</f>
        <v/>
      </c>
      <c r="AC72" s="2158">
        <f>INDEX(SP_CFA_CFO,0,COLUMN())/INDEX(SP_CS_ShareCount_EoP_Diluted,0,COLUMN())</f>
        <v/>
      </c>
      <c r="AD72" s="2112">
        <f>INDEX(SP_CFA_CFO,0,COLUMN())/INDEX(SP_CS_ShareCount_EoP_Diluted,0,COLUMN())</f>
        <v/>
      </c>
      <c r="AE72" s="2112">
        <f>INDEX(SP_CFA_CFO,0,COLUMN())/INDEX(SP_CS_ShareCount_EoP_Diluted,0,COLUMN())</f>
        <v/>
      </c>
      <c r="AF72" s="2112">
        <f>INDEX(SP_CFA_CFO,0,COLUMN())/INDEX(SP_CS_ShareCount_EoP_Diluted,0,COLUMN())</f>
        <v/>
      </c>
      <c r="AG72" s="2112">
        <f>INDEX(SP_CFA_CFO,0,COLUMN())/INDEX(SP_CS_ShareCount_EoP_Diluted,0,COLUMN())</f>
        <v/>
      </c>
      <c r="AH72" s="2158">
        <f>INDEX(SP_CFA_CFO,0,COLUMN())/INDEX(SP_CS_ShareCount_EoP_Diluted,0,COLUMN())</f>
        <v/>
      </c>
      <c r="AI72" s="2112">
        <f>INDEX(SP_CFA_CFO,0,COLUMN())/INDEX(SP_CS_ShareCount_EoP_Diluted,0,COLUMN())</f>
        <v/>
      </c>
      <c r="AJ72" s="2112">
        <f>INDEX(SP_CFA_CFO,0,COLUMN())/INDEX(SP_CS_ShareCount_EoP_Diluted,0,COLUMN())</f>
        <v/>
      </c>
      <c r="AK72" s="2159">
        <f>INDEX(SP_CFA_CFO,0,COLUMN())/INDEX(SP_CS_ShareCount_EoP_Diluted,0,COLUMN())</f>
        <v/>
      </c>
      <c r="AL72" s="2112">
        <f>INDEX(SP_CFA_CFO,0,COLUMN())/INDEX(SP_CS_ShareCount_EoP_Diluted,0,COLUMN())</f>
        <v/>
      </c>
      <c r="AM72" s="2158">
        <f>INDEX(SP_CFA_CFO,0,COLUMN())/INDEX(SP_CS_ShareCount_EoP_Diluted,0,COLUMN())</f>
        <v/>
      </c>
      <c r="AN72" s="2112">
        <f>INDEX(SP_CFA_CFO,0,COLUMN())/INDEX(SP_CS_ShareCount_EoP_Diluted,0,COLUMN())</f>
        <v/>
      </c>
      <c r="AO72" s="2112">
        <f>INDEX(SP_CFA_CFO,0,COLUMN())/INDEX(SP_CS_ShareCount_EoP_Diluted,0,COLUMN())</f>
        <v/>
      </c>
      <c r="AP72" s="2112">
        <f>INDEX(SP_CFA_CFO,0,COLUMN())/INDEX(SP_CS_ShareCount_EoP_Diluted,0,COLUMN())</f>
        <v/>
      </c>
      <c r="AQ72" s="2112">
        <f>INDEX(SP_CFA_CFO,0,COLUMN())/INDEX(SP_CS_ShareCount_EoP_Diluted,0,COLUMN())</f>
        <v/>
      </c>
      <c r="AR72" s="2158">
        <f>INDEX(SP_CFA_CFO,0,COLUMN())/INDEX(SP_CS_ShareCount_EoP_Diluted,0,COLUMN())</f>
        <v/>
      </c>
      <c r="AS72" s="2158">
        <f>INDEX(SP_CFA_CFO,0,COLUMN())/INDEX(SP_CS_ShareCount_EoP_Diluted,0,COLUMN())</f>
        <v/>
      </c>
      <c r="AT72" s="2158">
        <f>INDEX(SP_CFA_CFO,0,COLUMN())/INDEX(SP_CS_ShareCount_EoP_Diluted,0,COLUMN())</f>
        <v/>
      </c>
      <c r="AU72" s="2158">
        <f>INDEX(SP_CFA_CFO,0,COLUMN())/INDEX(SP_CS_ShareCount_EoP_Diluted,0,COLUMN())</f>
        <v/>
      </c>
      <c r="AV72" s="2112" t="n"/>
    </row>
    <row r="73" ht="14.4" customFormat="1" customHeight="1" s="2098">
      <c r="A73" s="2164" t="inlineStr">
        <is>
          <t>Core Free Cash Flow Per Share, Pre Div</t>
        </is>
      </c>
      <c r="B73" s="2165" t="n"/>
      <c r="C73" s="2158" t="n"/>
      <c r="D73" s="2158" t="n"/>
      <c r="E73" s="2158" t="n"/>
      <c r="F73" s="2158" t="n"/>
      <c r="G73" s="2158" t="n"/>
      <c r="H73" s="2158" t="n"/>
      <c r="I73" s="2158" t="n"/>
      <c r="J73" s="2158" t="n"/>
      <c r="K73" s="2158" t="n"/>
      <c r="L73" s="2158" t="n"/>
      <c r="M73" s="2158" t="n"/>
      <c r="N73" s="2158" t="n"/>
      <c r="O73" s="2112" t="n"/>
      <c r="P73" s="2112" t="n"/>
      <c r="Q73" s="2112" t="n"/>
      <c r="R73" s="2112" t="n"/>
      <c r="S73" s="2158" t="n"/>
      <c r="T73" s="2112" t="n"/>
      <c r="U73" s="2112" t="n"/>
      <c r="V73" s="2112" t="n"/>
      <c r="W73" s="2112" t="n"/>
      <c r="X73" s="2158">
        <f>INDEX(SP_CFA_FCF_PreDiv,0,COLUMN())/INDEX(SP_CS_ShareCount_EoP_Diluted,0,COLUMN())</f>
        <v/>
      </c>
      <c r="Y73" s="2112" t="n"/>
      <c r="Z73" s="2112" t="n"/>
      <c r="AA73" s="2112">
        <f>INDEX(SP_CFA_FCF_PreDiv,0,COLUMN())/INDEX(SP_CS_ShareCount_EoP_Diluted,0,COLUMN())</f>
        <v/>
      </c>
      <c r="AB73" s="2112">
        <f>INDEX(SP_CFA_FCF_PreDiv,0,COLUMN())/INDEX(SP_CS_ShareCount_EoP_Diluted,0,COLUMN())</f>
        <v/>
      </c>
      <c r="AC73" s="2158">
        <f>INDEX(SP_CFA_FCF_PreDiv,0,COLUMN())/INDEX(SP_CS_ShareCount_EoP_Diluted,0,COLUMN())</f>
        <v/>
      </c>
      <c r="AD73" s="2112">
        <f>INDEX(SP_CFA_FCF_PreDiv,0,COLUMN())/INDEX(SP_CS_ShareCount_EoP_Diluted,0,COLUMN())</f>
        <v/>
      </c>
      <c r="AE73" s="2112">
        <f>INDEX(SP_CFA_FCF_PreDiv,0,COLUMN())/INDEX(SP_CS_ShareCount_EoP_Diluted,0,COLUMN())</f>
        <v/>
      </c>
      <c r="AF73" s="2112">
        <f>INDEX(SP_CFA_FCF_PreDiv,0,COLUMN())/INDEX(SP_CS_ShareCount_EoP_Diluted,0,COLUMN())</f>
        <v/>
      </c>
      <c r="AG73" s="2112">
        <f>INDEX(SP_CFA_FCF_PreDiv,0,COLUMN())/INDEX(SP_CS_ShareCount_EoP_Diluted,0,COLUMN())</f>
        <v/>
      </c>
      <c r="AH73" s="2158">
        <f>INDEX(SP_CFA_FCF_PreDiv,0,COLUMN())/INDEX(SP_CS_ShareCount_EoP_Diluted,0,COLUMN())</f>
        <v/>
      </c>
      <c r="AI73" s="2112">
        <f>INDEX(SP_CFA_FCF_PreDiv,0,COLUMN())/INDEX(SP_CS_ShareCount_EoP_Diluted,0,COLUMN())</f>
        <v/>
      </c>
      <c r="AJ73" s="2112">
        <f>INDEX(SP_CFA_FCF_PreDiv,0,COLUMN())/INDEX(SP_CS_ShareCount_EoP_Diluted,0,COLUMN())</f>
        <v/>
      </c>
      <c r="AK73" s="2159">
        <f>INDEX(SP_CFA_FCF_PreDiv,0,COLUMN())/INDEX(SP_CS_ShareCount_EoP_Diluted,0,COLUMN())</f>
        <v/>
      </c>
      <c r="AL73" s="2112">
        <f>INDEX(SP_CFA_FCF_PreDiv,0,COLUMN())/INDEX(SP_CS_ShareCount_EoP_Diluted,0,COLUMN())</f>
        <v/>
      </c>
      <c r="AM73" s="2158">
        <f>INDEX(SP_CFA_FCF_PreDiv,0,COLUMN())/INDEX(SP_CS_ShareCount_EoP_Diluted,0,COLUMN())</f>
        <v/>
      </c>
      <c r="AN73" s="2112">
        <f>INDEX(SP_CFA_FCF_PreDiv,0,COLUMN())/INDEX(SP_CS_ShareCount_EoP_Diluted,0,COLUMN())</f>
        <v/>
      </c>
      <c r="AO73" s="2112">
        <f>INDEX(SP_CFA_FCF_PreDiv,0,COLUMN())/INDEX(SP_CS_ShareCount_EoP_Diluted,0,COLUMN())</f>
        <v/>
      </c>
      <c r="AP73" s="2112">
        <f>INDEX(SP_CFA_FCF_PreDiv,0,COLUMN())/INDEX(SP_CS_ShareCount_EoP_Diluted,0,COLUMN())</f>
        <v/>
      </c>
      <c r="AQ73" s="2112">
        <f>INDEX(SP_CFA_FCF_PreDiv,0,COLUMN())/INDEX(SP_CS_ShareCount_EoP_Diluted,0,COLUMN())</f>
        <v/>
      </c>
      <c r="AR73" s="2158">
        <f>INDEX(SP_CFA_FCF_PreDiv,0,COLUMN())/INDEX(SP_CS_ShareCount_EoP_Diluted,0,COLUMN())</f>
        <v/>
      </c>
      <c r="AS73" s="2158">
        <f>INDEX(SP_CFA_FCF_PreDiv,0,COLUMN())/INDEX(SP_CS_ShareCount_EoP_Diluted,0,COLUMN())</f>
        <v/>
      </c>
      <c r="AT73" s="2158">
        <f>INDEX(SP_CFA_FCF_PreDiv,0,COLUMN())/INDEX(SP_CS_ShareCount_EoP_Diluted,0,COLUMN())</f>
        <v/>
      </c>
      <c r="AU73" s="2158">
        <f>INDEX(SP_CFA_FCF_PreDiv,0,COLUMN())/INDEX(SP_CS_ShareCount_EoP_Diluted,0,COLUMN())</f>
        <v/>
      </c>
      <c r="AV73" s="2112" t="n"/>
    </row>
    <row r="74" ht="14.4" customFormat="1" customHeight="1" s="2098">
      <c r="A74" s="2164" t="inlineStr">
        <is>
          <t>Dividend Per Share</t>
        </is>
      </c>
      <c r="B74" s="2165" t="n"/>
      <c r="C74" s="2158" t="n"/>
      <c r="D74" s="2158" t="n"/>
      <c r="E74" s="2158" t="n"/>
      <c r="F74" s="2158" t="n"/>
      <c r="G74" s="2158" t="n"/>
      <c r="H74" s="2158" t="n"/>
      <c r="I74" s="2158" t="n"/>
      <c r="J74" s="2158" t="n"/>
      <c r="K74" s="2158" t="n"/>
      <c r="L74" s="2158" t="n"/>
      <c r="M74" s="2158" t="n"/>
      <c r="N74" s="2158" t="n"/>
      <c r="O74" s="2112" t="n"/>
      <c r="P74" s="2112" t="n"/>
      <c r="Q74" s="2112" t="n"/>
      <c r="R74" s="2112" t="n"/>
      <c r="S74" s="2158" t="n"/>
      <c r="T74" s="2112" t="n"/>
      <c r="U74" s="2112" t="n"/>
      <c r="V74" s="2112" t="n"/>
      <c r="W74" s="2112" t="n"/>
      <c r="X74" s="2158">
        <f>INDEX(MO_CFSum_DPS,0,COLUMN())</f>
        <v/>
      </c>
      <c r="Y74" s="2112" t="n"/>
      <c r="Z74" s="2112" t="n"/>
      <c r="AA74" s="2112">
        <f>INDEX(MO_CFSum_DPS,0,COLUMN())</f>
        <v/>
      </c>
      <c r="AB74" s="2112">
        <f>INDEX(MO_CFSum_DPS,0,COLUMN())</f>
        <v/>
      </c>
      <c r="AC74" s="2158">
        <f>INDEX(MO_CFSum_DPS,0,COLUMN())</f>
        <v/>
      </c>
      <c r="AD74" s="2112">
        <f>INDEX(MO_CFSum_DPS,0,COLUMN())</f>
        <v/>
      </c>
      <c r="AE74" s="2112">
        <f>INDEX(MO_CFSum_DPS,0,COLUMN())</f>
        <v/>
      </c>
      <c r="AF74" s="2112">
        <f>INDEX(MO_CFSum_DPS,0,COLUMN())</f>
        <v/>
      </c>
      <c r="AG74" s="2112">
        <f>INDEX(MO_CFSum_DPS,0,COLUMN())</f>
        <v/>
      </c>
      <c r="AH74" s="2158">
        <f>INDEX(MO_CFSum_DPS,0,COLUMN())</f>
        <v/>
      </c>
      <c r="AI74" s="2112">
        <f>INDEX(MO_CFSum_DPS,0,COLUMN())</f>
        <v/>
      </c>
      <c r="AJ74" s="2112">
        <f>INDEX(MO_CFSum_DPS,0,COLUMN())</f>
        <v/>
      </c>
      <c r="AK74" s="2159">
        <f>INDEX(MO_CFSum_DPS,0,COLUMN())</f>
        <v/>
      </c>
      <c r="AL74" s="2112">
        <f>INDEX(MO_CFSum_DPS,0,COLUMN())</f>
        <v/>
      </c>
      <c r="AM74" s="2158">
        <f>INDEX(MO_CFSum_DPS,0,COLUMN())</f>
        <v/>
      </c>
      <c r="AN74" s="2112">
        <f>INDEX(MO_CFSum_DPS,0,COLUMN())</f>
        <v/>
      </c>
      <c r="AO74" s="2112">
        <f>INDEX(MO_CFSum_DPS,0,COLUMN())</f>
        <v/>
      </c>
      <c r="AP74" s="2112">
        <f>INDEX(MO_CFSum_DPS,0,COLUMN())</f>
        <v/>
      </c>
      <c r="AQ74" s="2112">
        <f>INDEX(MO_CFSum_DPS,0,COLUMN())</f>
        <v/>
      </c>
      <c r="AR74" s="2158">
        <f>INDEX(MO_CFSum_DPS,0,COLUMN())</f>
        <v/>
      </c>
      <c r="AS74" s="2158">
        <f>INDEX(MO_CFSum_DPS,0,COLUMN())</f>
        <v/>
      </c>
      <c r="AT74" s="2158">
        <f>INDEX(MO_CFSum_DPS,0,COLUMN())</f>
        <v/>
      </c>
      <c r="AU74" s="2158">
        <f>INDEX(MO_CFSum_DPS,0,COLUMN())</f>
        <v/>
      </c>
      <c r="AV74" s="2112" t="n"/>
    </row>
    <row r="75" ht="14.4" customFormat="1" customHeight="1" s="2185">
      <c r="A75" s="2186" t="inlineStr">
        <is>
          <t>Dividend Payout Ratio vs Core FCF, Pre Div</t>
        </is>
      </c>
      <c r="B75" s="2187" t="n"/>
      <c r="C75" s="2188" t="n"/>
      <c r="D75" s="2188" t="n"/>
      <c r="E75" s="2188" t="n"/>
      <c r="F75" s="2188" t="n"/>
      <c r="G75" s="2188" t="n"/>
      <c r="H75" s="2188" t="n"/>
      <c r="I75" s="2188" t="n"/>
      <c r="J75" s="2188" t="n"/>
      <c r="K75" s="2188" t="n"/>
      <c r="L75" s="2188" t="n"/>
      <c r="M75" s="2188" t="n"/>
      <c r="N75" s="2188" t="n"/>
      <c r="O75" s="2189" t="n"/>
      <c r="P75" s="2189" t="n"/>
      <c r="Q75" s="2189" t="n"/>
      <c r="R75" s="2189" t="n"/>
      <c r="S75" s="2188" t="n"/>
      <c r="T75" s="2189" t="n"/>
      <c r="U75" s="2189" t="n"/>
      <c r="V75" s="2189" t="n"/>
      <c r="W75" s="2189" t="n"/>
      <c r="X75" s="2188">
        <f>X74/X73</f>
        <v/>
      </c>
      <c r="Y75" s="2189" t="n"/>
      <c r="Z75" s="2189" t="n"/>
      <c r="AA75" s="2189">
        <f>AA74/AA73</f>
        <v/>
      </c>
      <c r="AB75" s="2189">
        <f>AB74/AB73</f>
        <v/>
      </c>
      <c r="AC75" s="2188">
        <f>AC74/AC73</f>
        <v/>
      </c>
      <c r="AD75" s="2189">
        <f>AD74/AD73</f>
        <v/>
      </c>
      <c r="AE75" s="2189">
        <f>AE74/AE73</f>
        <v/>
      </c>
      <c r="AF75" s="2189">
        <f>AF74/AF73</f>
        <v/>
      </c>
      <c r="AG75" s="2189">
        <f>AG74/AG73</f>
        <v/>
      </c>
      <c r="AH75" s="2188">
        <f>AH74/AH73</f>
        <v/>
      </c>
      <c r="AI75" s="2189">
        <f>AI74/AI73</f>
        <v/>
      </c>
      <c r="AJ75" s="2189">
        <f>AJ74/AJ73</f>
        <v/>
      </c>
      <c r="AK75" s="2190">
        <f>AK74/AK73</f>
        <v/>
      </c>
      <c r="AL75" s="2189">
        <f>AL74/AL73</f>
        <v/>
      </c>
      <c r="AM75" s="2188">
        <f>AM74/AM73</f>
        <v/>
      </c>
      <c r="AN75" s="2189">
        <f>AN74/AN73</f>
        <v/>
      </c>
      <c r="AO75" s="2189">
        <f>AO74/AO73</f>
        <v/>
      </c>
      <c r="AP75" s="2189">
        <f>AP74/AP73</f>
        <v/>
      </c>
      <c r="AQ75" s="2189">
        <f>AQ74/AQ73</f>
        <v/>
      </c>
      <c r="AR75" s="2188">
        <f>AR74/AR73</f>
        <v/>
      </c>
      <c r="AS75" s="2188">
        <f>AS74/AS73</f>
        <v/>
      </c>
      <c r="AT75" s="2188">
        <f>AT74/AT73</f>
        <v/>
      </c>
      <c r="AU75" s="2188">
        <f>AU74/AU73</f>
        <v/>
      </c>
      <c r="AV75" s="2191" t="n"/>
    </row>
    <row r="76" ht="14.4" customFormat="1" customHeight="1" s="2185">
      <c r="A76" s="2186" t="inlineStr">
        <is>
          <t>Dividend Payout Ratio vs Earnings Per Share</t>
        </is>
      </c>
      <c r="B76" s="2187" t="n"/>
      <c r="C76" s="2188" t="n"/>
      <c r="D76" s="2188" t="n"/>
      <c r="E76" s="2188" t="n"/>
      <c r="F76" s="2188" t="n"/>
      <c r="G76" s="2188" t="n"/>
      <c r="H76" s="2188" t="n"/>
      <c r="I76" s="2188" t="n"/>
      <c r="J76" s="2188" t="n"/>
      <c r="K76" s="2188" t="n"/>
      <c r="L76" s="2188" t="n"/>
      <c r="M76" s="2188" t="n"/>
      <c r="N76" s="2188" t="n"/>
      <c r="O76" s="2189" t="n"/>
      <c r="P76" s="2189" t="n"/>
      <c r="Q76" s="2189" t="n"/>
      <c r="R76" s="2189" t="n"/>
      <c r="S76" s="2188" t="n"/>
      <c r="T76" s="2189" t="n"/>
      <c r="U76" s="2189" t="n"/>
      <c r="V76" s="2189" t="n"/>
      <c r="W76" s="2189" t="n"/>
      <c r="X76" s="2188">
        <f>X74/X47</f>
        <v/>
      </c>
      <c r="Y76" s="2189" t="n"/>
      <c r="Z76" s="2189" t="n"/>
      <c r="AA76" s="2189">
        <f>AA74/AA47</f>
        <v/>
      </c>
      <c r="AB76" s="2189">
        <f>AB74/AB47</f>
        <v/>
      </c>
      <c r="AC76" s="2188">
        <f>AC74/AC47</f>
        <v/>
      </c>
      <c r="AD76" s="2189">
        <f>AD74/AD47</f>
        <v/>
      </c>
      <c r="AE76" s="2189">
        <f>AE74/AE47</f>
        <v/>
      </c>
      <c r="AF76" s="2189">
        <f>AF74/AF47</f>
        <v/>
      </c>
      <c r="AG76" s="2189">
        <f>AG74/AG47</f>
        <v/>
      </c>
      <c r="AH76" s="2188">
        <f>AH74/AH47</f>
        <v/>
      </c>
      <c r="AI76" s="2189">
        <f>AI74/AI47</f>
        <v/>
      </c>
      <c r="AJ76" s="2189">
        <f>AJ74/AJ47</f>
        <v/>
      </c>
      <c r="AK76" s="2190">
        <f>AK74/AK47</f>
        <v/>
      </c>
      <c r="AL76" s="2189">
        <f>AL74/AL47</f>
        <v/>
      </c>
      <c r="AM76" s="2188">
        <f>AM74/AM47</f>
        <v/>
      </c>
      <c r="AN76" s="2189">
        <f>AN74/AN47</f>
        <v/>
      </c>
      <c r="AO76" s="2189">
        <f>AO74/AO47</f>
        <v/>
      </c>
      <c r="AP76" s="2189">
        <f>AP74/AP47</f>
        <v/>
      </c>
      <c r="AQ76" s="2189">
        <f>AQ74/AQ47</f>
        <v/>
      </c>
      <c r="AR76" s="2188">
        <f>AR74/AR47</f>
        <v/>
      </c>
      <c r="AS76" s="2188">
        <f>AS74/AS47</f>
        <v/>
      </c>
      <c r="AT76" s="2188">
        <f>AT74/AT47</f>
        <v/>
      </c>
      <c r="AU76" s="2188">
        <f>AU74/AU47</f>
        <v/>
      </c>
      <c r="AV76" s="2191" t="n"/>
    </row>
    <row r="77" ht="14.4" customFormat="1" customHeight="1" s="2098">
      <c r="A77" s="2164" t="n"/>
      <c r="B77" s="2165" t="n"/>
      <c r="C77" s="2158" t="n"/>
      <c r="D77" s="2158" t="n"/>
      <c r="E77" s="2158" t="n"/>
      <c r="F77" s="2158" t="n"/>
      <c r="G77" s="2158" t="n"/>
      <c r="H77" s="2158" t="n"/>
      <c r="I77" s="2158" t="n"/>
      <c r="J77" s="2158" t="n"/>
      <c r="K77" s="2158" t="n"/>
      <c r="L77" s="2158" t="n"/>
      <c r="M77" s="2158" t="n"/>
      <c r="N77" s="2158" t="n"/>
      <c r="O77" s="2112" t="n"/>
      <c r="P77" s="2112" t="n"/>
      <c r="Q77" s="2112" t="n"/>
      <c r="R77" s="2112" t="n"/>
      <c r="S77" s="2158" t="n"/>
      <c r="T77" s="2112" t="n"/>
      <c r="U77" s="2112" t="n"/>
      <c r="V77" s="2112" t="n"/>
      <c r="W77" s="2112" t="n"/>
      <c r="X77" s="2158" t="n"/>
      <c r="Y77" s="2112" t="n"/>
      <c r="Z77" s="2112" t="n"/>
      <c r="AA77" s="2112" t="n"/>
      <c r="AB77" s="2112" t="n"/>
      <c r="AC77" s="2158" t="n"/>
      <c r="AD77" s="2112" t="n"/>
      <c r="AE77" s="2112" t="n"/>
      <c r="AF77" s="2112" t="n"/>
      <c r="AG77" s="2112" t="n"/>
      <c r="AH77" s="2158" t="n"/>
      <c r="AI77" s="2112" t="n"/>
      <c r="AJ77" s="2112" t="n"/>
      <c r="AK77" s="2159" t="n"/>
      <c r="AL77" s="2112" t="n"/>
      <c r="AM77" s="2158" t="n"/>
      <c r="AN77" s="2112" t="n"/>
      <c r="AO77" s="2112" t="n"/>
      <c r="AP77" s="2112" t="n"/>
      <c r="AQ77" s="2112" t="n"/>
      <c r="AR77" s="2158" t="n"/>
      <c r="AS77" s="2158" t="n"/>
      <c r="AT77" s="2158" t="n"/>
      <c r="AU77" s="2158" t="n"/>
      <c r="AV77" s="2112" t="n"/>
    </row>
    <row r="78" ht="14.4" customHeight="1" s="877">
      <c r="A78" s="2171" t="inlineStr">
        <is>
          <t>Balance Sheet Ratios</t>
        </is>
      </c>
      <c r="B78" s="2127" t="n"/>
      <c r="C78" s="2127" t="n"/>
      <c r="D78" s="2127" t="n"/>
      <c r="E78" s="2127" t="n"/>
      <c r="F78" s="2127" t="n"/>
      <c r="G78" s="2127" t="n"/>
      <c r="H78" s="2127" t="n"/>
      <c r="I78" s="2127" t="n"/>
      <c r="J78" s="2127" t="n"/>
      <c r="K78" s="2127" t="n"/>
      <c r="L78" s="2127" t="n"/>
      <c r="M78" s="2127" t="n"/>
      <c r="N78" s="2127" t="n"/>
      <c r="O78" s="2127" t="n"/>
      <c r="P78" s="2127" t="n"/>
      <c r="Q78" s="2127" t="n"/>
      <c r="R78" s="2127" t="n"/>
      <c r="S78" s="2127" t="n"/>
      <c r="T78" s="2127" t="n"/>
      <c r="U78" s="2127" t="n"/>
      <c r="V78" s="2127" t="n"/>
      <c r="W78" s="2127" t="n"/>
      <c r="X78" s="2127" t="n"/>
      <c r="Y78" s="2127" t="n"/>
      <c r="Z78" s="2127" t="n"/>
      <c r="AA78" s="2127" t="n"/>
      <c r="AB78" s="2127" t="n"/>
      <c r="AC78" s="2127" t="n"/>
      <c r="AD78" s="2127" t="n"/>
      <c r="AE78" s="2127" t="n"/>
      <c r="AF78" s="2127" t="n"/>
      <c r="AG78" s="2127" t="n"/>
      <c r="AH78" s="2127" t="n"/>
      <c r="AI78" s="2127" t="n"/>
      <c r="AJ78" s="2127" t="n"/>
      <c r="AK78" s="2128" t="n"/>
      <c r="AL78" s="2127" t="n"/>
      <c r="AM78" s="2127" t="n"/>
      <c r="AN78" s="2127" t="n"/>
      <c r="AO78" s="2127" t="n"/>
      <c r="AP78" s="2127" t="n"/>
      <c r="AQ78" s="2127" t="n"/>
      <c r="AR78" s="2127" t="n"/>
      <c r="AS78" s="2127" t="n"/>
      <c r="AT78" s="2127" t="n"/>
      <c r="AU78" s="2127" t="n"/>
      <c r="AV78" s="2087" t="n"/>
    </row>
    <row r="79" ht="14.4" customFormat="1" customHeight="1" s="2192">
      <c r="A79" s="2193" t="inlineStr">
        <is>
          <t>Net Debt / EBITDA</t>
        </is>
      </c>
      <c r="B79" s="2194" t="n"/>
      <c r="C79" s="2195" t="n"/>
      <c r="D79" s="2195" t="n"/>
      <c r="E79" s="2195" t="n"/>
      <c r="F79" s="2195" t="n"/>
      <c r="G79" s="2195" t="n"/>
      <c r="H79" s="2195" t="n"/>
      <c r="I79" s="2195" t="n"/>
      <c r="J79" s="2195" t="n"/>
      <c r="K79" s="2195" t="n"/>
      <c r="L79" s="2195" t="n"/>
      <c r="M79" s="2195" t="n"/>
      <c r="N79" s="2195" t="n"/>
      <c r="O79" s="2196" t="n"/>
      <c r="P79" s="2196" t="n"/>
      <c r="Q79" s="2196" t="n"/>
      <c r="R79" s="2196" t="n"/>
      <c r="S79" s="2195" t="n"/>
      <c r="T79" s="2196" t="n"/>
      <c r="U79" s="2196" t="n"/>
      <c r="V79" s="2196" t="n"/>
      <c r="W79" s="2196" t="n"/>
      <c r="X79" s="2195" t="n"/>
      <c r="Y79" s="2196" t="n"/>
      <c r="Z79" s="2196" t="n"/>
      <c r="AA79" s="2196" t="n"/>
      <c r="AB79" s="2196">
        <f>IF(OR(INDEX(MO_BSS_Debt_Net,0,COLUMN())&lt;0,INDEX(SP_BSR_EBITDA_LTM,0,COLUMN())&lt;0),"N/A",INDEX(MO_BSS_Debt_Net,0,COLUMN())/INDEX(SP_BSR_EBITDA_LTM,0,COLUMN()))</f>
        <v/>
      </c>
      <c r="AC79" s="2195">
        <f>IF(OR(INDEX(MO_BSS_Debt_Net,0,COLUMN())&lt;0,INDEX(SP_BSR_EBITDA_LTM,0,COLUMN())&lt;0),"N/A",INDEX(MO_BSS_Debt_Net,0,COLUMN())/INDEX(SP_BSR_EBITDA_LTM,0,COLUMN()))</f>
        <v/>
      </c>
      <c r="AD79" s="2196" t="n"/>
      <c r="AE79" s="2196" t="n"/>
      <c r="AF79" s="2196">
        <f>IF(OR(INDEX(MO_BSS_Debt_Net,0,COLUMN())&lt;0,INDEX(SP_BSR_EBITDA_LTM,0,COLUMN())&lt;0),"N/A",INDEX(MO_BSS_Debt_Net,0,COLUMN())/INDEX(SP_BSR_EBITDA_LTM,0,COLUMN()))</f>
        <v/>
      </c>
      <c r="AG79" s="2196">
        <f>IF(OR(INDEX(MO_BSS_Debt_Net,0,COLUMN())&lt;0,INDEX(SP_BSR_EBITDA_LTM,0,COLUMN())&lt;0),"N/A",INDEX(MO_BSS_Debt_Net,0,COLUMN())/INDEX(SP_BSR_EBITDA_LTM,0,COLUMN()))</f>
        <v/>
      </c>
      <c r="AH79" s="2195">
        <f>IF(OR(INDEX(MO_BSS_Debt_Net,0,COLUMN())&lt;0,INDEX(SP_BSR_EBITDA_LTM,0,COLUMN())&lt;0),"N/A",INDEX(MO_BSS_Debt_Net,0,COLUMN())/INDEX(SP_BSR_EBITDA_LTM,0,COLUMN()))</f>
        <v/>
      </c>
      <c r="AI79" s="2196">
        <f>IF(OR(INDEX(MO_BSS_Debt_Net,0,COLUMN())&lt;0,INDEX(SP_BSR_EBITDA_LTM,0,COLUMN())&lt;0),"N/A",INDEX(MO_BSS_Debt_Net,0,COLUMN())/INDEX(SP_BSR_EBITDA_LTM,0,COLUMN()))</f>
        <v/>
      </c>
      <c r="AJ79" s="2196">
        <f>IF(OR(INDEX(MO_BSS_Debt_Net,0,COLUMN())&lt;0,INDEX(SP_BSR_EBITDA_LTM,0,COLUMN())&lt;0),"N/A",INDEX(MO_BSS_Debt_Net,0,COLUMN())/INDEX(SP_BSR_EBITDA_LTM,0,COLUMN()))</f>
        <v/>
      </c>
      <c r="AK79" s="2197">
        <f>IF(OR(INDEX(MO_BSS_Debt_Net,0,COLUMN())&lt;0,INDEX(SP_BSR_EBITDA_LTM,0,COLUMN())&lt;0),"N/A",INDEX(MO_BSS_Debt_Net,0,COLUMN())/INDEX(SP_BSR_EBITDA_LTM,0,COLUMN()))</f>
        <v/>
      </c>
      <c r="AL79" s="2196">
        <f>IF(OR(INDEX(MO_BSS_Debt_Net,0,COLUMN())&lt;0,INDEX(SP_BSR_EBITDA_LTM,0,COLUMN())&lt;0),"N/A",INDEX(MO_BSS_Debt_Net,0,COLUMN())/INDEX(SP_BSR_EBITDA_LTM,0,COLUMN()))</f>
        <v/>
      </c>
      <c r="AM79" s="2195">
        <f>IF(OR(INDEX(MO_BSS_Debt_Net,0,COLUMN())&lt;0,INDEX(SP_BSR_EBITDA_LTM,0,COLUMN())&lt;0),"N/A",INDEX(MO_BSS_Debt_Net,0,COLUMN())/INDEX(SP_BSR_EBITDA_LTM,0,COLUMN()))</f>
        <v/>
      </c>
      <c r="AN79" s="2196">
        <f>IF(OR(INDEX(MO_BSS_Debt_Net,0,COLUMN())&lt;0,INDEX(SP_BSR_EBITDA_LTM,0,COLUMN())&lt;0),"N/A",INDEX(MO_BSS_Debt_Net,0,COLUMN())/INDEX(SP_BSR_EBITDA_LTM,0,COLUMN()))</f>
        <v/>
      </c>
      <c r="AO79" s="2196">
        <f>IF(OR(INDEX(MO_BSS_Debt_Net,0,COLUMN())&lt;0,INDEX(SP_BSR_EBITDA_LTM,0,COLUMN())&lt;0),"N/A",INDEX(MO_BSS_Debt_Net,0,COLUMN())/INDEX(SP_BSR_EBITDA_LTM,0,COLUMN()))</f>
        <v/>
      </c>
      <c r="AP79" s="2196">
        <f>IF(OR(INDEX(MO_BSS_Debt_Net,0,COLUMN())&lt;0,INDEX(SP_BSR_EBITDA_LTM,0,COLUMN())&lt;0),"N/A",INDEX(MO_BSS_Debt_Net,0,COLUMN())/INDEX(SP_BSR_EBITDA_LTM,0,COLUMN()))</f>
        <v/>
      </c>
      <c r="AQ79" s="2196">
        <f>IF(OR(INDEX(MO_BSS_Debt_Net,0,COLUMN())&lt;0,INDEX(SP_BSR_EBITDA_LTM,0,COLUMN())&lt;0),"N/A",INDEX(MO_BSS_Debt_Net,0,COLUMN())/INDEX(SP_BSR_EBITDA_LTM,0,COLUMN()))</f>
        <v/>
      </c>
      <c r="AR79" s="2195">
        <f>IF(OR(INDEX(MO_BSS_Debt_Net,0,COLUMN())&lt;0,INDEX(SP_BSR_EBITDA_LTM,0,COLUMN())&lt;0),"N/A",INDEX(MO_BSS_Debt_Net,0,COLUMN())/INDEX(SP_BSR_EBITDA_LTM,0,COLUMN()))</f>
        <v/>
      </c>
      <c r="AS79" s="2195">
        <f>IF(OR(INDEX(MO_BSS_Debt_Net,0,COLUMN())&lt;0,INDEX(SP_BSR_EBITDA_LTM,0,COLUMN())&lt;0),"N/A",INDEX(MO_BSS_Debt_Net,0,COLUMN())/INDEX(SP_BSR_EBITDA_LTM,0,COLUMN()))</f>
        <v/>
      </c>
      <c r="AT79" s="2195">
        <f>IF(OR(INDEX(MO_BSS_Debt_Net,0,COLUMN())&lt;0,INDEX(SP_BSR_EBITDA_LTM,0,COLUMN())&lt;0),"N/A",INDEX(MO_BSS_Debt_Net,0,COLUMN())/INDEX(SP_BSR_EBITDA_LTM,0,COLUMN()))</f>
        <v/>
      </c>
      <c r="AU79" s="2195">
        <f>IF(OR(INDEX(MO_BSS_Debt_Net,0,COLUMN())&lt;0,INDEX(SP_BSR_EBITDA_LTM,0,COLUMN())&lt;0),"N/A",INDEX(MO_BSS_Debt_Net,0,COLUMN())/INDEX(SP_BSR_EBITDA_LTM,0,COLUMN()))</f>
        <v/>
      </c>
      <c r="AV79" s="2198" t="n"/>
    </row>
    <row r="80" ht="14.4" customFormat="1" customHeight="1" s="2192">
      <c r="A80" s="2193" t="inlineStr">
        <is>
          <t>Net Debt / Cash Flow</t>
        </is>
      </c>
      <c r="B80" s="2194" t="n"/>
      <c r="C80" s="2195" t="n"/>
      <c r="D80" s="2195" t="n"/>
      <c r="E80" s="2195" t="n"/>
      <c r="F80" s="2195" t="n"/>
      <c r="G80" s="2195" t="n"/>
      <c r="H80" s="2195" t="n"/>
      <c r="I80" s="2195" t="n"/>
      <c r="J80" s="2195" t="n"/>
      <c r="K80" s="2195" t="n"/>
      <c r="L80" s="2195" t="n"/>
      <c r="M80" s="2195" t="n"/>
      <c r="N80" s="2195" t="n"/>
      <c r="O80" s="2196" t="n"/>
      <c r="P80" s="2196" t="n"/>
      <c r="Q80" s="2196" t="n"/>
      <c r="R80" s="2196" t="n"/>
      <c r="S80" s="2195" t="n"/>
      <c r="T80" s="2196" t="n"/>
      <c r="U80" s="2196" t="n"/>
      <c r="V80" s="2196" t="n"/>
      <c r="W80" s="2196" t="n"/>
      <c r="X80" s="2195" t="n"/>
      <c r="Y80" s="2196" t="n"/>
      <c r="Z80" s="2196" t="n"/>
      <c r="AA80" s="2196" t="n"/>
      <c r="AB80" s="2196">
        <f>IF(OR(INDEX(MO_BSS_Debt_Net,0,COLUMN())&lt;0,INDEX(SP_BSR_CashFlow_LTM,0,COLUMN())&lt;0),"N/A",INDEX(MO_BSS_Debt_Net,0,COLUMN())/INDEX(SP_BSR_CashFlow_LTM,0,COLUMN()))</f>
        <v/>
      </c>
      <c r="AC80" s="2195">
        <f>IF(OR(INDEX(MO_BSS_Debt_Net,0,COLUMN())&lt;0,INDEX(SP_BSR_CashFlow_LTM,0,COLUMN())&lt;0),"N/A",INDEX(MO_BSS_Debt_Net,0,COLUMN())/INDEX(SP_BSR_CashFlow_LTM,0,COLUMN()))</f>
        <v/>
      </c>
      <c r="AD80" s="2196" t="n"/>
      <c r="AE80" s="2196" t="n"/>
      <c r="AF80" s="2196" t="n"/>
      <c r="AG80" s="2196">
        <f>IF(OR(INDEX(MO_BSS_Debt_Net,0,COLUMN())&lt;0,INDEX(SP_BSR_CashFlow_LTM,0,COLUMN())&lt;0),"N/A",INDEX(MO_BSS_Debt_Net,0,COLUMN())/INDEX(SP_BSR_CashFlow_LTM,0,COLUMN()))</f>
        <v/>
      </c>
      <c r="AH80" s="2195">
        <f>IF(OR(INDEX(MO_BSS_Debt_Net,0,COLUMN())&lt;0,INDEX(SP_BSR_CashFlow_LTM,0,COLUMN())&lt;0),"N/A",INDEX(MO_BSS_Debt_Net,0,COLUMN())/INDEX(SP_BSR_CashFlow_LTM,0,COLUMN()))</f>
        <v/>
      </c>
      <c r="AI80" s="2196">
        <f>IF(OR(INDEX(MO_BSS_Debt_Net,0,COLUMN())&lt;0,INDEX(SP_BSR_CashFlow_LTM,0,COLUMN())&lt;0),"N/A",INDEX(MO_BSS_Debt_Net,0,COLUMN())/INDEX(SP_BSR_CashFlow_LTM,0,COLUMN()))</f>
        <v/>
      </c>
      <c r="AJ80" s="2196">
        <f>IF(OR(INDEX(MO_BSS_Debt_Net,0,COLUMN())&lt;0,INDEX(SP_BSR_CashFlow_LTM,0,COLUMN())&lt;0),"N/A",INDEX(MO_BSS_Debt_Net,0,COLUMN())/INDEX(SP_BSR_CashFlow_LTM,0,COLUMN()))</f>
        <v/>
      </c>
      <c r="AK80" s="2197">
        <f>IF(OR(INDEX(MO_BSS_Debt_Net,0,COLUMN())&lt;0,INDEX(SP_BSR_CashFlow_LTM,0,COLUMN())&lt;0),"N/A",INDEX(MO_BSS_Debt_Net,0,COLUMN())/INDEX(SP_BSR_CashFlow_LTM,0,COLUMN()))</f>
        <v/>
      </c>
      <c r="AL80" s="2196">
        <f>IF(OR(INDEX(MO_BSS_Debt_Net,0,COLUMN())&lt;0,INDEX(SP_BSR_CashFlow_LTM,0,COLUMN())&lt;0),"N/A",INDEX(MO_BSS_Debt_Net,0,COLUMN())/INDEX(SP_BSR_CashFlow_LTM,0,COLUMN()))</f>
        <v/>
      </c>
      <c r="AM80" s="2195">
        <f>IF(OR(INDEX(MO_BSS_Debt_Net,0,COLUMN())&lt;0,INDEX(SP_BSR_CashFlow_LTM,0,COLUMN())&lt;0),"N/A",INDEX(MO_BSS_Debt_Net,0,COLUMN())/INDEX(SP_BSR_CashFlow_LTM,0,COLUMN()))</f>
        <v/>
      </c>
      <c r="AN80" s="2196">
        <f>IF(OR(INDEX(MO_BSS_Debt_Net,0,COLUMN())&lt;0,INDEX(SP_BSR_CashFlow_LTM,0,COLUMN())&lt;0),"N/A",INDEX(MO_BSS_Debt_Net,0,COLUMN())/INDEX(SP_BSR_CashFlow_LTM,0,COLUMN()))</f>
        <v/>
      </c>
      <c r="AO80" s="2196">
        <f>IF(OR(INDEX(MO_BSS_Debt_Net,0,COLUMN())&lt;0,INDEX(SP_BSR_CashFlow_LTM,0,COLUMN())&lt;0),"N/A",INDEX(MO_BSS_Debt_Net,0,COLUMN())/INDEX(SP_BSR_CashFlow_LTM,0,COLUMN()))</f>
        <v/>
      </c>
      <c r="AP80" s="2196">
        <f>IF(OR(INDEX(MO_BSS_Debt_Net,0,COLUMN())&lt;0,INDEX(SP_BSR_CashFlow_LTM,0,COLUMN())&lt;0),"N/A",INDEX(MO_BSS_Debt_Net,0,COLUMN())/INDEX(SP_BSR_CashFlow_LTM,0,COLUMN()))</f>
        <v/>
      </c>
      <c r="AQ80" s="2196">
        <f>IF(OR(INDEX(MO_BSS_Debt_Net,0,COLUMN())&lt;0,INDEX(SP_BSR_CashFlow_LTM,0,COLUMN())&lt;0),"N/A",INDEX(MO_BSS_Debt_Net,0,COLUMN())/INDEX(SP_BSR_CashFlow_LTM,0,COLUMN()))</f>
        <v/>
      </c>
      <c r="AR80" s="2195">
        <f>IF(OR(INDEX(MO_BSS_Debt_Net,0,COLUMN())&lt;0,INDEX(SP_BSR_CashFlow_LTM,0,COLUMN())&lt;0),"N/A",INDEX(MO_BSS_Debt_Net,0,COLUMN())/INDEX(SP_BSR_CashFlow_LTM,0,COLUMN()))</f>
        <v/>
      </c>
      <c r="AS80" s="2195">
        <f>IF(OR(INDEX(MO_BSS_Debt_Net,0,COLUMN())&lt;0,INDEX(SP_BSR_CashFlow_LTM,0,COLUMN())&lt;0),"N/A",INDEX(MO_BSS_Debt_Net,0,COLUMN())/INDEX(SP_BSR_CashFlow_LTM,0,COLUMN()))</f>
        <v/>
      </c>
      <c r="AT80" s="2195">
        <f>IF(OR(INDEX(MO_BSS_Debt_Net,0,COLUMN())&lt;0,INDEX(SP_BSR_CashFlow_LTM,0,COLUMN())&lt;0),"N/A",INDEX(MO_BSS_Debt_Net,0,COLUMN())/INDEX(SP_BSR_CashFlow_LTM,0,COLUMN()))</f>
        <v/>
      </c>
      <c r="AU80" s="2195">
        <f>IF(OR(INDEX(MO_BSS_Debt_Net,0,COLUMN())&lt;0,INDEX(SP_BSR_CashFlow_LTM,0,COLUMN())&lt;0),"N/A",INDEX(MO_BSS_Debt_Net,0,COLUMN())/INDEX(SP_BSR_CashFlow_LTM,0,COLUMN()))</f>
        <v/>
      </c>
      <c r="AV80" s="2198" t="n"/>
    </row>
    <row r="81" ht="14.4" customFormat="1" customHeight="1" s="2199">
      <c r="A81" s="2200" t="inlineStr">
        <is>
          <t>Net Debt / Capital</t>
        </is>
      </c>
      <c r="B81" s="2201" t="n"/>
      <c r="C81" s="2202" t="n"/>
      <c r="D81" s="2202" t="n"/>
      <c r="E81" s="2202" t="n"/>
      <c r="F81" s="2202" t="n"/>
      <c r="G81" s="2202" t="n"/>
      <c r="H81" s="2202" t="n"/>
      <c r="I81" s="2202" t="n"/>
      <c r="J81" s="2202" t="n"/>
      <c r="K81" s="2202" t="n"/>
      <c r="L81" s="2202" t="n"/>
      <c r="M81" s="2202" t="n"/>
      <c r="N81" s="2202" t="n"/>
      <c r="O81" s="2203" t="n"/>
      <c r="P81" s="2203" t="n"/>
      <c r="Q81" s="2203" t="n"/>
      <c r="R81" s="2203" t="n"/>
      <c r="S81" s="2202" t="n"/>
      <c r="T81" s="2203" t="n"/>
      <c r="U81" s="2203" t="n"/>
      <c r="V81" s="2203" t="n"/>
      <c r="W81" s="2203" t="n"/>
      <c r="X81" s="2202" t="n"/>
      <c r="Y81" s="2203" t="n"/>
      <c r="Z81" s="2203" t="n"/>
      <c r="AA81" s="2203" t="n"/>
      <c r="AB81" s="2203">
        <f>IF(INDEX(MO_BSS_Debt_Net,0,COLUMN())&lt;0,"N/A",INDEX(MO_BSS_Debt_Net,0,COLUMN())/SUM(INDEX(MO_BS_SE,0,COLUMN()),INDEX(MO_BSS_Debt,0,COLUMN()),IFERROR(INDEX(MO_BSS_OL,0,COLUMN()),0)))</f>
        <v/>
      </c>
      <c r="AC81" s="2202">
        <f>IF(INDEX(MO_BSS_Debt_Net,0,COLUMN())&lt;0,"N/A",INDEX(MO_BSS_Debt_Net,0,COLUMN())/SUM(INDEX(MO_BS_SE,0,COLUMN()),INDEX(MO_BSS_Debt,0,COLUMN()),IFERROR(INDEX(MO_BSS_OL,0,COLUMN()),0)))</f>
        <v/>
      </c>
      <c r="AD81" s="2203" t="n"/>
      <c r="AE81" s="2203" t="n"/>
      <c r="AF81" s="2203">
        <f>IF(INDEX(MO_BSS_Debt_Net,0,COLUMN())&lt;0,"N/A",INDEX(MO_BSS_Debt_Net,0,COLUMN())/SUM(INDEX(MO_BS_SE,0,COLUMN()),INDEX(MO_BSS_Debt,0,COLUMN()),IFERROR(INDEX(MO_BSS_OL,0,COLUMN()),0)))</f>
        <v/>
      </c>
      <c r="AG81" s="2203">
        <f>IF(INDEX(MO_BSS_Debt_Net,0,COLUMN())&lt;0,"N/A",INDEX(MO_BSS_Debt_Net,0,COLUMN())/SUM(INDEX(MO_BS_SE,0,COLUMN()),INDEX(MO_BSS_Debt,0,COLUMN()),IFERROR(INDEX(MO_BSS_OL,0,COLUMN()),0)))</f>
        <v/>
      </c>
      <c r="AH81" s="2202">
        <f>IF(INDEX(MO_BSS_Debt_Net,0,COLUMN())&lt;0,"N/A",INDEX(MO_BSS_Debt_Net,0,COLUMN())/SUM(INDEX(MO_BS_SE,0,COLUMN()),INDEX(MO_BSS_Debt,0,COLUMN()),IFERROR(INDEX(MO_BSS_OL,0,COLUMN()),0)))</f>
        <v/>
      </c>
      <c r="AI81" s="2203">
        <f>IF(INDEX(MO_BSS_Debt_Net,0,COLUMN())&lt;0,"N/A",INDEX(MO_BSS_Debt_Net,0,COLUMN())/SUM(INDEX(MO_BS_SE,0,COLUMN()),INDEX(MO_BSS_Debt,0,COLUMN()),IFERROR(INDEX(MO_BSS_OL,0,COLUMN()),0)))</f>
        <v/>
      </c>
      <c r="AJ81" s="2203">
        <f>IF(INDEX(MO_BSS_Debt_Net,0,COLUMN())&lt;0,"N/A",INDEX(MO_BSS_Debt_Net,0,COLUMN())/SUM(INDEX(MO_BS_SE,0,COLUMN()),INDEX(MO_BSS_Debt,0,COLUMN()),IFERROR(INDEX(MO_BSS_OL,0,COLUMN()),0)))</f>
        <v/>
      </c>
      <c r="AK81" s="2204">
        <f>IF(INDEX(MO_BSS_Debt_Net,0,COLUMN())&lt;0,"N/A",INDEX(MO_BSS_Debt_Net,0,COLUMN())/SUM(INDEX(MO_BS_SE,0,COLUMN()),INDEX(MO_BSS_Debt,0,COLUMN()),IFERROR(INDEX(MO_BSS_OL,0,COLUMN()),0)))</f>
        <v/>
      </c>
      <c r="AL81" s="2203">
        <f>IF(INDEX(MO_BSS_Debt_Net,0,COLUMN())&lt;0,"N/A",INDEX(MO_BSS_Debt_Net,0,COLUMN())/SUM(INDEX(MO_BS_SE,0,COLUMN()),INDEX(MO_BSS_Debt,0,COLUMN()),IFERROR(INDEX(MO_BSS_OL,0,COLUMN()),0)))</f>
        <v/>
      </c>
      <c r="AM81" s="2202">
        <f>IF(INDEX(MO_BSS_Debt_Net,0,COLUMN())&lt;0,"N/A",INDEX(MO_BSS_Debt_Net,0,COLUMN())/SUM(INDEX(MO_BS_SE,0,COLUMN()),INDEX(MO_BSS_Debt,0,COLUMN()),IFERROR(INDEX(MO_BSS_OL,0,COLUMN()),0)))</f>
        <v/>
      </c>
      <c r="AN81" s="2203">
        <f>IF(INDEX(MO_BSS_Debt_Net,0,COLUMN())&lt;0,"N/A",INDEX(MO_BSS_Debt_Net,0,COLUMN())/SUM(INDEX(MO_BS_SE,0,COLUMN()),INDEX(MO_BSS_Debt,0,COLUMN()),IFERROR(INDEX(MO_BSS_OL,0,COLUMN()),0)))</f>
        <v/>
      </c>
      <c r="AO81" s="2203">
        <f>IF(INDEX(MO_BSS_Debt_Net,0,COLUMN())&lt;0,"N/A",INDEX(MO_BSS_Debt_Net,0,COLUMN())/SUM(INDEX(MO_BS_SE,0,COLUMN()),INDEX(MO_BSS_Debt,0,COLUMN()),IFERROR(INDEX(MO_BSS_OL,0,COLUMN()),0)))</f>
        <v/>
      </c>
      <c r="AP81" s="2203">
        <f>IF(INDEX(MO_BSS_Debt_Net,0,COLUMN())&lt;0,"N/A",INDEX(MO_BSS_Debt_Net,0,COLUMN())/SUM(INDEX(MO_BS_SE,0,COLUMN()),INDEX(MO_BSS_Debt,0,COLUMN()),IFERROR(INDEX(MO_BSS_OL,0,COLUMN()),0)))</f>
        <v/>
      </c>
      <c r="AQ81" s="2203">
        <f>IF(INDEX(MO_BSS_Debt_Net,0,COLUMN())&lt;0,"N/A",INDEX(MO_BSS_Debt_Net,0,COLUMN())/SUM(INDEX(MO_BS_SE,0,COLUMN()),INDEX(MO_BSS_Debt,0,COLUMN()),IFERROR(INDEX(MO_BSS_OL,0,COLUMN()),0)))</f>
        <v/>
      </c>
      <c r="AR81" s="2202">
        <f>IF(INDEX(MO_BSS_Debt_Net,0,COLUMN())&lt;0,"N/A",INDEX(MO_BSS_Debt_Net,0,COLUMN())/SUM(INDEX(MO_BS_SE,0,COLUMN()),INDEX(MO_BSS_Debt,0,COLUMN()),IFERROR(INDEX(MO_BSS_OL,0,COLUMN()),0)))</f>
        <v/>
      </c>
      <c r="AS81" s="2202">
        <f>IF(INDEX(MO_BSS_Debt_Net,0,COLUMN())&lt;0,"N/A",INDEX(MO_BSS_Debt_Net,0,COLUMN())/SUM(INDEX(MO_BS_SE,0,COLUMN()),INDEX(MO_BSS_Debt,0,COLUMN()),IFERROR(INDEX(MO_BSS_OL,0,COLUMN()),0)))</f>
        <v/>
      </c>
      <c r="AT81" s="2202">
        <f>IF(INDEX(MO_BSS_Debt_Net,0,COLUMN())&lt;0,"N/A",INDEX(MO_BSS_Debt_Net,0,COLUMN())/SUM(INDEX(MO_BS_SE,0,COLUMN()),INDEX(MO_BSS_Debt,0,COLUMN()),IFERROR(INDEX(MO_BSS_OL,0,COLUMN()),0)))</f>
        <v/>
      </c>
      <c r="AU81" s="2202">
        <f>IF(INDEX(MO_BSS_Debt_Net,0,COLUMN())&lt;0,"N/A",INDEX(MO_BSS_Debt_Net,0,COLUMN())/SUM(INDEX(MO_BS_SE,0,COLUMN()),INDEX(MO_BSS_Debt,0,COLUMN()),IFERROR(INDEX(MO_BSS_OL,0,COLUMN()),0)))</f>
        <v/>
      </c>
      <c r="AV81" s="2205" t="n"/>
    </row>
    <row r="82" hidden="1" outlineLevel="1" ht="14.4" customFormat="1" customHeight="1" s="2206">
      <c r="A82" s="2178" t="inlineStr">
        <is>
          <t>LTM EBITDA</t>
        </is>
      </c>
      <c r="B82" s="2179" t="n"/>
      <c r="C82" s="2122" t="n"/>
      <c r="D82" s="2122" t="n"/>
      <c r="E82" s="2122" t="n"/>
      <c r="F82" s="2122" t="n"/>
      <c r="G82" s="2122" t="n"/>
      <c r="H82" s="2122" t="n"/>
      <c r="I82" s="2122" t="n"/>
      <c r="J82" s="2122" t="n"/>
      <c r="K82" s="2122" t="n"/>
      <c r="L82" s="2122" t="n"/>
      <c r="M82" s="2122" t="n"/>
      <c r="N82" s="2122" t="n"/>
      <c r="O82" s="2087" t="n"/>
      <c r="P82" s="2087" t="n"/>
      <c r="Q82" s="2087" t="n"/>
      <c r="R82" s="2087" t="n"/>
      <c r="S82" s="2122" t="n"/>
      <c r="T82" s="2087" t="n"/>
      <c r="U82" s="2087" t="n"/>
      <c r="V82" s="2087" t="n"/>
      <c r="W82" s="2087" t="n"/>
      <c r="X82" s="2122">
        <f>X44</f>
        <v/>
      </c>
      <c r="Y82" s="2087" t="n"/>
      <c r="Z82" s="2087" t="n"/>
      <c r="AA82" s="2087" t="n"/>
      <c r="AB82" s="2087">
        <f>SUM(AB44,AA44,Z44,Y44)</f>
        <v/>
      </c>
      <c r="AC82" s="2122">
        <f>AC44</f>
        <v/>
      </c>
      <c r="AD82" s="2087" t="n"/>
      <c r="AE82" s="2087" t="n"/>
      <c r="AF82" s="2087">
        <f>SUM(AF44,AE44,AD44,AB44)</f>
        <v/>
      </c>
      <c r="AG82" s="2087">
        <f>SUM(AG44,AF44,AE44,AD44)</f>
        <v/>
      </c>
      <c r="AH82" s="2122">
        <f>AH44</f>
        <v/>
      </c>
      <c r="AI82" s="2087">
        <f>SUM(AI44,AG44,AF44,AE44)</f>
        <v/>
      </c>
      <c r="AJ82" s="2087">
        <f>SUM(AJ44,AI44,AG44,AF44)</f>
        <v/>
      </c>
      <c r="AK82" s="2123">
        <f>SUM(AK44,AJ44,AI44,AG44)</f>
        <v/>
      </c>
      <c r="AL82" s="2087">
        <f>SUM(AL44,AK44,AJ44,AI44)</f>
        <v/>
      </c>
      <c r="AM82" s="2122">
        <f>AM44</f>
        <v/>
      </c>
      <c r="AN82" s="2087">
        <f>SUM(AN44,AL44,AK44,AJ44)</f>
        <v/>
      </c>
      <c r="AO82" s="2087">
        <f>SUM(AO44,AN44,AL44,AK44)</f>
        <v/>
      </c>
      <c r="AP82" s="2087">
        <f>SUM(AP44,AO44,AN44,AL44)</f>
        <v/>
      </c>
      <c r="AQ82" s="2087">
        <f>SUM(AQ44,AP44,AO44,AN44)</f>
        <v/>
      </c>
      <c r="AR82" s="2122">
        <f>AR44</f>
        <v/>
      </c>
      <c r="AS82" s="2122">
        <f>AS44</f>
        <v/>
      </c>
      <c r="AT82" s="2122">
        <f>AT44</f>
        <v/>
      </c>
      <c r="AU82" s="2122">
        <f>AU44</f>
        <v/>
      </c>
      <c r="AV82" s="2207" t="n"/>
    </row>
    <row r="83" hidden="1" outlineLevel="1" ht="14.4" customFormat="1" customHeight="1" s="2206">
      <c r="A83" s="2178" t="inlineStr">
        <is>
          <t>LTM Cash Flow</t>
        </is>
      </c>
      <c r="B83" s="2179" t="n"/>
      <c r="C83" s="2122" t="n"/>
      <c r="D83" s="2122" t="n"/>
      <c r="E83" s="2122" t="n"/>
      <c r="F83" s="2122" t="n"/>
      <c r="G83" s="2122" t="n"/>
      <c r="H83" s="2122" t="n"/>
      <c r="I83" s="2122" t="n"/>
      <c r="J83" s="2122" t="n"/>
      <c r="K83" s="2122" t="n"/>
      <c r="L83" s="2122" t="n"/>
      <c r="M83" s="2122" t="n"/>
      <c r="N83" s="2122" t="n"/>
      <c r="O83" s="2087" t="n"/>
      <c r="P83" s="2087" t="n"/>
      <c r="Q83" s="2087" t="n"/>
      <c r="R83" s="2087" t="n"/>
      <c r="S83" s="2122" t="n"/>
      <c r="T83" s="2087" t="n"/>
      <c r="U83" s="2087" t="n"/>
      <c r="V83" s="2087" t="n"/>
      <c r="W83" s="2087" t="n"/>
      <c r="X83" s="2122">
        <f>X60</f>
        <v/>
      </c>
      <c r="Y83" s="2087" t="n"/>
      <c r="Z83" s="2087" t="n"/>
      <c r="AA83" s="2087" t="n"/>
      <c r="AB83" s="2087">
        <f>SUM(AB60,AA60,Z60,Y60)</f>
        <v/>
      </c>
      <c r="AC83" s="2122">
        <f>AC60</f>
        <v/>
      </c>
      <c r="AD83" s="2087" t="n"/>
      <c r="AE83" s="2087" t="n"/>
      <c r="AF83" s="2087">
        <f>SUM(AF60,AE60,AD60,AB60)</f>
        <v/>
      </c>
      <c r="AG83" s="2087">
        <f>SUM(AG60,AF60,AE60,AD60)</f>
        <v/>
      </c>
      <c r="AH83" s="2122">
        <f>AH60</f>
        <v/>
      </c>
      <c r="AI83" s="2087">
        <f>SUM(AI60,AG60,AF60,AE60)</f>
        <v/>
      </c>
      <c r="AJ83" s="2087">
        <f>SUM(AJ60,AI60,AG60,-AF60)</f>
        <v/>
      </c>
      <c r="AK83" s="2123">
        <f>SUM(AK60,AJ60,AI60,AG60)</f>
        <v/>
      </c>
      <c r="AL83" s="2087">
        <f>SUM(AL60,AK60,AJ60,AI60)</f>
        <v/>
      </c>
      <c r="AM83" s="2122">
        <f>AM60</f>
        <v/>
      </c>
      <c r="AN83" s="2087">
        <f>SUM(AN60,AL60,AK60,AJ60)</f>
        <v/>
      </c>
      <c r="AO83" s="2087">
        <f>SUM(AO60,AN60,AL60,AK60)</f>
        <v/>
      </c>
      <c r="AP83" s="2087">
        <f>SUM(AP60,AO60,AN60,AL60)</f>
        <v/>
      </c>
      <c r="AQ83" s="2087">
        <f>SUM(AQ60,AP60,AO60,AN60)</f>
        <v/>
      </c>
      <c r="AR83" s="2122">
        <f>AR60</f>
        <v/>
      </c>
      <c r="AS83" s="2122">
        <f>AS60</f>
        <v/>
      </c>
      <c r="AT83" s="2122">
        <f>AT60</f>
        <v/>
      </c>
      <c r="AU83" s="2122">
        <f>AU60</f>
        <v/>
      </c>
      <c r="AV83" s="2207" t="n"/>
    </row>
    <row r="84" collapsed="1" ht="14.4" customHeight="1" s="877">
      <c r="A84" s="2100" t="n"/>
      <c r="B84" s="2124" t="n"/>
      <c r="C84" s="2125" t="n"/>
      <c r="D84" s="2125" t="n"/>
      <c r="E84" s="2125" t="n"/>
      <c r="F84" s="2125" t="n"/>
      <c r="G84" s="2125" t="n"/>
      <c r="H84" s="2125" t="n"/>
      <c r="I84" s="2125" t="n"/>
      <c r="J84" s="2125" t="n"/>
      <c r="K84" s="2125" t="n"/>
      <c r="L84" s="2125" t="n"/>
      <c r="M84" s="2125" t="n"/>
      <c r="N84" s="2125" t="n"/>
      <c r="O84" s="2119" t="n"/>
      <c r="P84" s="2119" t="n"/>
      <c r="Q84" s="2119" t="n"/>
      <c r="R84" s="2119" t="n"/>
      <c r="S84" s="2125" t="n"/>
      <c r="T84" s="2119" t="n"/>
      <c r="U84" s="2119" t="n"/>
      <c r="V84" s="2119" t="n"/>
      <c r="W84" s="2119" t="n"/>
      <c r="X84" s="2125" t="n"/>
      <c r="Y84" s="2119" t="n"/>
      <c r="Z84" s="2119" t="n"/>
      <c r="AA84" s="2119" t="n"/>
      <c r="AB84" s="2119" t="n"/>
      <c r="AC84" s="2125" t="n"/>
      <c r="AD84" s="2119" t="n"/>
      <c r="AE84" s="2119" t="n"/>
      <c r="AF84" s="2119" t="n"/>
      <c r="AG84" s="2119" t="n"/>
      <c r="AH84" s="2125" t="n"/>
      <c r="AI84" s="2119" t="n"/>
      <c r="AJ84" s="2119" t="n"/>
      <c r="AK84" s="2126" t="n"/>
      <c r="AL84" s="2119" t="n"/>
      <c r="AM84" s="2125" t="n"/>
      <c r="AN84" s="2119" t="n"/>
      <c r="AO84" s="2119" t="n"/>
      <c r="AP84" s="2119" t="n"/>
      <c r="AQ84" s="2119" t="n"/>
      <c r="AR84" s="2125" t="n"/>
      <c r="AS84" s="2125" t="n"/>
      <c r="AT84" s="2125" t="n"/>
      <c r="AU84" s="2125" t="n"/>
      <c r="AV84" s="2119" t="n"/>
    </row>
    <row r="85" ht="14.4" customHeight="1" s="877">
      <c r="A85" s="2171" t="inlineStr">
        <is>
          <t>Profitability Ratios</t>
        </is>
      </c>
      <c r="B85" s="2127" t="n"/>
      <c r="C85" s="2127" t="n"/>
      <c r="D85" s="2127" t="n"/>
      <c r="E85" s="2127" t="n"/>
      <c r="F85" s="2127" t="n"/>
      <c r="G85" s="2127" t="n"/>
      <c r="H85" s="2127" t="n"/>
      <c r="I85" s="2127" t="n"/>
      <c r="J85" s="2127" t="n"/>
      <c r="K85" s="2127" t="n"/>
      <c r="L85" s="2127" t="n"/>
      <c r="M85" s="2127" t="n"/>
      <c r="N85" s="2127" t="n"/>
      <c r="O85" s="2127" t="n"/>
      <c r="P85" s="2127" t="n"/>
      <c r="Q85" s="2127" t="n"/>
      <c r="R85" s="2127" t="n"/>
      <c r="S85" s="2127" t="n"/>
      <c r="T85" s="2127" t="n"/>
      <c r="U85" s="2127" t="n"/>
      <c r="V85" s="2127" t="n"/>
      <c r="W85" s="2127" t="n"/>
      <c r="X85" s="2127" t="n"/>
      <c r="Y85" s="2127" t="n"/>
      <c r="Z85" s="2127" t="n"/>
      <c r="AA85" s="2154" t="inlineStr">
        <is>
          <t>9 months</t>
        </is>
      </c>
      <c r="AB85" s="2127" t="n"/>
      <c r="AC85" s="2127" t="n"/>
      <c r="AD85" s="2127" t="n"/>
      <c r="AE85" s="2127" t="n"/>
      <c r="AF85" s="2127" t="n"/>
      <c r="AG85" s="2127" t="n"/>
      <c r="AH85" s="2127" t="n"/>
      <c r="AI85" s="2127" t="n"/>
      <c r="AJ85" s="2127" t="n"/>
      <c r="AK85" s="2128" t="n"/>
      <c r="AL85" s="2127" t="n"/>
      <c r="AM85" s="2127" t="n"/>
      <c r="AN85" s="2127" t="n"/>
      <c r="AO85" s="2127" t="n"/>
      <c r="AP85" s="2127" t="n"/>
      <c r="AQ85" s="2127" t="n"/>
      <c r="AR85" s="2127" t="n"/>
      <c r="AS85" s="2127" t="n"/>
      <c r="AT85" s="2127" t="n"/>
      <c r="AU85" s="2127" t="n"/>
      <c r="AV85" s="2087" t="n"/>
    </row>
    <row r="86" hidden="1" outlineLevel="1" ht="14.4" customHeight="1" s="877">
      <c r="A86" s="2120" t="inlineStr">
        <is>
          <t>Net Income</t>
        </is>
      </c>
      <c r="B86" s="2121" t="n"/>
      <c r="C86" s="2122" t="n"/>
      <c r="D86" s="2122" t="n"/>
      <c r="E86" s="2122" t="n"/>
      <c r="F86" s="2122" t="n"/>
      <c r="G86" s="2122" t="n"/>
      <c r="H86" s="2122" t="n"/>
      <c r="I86" s="2122" t="n"/>
      <c r="J86" s="2122" t="n"/>
      <c r="K86" s="2122" t="n"/>
      <c r="L86" s="2122" t="n"/>
      <c r="M86" s="2122" t="n"/>
      <c r="N86" s="2122" t="n"/>
      <c r="O86" s="2087" t="n"/>
      <c r="P86" s="2087" t="n"/>
      <c r="Q86" s="2087" t="n"/>
      <c r="R86" s="2087" t="n"/>
      <c r="S86" s="2122" t="n"/>
      <c r="T86" s="2087" t="n"/>
      <c r="U86" s="2087" t="n"/>
      <c r="V86" s="2087" t="n"/>
      <c r="W86" s="2087" t="n"/>
      <c r="X86" s="2122">
        <f>INDEX(SP_NGF_NI,0,COLUMN())</f>
        <v/>
      </c>
      <c r="Y86" s="2087" t="n"/>
      <c r="Z86" s="2087" t="n"/>
      <c r="AA86" s="2087">
        <f>INDEX(SP_NGF_NI,0,COLUMN())</f>
        <v/>
      </c>
      <c r="AB86" s="2087">
        <f>INDEX(SP_NGF_NI,0,COLUMN())</f>
        <v/>
      </c>
      <c r="AC86" s="2122">
        <f>INDEX(SP_NGF_NI,0,COLUMN())</f>
        <v/>
      </c>
      <c r="AD86" s="2087">
        <f>INDEX(SP_NGF_NI,0,COLUMN())</f>
        <v/>
      </c>
      <c r="AE86" s="2087">
        <f>INDEX(SP_NGF_NI,0,COLUMN())</f>
        <v/>
      </c>
      <c r="AF86" s="2087">
        <f>INDEX(SP_NGF_NI,0,COLUMN())</f>
        <v/>
      </c>
      <c r="AG86" s="2087">
        <f>INDEX(SP_NGF_NI,0,COLUMN())</f>
        <v/>
      </c>
      <c r="AH86" s="2122">
        <f>INDEX(SP_NGF_NI,0,COLUMN())</f>
        <v/>
      </c>
      <c r="AI86" s="2087">
        <f>INDEX(SP_NGF_NI,0,COLUMN())</f>
        <v/>
      </c>
      <c r="AJ86" s="2087">
        <f>INDEX(SP_NGF_NI,0,COLUMN())</f>
        <v/>
      </c>
      <c r="AK86" s="2123">
        <f>INDEX(SP_NGF_NI,0,COLUMN())</f>
        <v/>
      </c>
      <c r="AL86" s="2087">
        <f>INDEX(SP_NGF_NI,0,COLUMN())</f>
        <v/>
      </c>
      <c r="AM86" s="2122">
        <f>INDEX(SP_NGF_NI,0,COLUMN())</f>
        <v/>
      </c>
      <c r="AN86" s="2087">
        <f>INDEX(SP_NGF_NI,0,COLUMN())</f>
        <v/>
      </c>
      <c r="AO86" s="2087">
        <f>INDEX(SP_NGF_NI,0,COLUMN())</f>
        <v/>
      </c>
      <c r="AP86" s="2087">
        <f>INDEX(SP_NGF_NI,0,COLUMN())</f>
        <v/>
      </c>
      <c r="AQ86" s="2087">
        <f>INDEX(SP_NGF_NI,0,COLUMN())</f>
        <v/>
      </c>
      <c r="AR86" s="2122">
        <f>INDEX(SP_NGF_NI,0,COLUMN())</f>
        <v/>
      </c>
      <c r="AS86" s="2122">
        <f>INDEX(SP_NGF_NI,0,COLUMN())</f>
        <v/>
      </c>
      <c r="AT86" s="2122">
        <f>INDEX(SP_NGF_NI,0,COLUMN())</f>
        <v/>
      </c>
      <c r="AU86" s="2122">
        <f>INDEX(SP_NGF_NI,0,COLUMN())</f>
        <v/>
      </c>
      <c r="AV86" s="2087" t="n"/>
    </row>
    <row r="87" hidden="1" outlineLevel="1" ht="14.4" customHeight="1" s="877">
      <c r="A87" s="2120" t="inlineStr">
        <is>
          <t>LTM Net Income</t>
        </is>
      </c>
      <c r="B87" s="2121" t="n"/>
      <c r="C87" s="2122" t="n"/>
      <c r="D87" s="2122" t="n"/>
      <c r="E87" s="2122" t="n"/>
      <c r="F87" s="2122" t="n"/>
      <c r="G87" s="2122" t="n"/>
      <c r="H87" s="2122" t="n"/>
      <c r="I87" s="2122" t="n"/>
      <c r="J87" s="2122" t="n"/>
      <c r="K87" s="2122" t="n"/>
      <c r="L87" s="2122" t="n"/>
      <c r="M87" s="2122" t="n"/>
      <c r="N87" s="2122" t="n"/>
      <c r="O87" s="2087" t="n"/>
      <c r="P87" s="2087" t="n"/>
      <c r="Q87" s="2087" t="n"/>
      <c r="R87" s="2087" t="n"/>
      <c r="S87" s="2122" t="n"/>
      <c r="T87" s="2087" t="n"/>
      <c r="U87" s="2087" t="n"/>
      <c r="V87" s="2087" t="n"/>
      <c r="W87" s="2087" t="n"/>
      <c r="X87" s="2122">
        <f>X86</f>
        <v/>
      </c>
      <c r="Y87" s="2087" t="n"/>
      <c r="Z87" s="2087" t="n"/>
      <c r="AA87" s="2087" t="n"/>
      <c r="AB87" s="2087">
        <f>SUM(AB86,AA86,Z86,Y86)</f>
        <v/>
      </c>
      <c r="AC87" s="2122">
        <f>AC86</f>
        <v/>
      </c>
      <c r="AD87" s="2087" t="n"/>
      <c r="AE87" s="2087" t="n"/>
      <c r="AF87" s="2087">
        <f>SUM(AF86,AE86,AD86,AB86)</f>
        <v/>
      </c>
      <c r="AG87" s="2087">
        <f>SUM(AG86,AF86,AE86,AD86)</f>
        <v/>
      </c>
      <c r="AH87" s="2122">
        <f>AH86</f>
        <v/>
      </c>
      <c r="AI87" s="2087">
        <f>SUM(AI86,AG86,AF86,AE86)</f>
        <v/>
      </c>
      <c r="AJ87" s="2087">
        <f>SUM(AJ86,AI86,AG86,AF86)</f>
        <v/>
      </c>
      <c r="AK87" s="2123">
        <f>SUM(AK86,AJ86,AI86,AG86)</f>
        <v/>
      </c>
      <c r="AL87" s="2087">
        <f>SUM(AL86,AK86,AJ86,AI86)</f>
        <v/>
      </c>
      <c r="AM87" s="2122">
        <f>AM86</f>
        <v/>
      </c>
      <c r="AN87" s="2087">
        <f>SUM(AN86,AL86,AK86,AJ86)</f>
        <v/>
      </c>
      <c r="AO87" s="2087">
        <f>SUM(AO86,AN86,AL86,AK86)</f>
        <v/>
      </c>
      <c r="AP87" s="2087">
        <f>SUM(AP86,AO86,AN86,AL86)</f>
        <v/>
      </c>
      <c r="AQ87" s="2087">
        <f>SUM(AQ86,AP86,AO86,AN86)</f>
        <v/>
      </c>
      <c r="AR87" s="2122">
        <f>AR86</f>
        <v/>
      </c>
      <c r="AS87" s="2122">
        <f>AS86</f>
        <v/>
      </c>
      <c r="AT87" s="2122">
        <f>AT86</f>
        <v/>
      </c>
      <c r="AU87" s="2122">
        <f>AU86</f>
        <v/>
      </c>
      <c r="AV87" s="2087" t="n"/>
    </row>
    <row r="88" hidden="1" outlineLevel="1" ht="14.4" customHeight="1" s="877">
      <c r="A88" s="2120" t="inlineStr">
        <is>
          <t>Shareholder's Equity</t>
        </is>
      </c>
      <c r="B88" s="2121" t="n"/>
      <c r="C88" s="2122" t="n"/>
      <c r="D88" s="2122" t="n"/>
      <c r="E88" s="2122" t="n"/>
      <c r="F88" s="2122" t="n"/>
      <c r="G88" s="2122" t="n"/>
      <c r="H88" s="2122" t="n"/>
      <c r="I88" s="2122" t="n"/>
      <c r="J88" s="2122" t="n"/>
      <c r="K88" s="2122" t="n"/>
      <c r="L88" s="2122" t="n"/>
      <c r="M88" s="2122" t="n"/>
      <c r="N88" s="2122" t="n"/>
      <c r="O88" s="2087" t="n"/>
      <c r="P88" s="2087" t="n"/>
      <c r="Q88" s="2087" t="n"/>
      <c r="R88" s="2087" t="n"/>
      <c r="S88" s="2122" t="n"/>
      <c r="T88" s="2087" t="n"/>
      <c r="U88" s="2087" t="n"/>
      <c r="V88" s="2087" t="n"/>
      <c r="W88" s="2087" t="n"/>
      <c r="X88" s="2122" t="n"/>
      <c r="Y88" s="2087" t="n"/>
      <c r="Z88" s="2087" t="n"/>
      <c r="AA88" s="2087" t="n"/>
      <c r="AB88" s="2087">
        <f>INDEX(MO_BS_SE,0,COLUMN())</f>
        <v/>
      </c>
      <c r="AC88" s="2122">
        <f>INDEX(MO_BS_SE,0,COLUMN())</f>
        <v/>
      </c>
      <c r="AD88" s="2087" t="n"/>
      <c r="AE88" s="2087" t="n"/>
      <c r="AF88" s="2087">
        <f>INDEX(MO_BS_SE,0,COLUMN())</f>
        <v/>
      </c>
      <c r="AG88" s="2087">
        <f>INDEX(MO_BS_SE,0,COLUMN())</f>
        <v/>
      </c>
      <c r="AH88" s="2122">
        <f>INDEX(MO_BS_SE,0,COLUMN())</f>
        <v/>
      </c>
      <c r="AI88" s="2087">
        <f>INDEX(MO_BS_SE,0,COLUMN())</f>
        <v/>
      </c>
      <c r="AJ88" s="2087">
        <f>INDEX(MO_BS_SE,0,COLUMN())</f>
        <v/>
      </c>
      <c r="AK88" s="2123">
        <f>INDEX(MO_BS_SE,0,COLUMN())</f>
        <v/>
      </c>
      <c r="AL88" s="2087">
        <f>INDEX(MO_BS_SE,0,COLUMN())</f>
        <v/>
      </c>
      <c r="AM88" s="2122">
        <f>INDEX(MO_BS_SE,0,COLUMN())</f>
        <v/>
      </c>
      <c r="AN88" s="2087">
        <f>INDEX(MO_BS_SE,0,COLUMN())</f>
        <v/>
      </c>
      <c r="AO88" s="2087">
        <f>INDEX(MO_BS_SE,0,COLUMN())</f>
        <v/>
      </c>
      <c r="AP88" s="2087">
        <f>INDEX(MO_BS_SE,0,COLUMN())</f>
        <v/>
      </c>
      <c r="AQ88" s="2087">
        <f>INDEX(MO_BS_SE,0,COLUMN())</f>
        <v/>
      </c>
      <c r="AR88" s="2122">
        <f>INDEX(MO_BS_SE,0,COLUMN())</f>
        <v/>
      </c>
      <c r="AS88" s="2122">
        <f>INDEX(MO_BS_SE,0,COLUMN())</f>
        <v/>
      </c>
      <c r="AT88" s="2122">
        <f>INDEX(MO_BS_SE,0,COLUMN())</f>
        <v/>
      </c>
      <c r="AU88" s="2122">
        <f>INDEX(MO_BS_SE,0,COLUMN())</f>
        <v/>
      </c>
      <c r="AV88" s="2087" t="n"/>
    </row>
    <row r="89" hidden="1" outlineLevel="1" ht="14.4" customHeight="1" s="877">
      <c r="A89" s="2120" t="inlineStr">
        <is>
          <t>Average Shareholder's Equity</t>
        </is>
      </c>
      <c r="B89" s="2121" t="n"/>
      <c r="C89" s="2122" t="n"/>
      <c r="D89" s="2122" t="n"/>
      <c r="E89" s="2122" t="n"/>
      <c r="F89" s="2122" t="n"/>
      <c r="G89" s="2122" t="n"/>
      <c r="H89" s="2122" t="n"/>
      <c r="I89" s="2122" t="n"/>
      <c r="J89" s="2122" t="n"/>
      <c r="K89" s="2122" t="n"/>
      <c r="L89" s="2122" t="n"/>
      <c r="M89" s="2122" t="n"/>
      <c r="N89" s="2122" t="n"/>
      <c r="O89" s="2087" t="n"/>
      <c r="P89" s="2087" t="n"/>
      <c r="Q89" s="2087" t="n"/>
      <c r="R89" s="2087" t="n"/>
      <c r="S89" s="2122" t="n"/>
      <c r="T89" s="2087" t="n"/>
      <c r="U89" s="2087" t="n"/>
      <c r="V89" s="2087" t="n"/>
      <c r="W89" s="2087" t="n"/>
      <c r="X89" s="2122" t="n"/>
      <c r="Y89" s="2087" t="n"/>
      <c r="Z89" s="2087" t="n"/>
      <c r="AA89" s="2087" t="n"/>
      <c r="AB89" s="2087" t="n"/>
      <c r="AC89" s="2122">
        <f>AVERAGE(AC88,X88)</f>
        <v/>
      </c>
      <c r="AD89" s="2087" t="n"/>
      <c r="AE89" s="2087" t="n"/>
      <c r="AF89" s="2087" t="n"/>
      <c r="AG89" s="2087" t="n"/>
      <c r="AH89" s="2122">
        <f>AVERAGE(AH88,AC88)</f>
        <v/>
      </c>
      <c r="AI89" s="2087">
        <f>AVERAGE(AI88,AG88,AF88,AE88)</f>
        <v/>
      </c>
      <c r="AJ89" s="2087">
        <f>AVERAGE(AJ88,AI88,AG88,AF88)</f>
        <v/>
      </c>
      <c r="AK89" s="2123">
        <f>AVERAGE(AK88,AJ88,AI88,AG88)</f>
        <v/>
      </c>
      <c r="AL89" s="2087">
        <f>AVERAGE(AL88,AK88,AJ88,AI88)</f>
        <v/>
      </c>
      <c r="AM89" s="2122">
        <f>AVERAGE(AM88,AH88)</f>
        <v/>
      </c>
      <c r="AN89" s="2087">
        <f>AVERAGE(AN88,AL88,AK88,AJ88)</f>
        <v/>
      </c>
      <c r="AO89" s="2087">
        <f>AVERAGE(AO88,AN88,AL88,AK88)</f>
        <v/>
      </c>
      <c r="AP89" s="2087">
        <f>AVERAGE(AP88,AO88,AN88,AL88)</f>
        <v/>
      </c>
      <c r="AQ89" s="2087">
        <f>AVERAGE(AQ88,AP88,AO88,AN88)</f>
        <v/>
      </c>
      <c r="AR89" s="2122">
        <f>AVERAGE(AR88,AM88)</f>
        <v/>
      </c>
      <c r="AS89" s="2122">
        <f>AVERAGE(AS88,AR88)</f>
        <v/>
      </c>
      <c r="AT89" s="2122">
        <f>AVERAGE(AT88,AS88)</f>
        <v/>
      </c>
      <c r="AU89" s="2122">
        <f>AVERAGE(AU88,AT88)</f>
        <v/>
      </c>
      <c r="AV89" s="2087" t="n"/>
    </row>
    <row r="90" collapsed="1" ht="14.4" customFormat="1" customHeight="1" s="2206">
      <c r="A90" s="2178" t="inlineStr">
        <is>
          <t>ROE</t>
        </is>
      </c>
      <c r="B90" s="2179" t="n"/>
      <c r="C90" s="2180" t="n"/>
      <c r="D90" s="2180" t="n"/>
      <c r="E90" s="2180" t="n"/>
      <c r="F90" s="2180" t="n"/>
      <c r="G90" s="2180" t="n"/>
      <c r="H90" s="2180" t="n"/>
      <c r="I90" s="2180" t="n"/>
      <c r="J90" s="2180" t="n"/>
      <c r="K90" s="2180" t="n"/>
      <c r="L90" s="2180" t="n"/>
      <c r="M90" s="2180" t="n"/>
      <c r="N90" s="2180" t="n"/>
      <c r="O90" s="2181" t="n"/>
      <c r="P90" s="2181" t="n"/>
      <c r="Q90" s="2181" t="n"/>
      <c r="R90" s="2181" t="n"/>
      <c r="S90" s="2180" t="n"/>
      <c r="T90" s="2181" t="n"/>
      <c r="U90" s="2181" t="n"/>
      <c r="V90" s="2181" t="n"/>
      <c r="W90" s="2181" t="n"/>
      <c r="X90" s="2180" t="n"/>
      <c r="Y90" s="2181" t="n"/>
      <c r="Z90" s="2181" t="n"/>
      <c r="AA90" s="2181" t="n"/>
      <c r="AB90" s="2181" t="n"/>
      <c r="AC90" s="2180">
        <f>IF(AC89&lt;0,"NMF",IF(ABS(AC87/AC89)&gt;1,"NMF",AC87/AC89))</f>
        <v/>
      </c>
      <c r="AD90" s="2181" t="n"/>
      <c r="AE90" s="2181" t="n"/>
      <c r="AF90" s="2181" t="n"/>
      <c r="AG90" s="2181" t="n"/>
      <c r="AH90" s="2180">
        <f>IF(AH89&lt;0,"NMF",IF(ABS(AH87/AH89)&gt;1,"NMF",AH87/AH89))</f>
        <v/>
      </c>
      <c r="AI90" s="2181">
        <f>IF(AI89&lt;0,"NMF",IF(ABS(AI87/AI89)&gt;1,"NMF",AI87/AI89))</f>
        <v/>
      </c>
      <c r="AJ90" s="2181">
        <f>IF(AJ89&lt;0,"NMF",IF(ABS(AJ87/AJ89)&gt;1,"NMF",AJ87/AJ89))</f>
        <v/>
      </c>
      <c r="AK90" s="2182">
        <f>IF(AK89&lt;0,"NMF",IF(ABS(AK87/AK89)&gt;1,"NMF",AK87/AK89))</f>
        <v/>
      </c>
      <c r="AL90" s="2181">
        <f>IF(AL89&lt;0,"NMF",IF(ABS(AL87/AL89)&gt;1,"NMF",AL87/AL89))</f>
        <v/>
      </c>
      <c r="AM90" s="2180">
        <f>IF(AM89&lt;0,"NMF",IF(ABS(AM87/AM89)&gt;1,"NMF",AM87/AM89))</f>
        <v/>
      </c>
      <c r="AN90" s="2181">
        <f>IF(AN89&lt;0,"NMF",IF(ABS(AN87/AN89)&gt;1,"NMF",AN87/AN89))</f>
        <v/>
      </c>
      <c r="AO90" s="2181">
        <f>IF(AO89&lt;0,"NMF",IF(ABS(AO87/AO89)&gt;1,"NMF",AO87/AO89))</f>
        <v/>
      </c>
      <c r="AP90" s="2181">
        <f>IF(AP89&lt;0,"NMF",IF(ABS(AP87/AP89)&gt;1,"NMF",AP87/AP89))</f>
        <v/>
      </c>
      <c r="AQ90" s="2181">
        <f>IF(AQ89&lt;0,"NMF",IF(ABS(AQ87/AQ89)&gt;1,"NMF",AQ87/AQ89))</f>
        <v/>
      </c>
      <c r="AR90" s="2180">
        <f>IF(AR89&lt;0,"NMF",IF(ABS(AR87/AR89)&gt;1,"NMF",AR87/AR89))</f>
        <v/>
      </c>
      <c r="AS90" s="2180">
        <f>IF(AS89&lt;0,"NMF",IF(ABS(AS87/AS89)&gt;1,"NMF",AS87/AS89))</f>
        <v/>
      </c>
      <c r="AT90" s="2180">
        <f>IF(AT89&lt;0,"NMF",IF(ABS(AT87/AT89)&gt;1,"NMF",AT87/AT89))</f>
        <v/>
      </c>
      <c r="AU90" s="2180">
        <f>IF(AU89&lt;0,"NMF",IF(ABS(AU87/AU89)&gt;1,"NMF",AU87/AU89))</f>
        <v/>
      </c>
      <c r="AV90" s="2207" t="n"/>
    </row>
    <row r="91" hidden="1" outlineLevel="1" ht="14.4" customHeight="1" s="877">
      <c r="A91" s="2120" t="inlineStr">
        <is>
          <t>NOPAT</t>
        </is>
      </c>
      <c r="B91" s="2121" t="n"/>
      <c r="C91" s="2122" t="n"/>
      <c r="D91" s="2122" t="n"/>
      <c r="E91" s="2122" t="n"/>
      <c r="F91" s="2122" t="n"/>
      <c r="G91" s="2122" t="n"/>
      <c r="H91" s="2122" t="n"/>
      <c r="I91" s="2122" t="n"/>
      <c r="J91" s="2122" t="n"/>
      <c r="K91" s="2122" t="n"/>
      <c r="L91" s="2122" t="n"/>
      <c r="M91" s="2122" t="n"/>
      <c r="N91" s="2122" t="n"/>
      <c r="O91" s="2087" t="n"/>
      <c r="P91" s="2087" t="n"/>
      <c r="Q91" s="2087" t="n"/>
      <c r="R91" s="2087" t="n"/>
      <c r="S91" s="2122" t="n"/>
      <c r="T91" s="2087" t="n"/>
      <c r="U91" s="2087" t="n"/>
      <c r="V91" s="2087" t="n"/>
      <c r="W91" s="2087" t="n"/>
      <c r="X91" s="2122">
        <f>INDEX(MO_RIS_Reported_OperatingIncome_NONGAAP,0,COLUMN())*(1-INDEX(MO_RIS_TaxRate_NONGAAP,0,COLUMN()))</f>
        <v/>
      </c>
      <c r="Y91" s="2087" t="n"/>
      <c r="Z91" s="2087" t="n"/>
      <c r="AA91" s="2087">
        <f>INDEX(MO_RIS_Reported_OperatingIncome_NONGAAP,0,COLUMN())*(1-INDEX(MO_RIS_TaxRate_NONGAAP,0,COLUMN()))</f>
        <v/>
      </c>
      <c r="AB91" s="2087">
        <f>INDEX(MO_RIS_Reported_OperatingIncome_NONGAAP,0,COLUMN())*(1-INDEX(MO_RIS_TaxRate_NONGAAP,0,COLUMN()))</f>
        <v/>
      </c>
      <c r="AC91" s="2122">
        <f>INDEX(MO_RIS_Reported_OperatingIncome_NONGAAP,0,COLUMN())*(1-INDEX(MO_RIS_TaxRate_NONGAAP,0,COLUMN()))</f>
        <v/>
      </c>
      <c r="AD91" s="2087">
        <f>INDEX(MO_RIS_Reported_OperatingIncome_NONGAAP,0,COLUMN())*(1-INDEX(MO_RIS_TaxRate_NONGAAP,0,COLUMN()))</f>
        <v/>
      </c>
      <c r="AE91" s="2087">
        <f>INDEX(MO_RIS_Reported_OperatingIncome_NONGAAP,0,COLUMN())*(1-INDEX(MO_RIS_TaxRate_NONGAAP,0,COLUMN()))</f>
        <v/>
      </c>
      <c r="AF91" s="2087">
        <f>INDEX(MO_RIS_Reported_OperatingIncome_NONGAAP,0,COLUMN())*(1-INDEX(MO_RIS_TaxRate_NONGAAP,0,COLUMN()))</f>
        <v/>
      </c>
      <c r="AG91" s="2087">
        <f>INDEX(MO_RIS_Reported_OperatingIncome_NONGAAP,0,COLUMN())*(1-INDEX(MO_RIS_TaxRate_NONGAAP,0,COLUMN()))</f>
        <v/>
      </c>
      <c r="AH91" s="2122">
        <f>INDEX(MO_RIS_Reported_OperatingIncome_NONGAAP,0,COLUMN())*(1-INDEX(MO_RIS_TaxRate_NONGAAP,0,COLUMN()))</f>
        <v/>
      </c>
      <c r="AI91" s="2087">
        <f>INDEX(MO_RIS_Reported_OperatingIncome_NONGAAP,0,COLUMN())*(1-INDEX(MO_RIS_TaxRate_NONGAAP,0,COLUMN()))</f>
        <v/>
      </c>
      <c r="AJ91" s="2087">
        <f>INDEX(MO_RIS_Reported_OperatingIncome_NONGAAP,0,COLUMN())*(1-INDEX(MO_RIS_TaxRate_NONGAAP,0,COLUMN()))</f>
        <v/>
      </c>
      <c r="AK91" s="2123">
        <f>INDEX(MO_RIS_Reported_OperatingIncome_NONGAAP,0,COLUMN())*(1-INDEX(MO_RIS_TaxRate_NONGAAP,0,COLUMN()))</f>
        <v/>
      </c>
      <c r="AL91" s="2087">
        <f>INDEX(MO_RIS_Reported_OperatingIncome_NONGAAP,0,COLUMN())*(1-INDEX(MO_RIS_TaxRate_NONGAAP,0,COLUMN()))</f>
        <v/>
      </c>
      <c r="AM91" s="2122">
        <f>INDEX(MO_RIS_Reported_OperatingIncome_NONGAAP,0,COLUMN())*(1-INDEX(MO_RIS_TaxRate_NONGAAP,0,COLUMN()))</f>
        <v/>
      </c>
      <c r="AN91" s="2087">
        <f>INDEX(MO_RIS_Reported_OperatingIncome_NONGAAP,0,COLUMN())*(1-INDEX(MO_RIS_TaxRate_NONGAAP,0,COLUMN()))</f>
        <v/>
      </c>
      <c r="AO91" s="2087">
        <f>INDEX(MO_RIS_Reported_OperatingIncome_NONGAAP,0,COLUMN())*(1-INDEX(MO_RIS_TaxRate_NONGAAP,0,COLUMN()))</f>
        <v/>
      </c>
      <c r="AP91" s="2087">
        <f>INDEX(MO_RIS_Reported_OperatingIncome_NONGAAP,0,COLUMN())*(1-INDEX(MO_RIS_TaxRate_NONGAAP,0,COLUMN()))</f>
        <v/>
      </c>
      <c r="AQ91" s="2087">
        <f>INDEX(MO_RIS_Reported_OperatingIncome_NONGAAP,0,COLUMN())*(1-INDEX(MO_RIS_TaxRate_NONGAAP,0,COLUMN()))</f>
        <v/>
      </c>
      <c r="AR91" s="2122">
        <f>INDEX(MO_RIS_Reported_OperatingIncome_NONGAAP,0,COLUMN())*(1-INDEX(MO_RIS_TaxRate_NONGAAP,0,COLUMN()))</f>
        <v/>
      </c>
      <c r="AS91" s="2122">
        <f>INDEX(MO_RIS_Reported_OperatingIncome_NONGAAP,0,COLUMN())*(1-INDEX(MO_RIS_TaxRate_NONGAAP,0,COLUMN()))</f>
        <v/>
      </c>
      <c r="AT91" s="2122">
        <f>INDEX(MO_RIS_Reported_OperatingIncome_NONGAAP,0,COLUMN())*(1-INDEX(MO_RIS_TaxRate_NONGAAP,0,COLUMN()))</f>
        <v/>
      </c>
      <c r="AU91" s="2122">
        <f>INDEX(MO_RIS_Reported_OperatingIncome_NONGAAP,0,COLUMN())*(1-INDEX(MO_RIS_TaxRate_NONGAAP,0,COLUMN()))</f>
        <v/>
      </c>
      <c r="AV91" s="2087" t="n"/>
    </row>
    <row r="92" hidden="1" outlineLevel="1" ht="14.4" customHeight="1" s="877">
      <c r="A92" s="2120" t="inlineStr">
        <is>
          <t>LTM Net Operating Profit</t>
        </is>
      </c>
      <c r="B92" s="2121" t="n"/>
      <c r="C92" s="2122" t="n"/>
      <c r="D92" s="2122" t="n"/>
      <c r="E92" s="2122" t="n"/>
      <c r="F92" s="2122" t="n"/>
      <c r="G92" s="2122" t="n"/>
      <c r="H92" s="2122" t="n"/>
      <c r="I92" s="2122" t="n"/>
      <c r="J92" s="2122" t="n"/>
      <c r="K92" s="2122" t="n"/>
      <c r="L92" s="2122" t="n"/>
      <c r="M92" s="2122" t="n"/>
      <c r="N92" s="2122" t="n"/>
      <c r="O92" s="2087" t="n"/>
      <c r="P92" s="2087" t="n"/>
      <c r="Q92" s="2087" t="n"/>
      <c r="R92" s="2087" t="n"/>
      <c r="S92" s="2122" t="n"/>
      <c r="T92" s="2087" t="n"/>
      <c r="U92" s="2087" t="n"/>
      <c r="V92" s="2087" t="n"/>
      <c r="W92" s="2087" t="n"/>
      <c r="X92" s="2122">
        <f>X91</f>
        <v/>
      </c>
      <c r="Y92" s="2087" t="n"/>
      <c r="Z92" s="2087" t="n"/>
      <c r="AA92" s="2087" t="n"/>
      <c r="AB92" s="2087" t="n"/>
      <c r="AC92" s="2122">
        <f>AC91</f>
        <v/>
      </c>
      <c r="AD92" s="2087" t="n"/>
      <c r="AE92" s="2087" t="n"/>
      <c r="AF92" s="2087">
        <f>SUM(AF91,AE91,AD91,AB91)</f>
        <v/>
      </c>
      <c r="AG92" s="2087">
        <f>SUM(AG91,AF91,AE91,AD91)</f>
        <v/>
      </c>
      <c r="AH92" s="2122">
        <f>AH91</f>
        <v/>
      </c>
      <c r="AI92" s="2087">
        <f>SUM(AI91,AG91,AF91,AE91)</f>
        <v/>
      </c>
      <c r="AJ92" s="2087">
        <f>SUM(AJ91,AI91,AG91,AF91)</f>
        <v/>
      </c>
      <c r="AK92" s="2123">
        <f>SUM(AK91,AJ91,AI91,AG91)</f>
        <v/>
      </c>
      <c r="AL92" s="2087">
        <f>SUM(AL91,AK91,AJ91,AI91)</f>
        <v/>
      </c>
      <c r="AM92" s="2122">
        <f>AM91</f>
        <v/>
      </c>
      <c r="AN92" s="2087">
        <f>SUM(AN91,AL91,AK91,AJ91)</f>
        <v/>
      </c>
      <c r="AO92" s="2087">
        <f>SUM(AO91,AN91,AL91,AK91)</f>
        <v/>
      </c>
      <c r="AP92" s="2087">
        <f>SUM(AP91,AO91,AN91,AL91)</f>
        <v/>
      </c>
      <c r="AQ92" s="2087">
        <f>SUM(AQ91,AP91,AO91,AN91)</f>
        <v/>
      </c>
      <c r="AR92" s="2122">
        <f>AR91</f>
        <v/>
      </c>
      <c r="AS92" s="2122">
        <f>AS91</f>
        <v/>
      </c>
      <c r="AT92" s="2122">
        <f>AT91</f>
        <v/>
      </c>
      <c r="AU92" s="2122">
        <f>AU91</f>
        <v/>
      </c>
      <c r="AV92" s="2087" t="n"/>
    </row>
    <row r="93" hidden="1" outlineLevel="1" ht="14.4" customHeight="1" s="877">
      <c r="A93" s="2120" t="inlineStr">
        <is>
          <t>Total Assets</t>
        </is>
      </c>
      <c r="B93" s="2121" t="n"/>
      <c r="C93" s="2122" t="n"/>
      <c r="D93" s="2122" t="n"/>
      <c r="E93" s="2122" t="n"/>
      <c r="F93" s="2122" t="n"/>
      <c r="G93" s="2122" t="n"/>
      <c r="H93" s="2122" t="n"/>
      <c r="I93" s="2122" t="n"/>
      <c r="J93" s="2122" t="n"/>
      <c r="K93" s="2122" t="n"/>
      <c r="L93" s="2122" t="n"/>
      <c r="M93" s="2122" t="n"/>
      <c r="N93" s="2122" t="n"/>
      <c r="O93" s="2087" t="n"/>
      <c r="P93" s="2087" t="n"/>
      <c r="Q93" s="2087" t="n"/>
      <c r="R93" s="2087" t="n"/>
      <c r="S93" s="2122" t="n"/>
      <c r="T93" s="2087" t="n"/>
      <c r="U93" s="2087" t="n"/>
      <c r="V93" s="2087" t="n"/>
      <c r="W93" s="2087" t="n"/>
      <c r="X93" s="2122" t="n"/>
      <c r="Y93" s="2087" t="n"/>
      <c r="Z93" s="2087" t="n"/>
      <c r="AA93" s="2087" t="n"/>
      <c r="AB93" s="2087">
        <f>INDEX(MO_BS_TA,0,COLUMN())</f>
        <v/>
      </c>
      <c r="AC93" s="2122">
        <f>INDEX(MO_BS_TA,0,COLUMN())</f>
        <v/>
      </c>
      <c r="AD93" s="2087" t="n"/>
      <c r="AE93" s="2087" t="n"/>
      <c r="AF93" s="2087">
        <f>INDEX(MO_BS_TA,0,COLUMN())</f>
        <v/>
      </c>
      <c r="AG93" s="2087">
        <f>INDEX(MO_BS_TA,0,COLUMN())</f>
        <v/>
      </c>
      <c r="AH93" s="2122">
        <f>INDEX(MO_BS_TA,0,COLUMN())</f>
        <v/>
      </c>
      <c r="AI93" s="2087">
        <f>INDEX(MO_BS_TA,0,COLUMN())</f>
        <v/>
      </c>
      <c r="AJ93" s="2087">
        <f>INDEX(MO_BS_TA,0,COLUMN())</f>
        <v/>
      </c>
      <c r="AK93" s="2123">
        <f>INDEX(MO_BS_TA,0,COLUMN())</f>
        <v/>
      </c>
      <c r="AL93" s="2087">
        <f>INDEX(MO_BS_TA,0,COLUMN())</f>
        <v/>
      </c>
      <c r="AM93" s="2122">
        <f>INDEX(MO_BS_TA,0,COLUMN())</f>
        <v/>
      </c>
      <c r="AN93" s="2087">
        <f>INDEX(MO_BS_TA,0,COLUMN())</f>
        <v/>
      </c>
      <c r="AO93" s="2087">
        <f>INDEX(MO_BS_TA,0,COLUMN())</f>
        <v/>
      </c>
      <c r="AP93" s="2087">
        <f>INDEX(MO_BS_TA,0,COLUMN())</f>
        <v/>
      </c>
      <c r="AQ93" s="2087">
        <f>INDEX(MO_BS_TA,0,COLUMN())</f>
        <v/>
      </c>
      <c r="AR93" s="2122">
        <f>INDEX(MO_BS_TA,0,COLUMN())</f>
        <v/>
      </c>
      <c r="AS93" s="2122">
        <f>INDEX(MO_BS_TA,0,COLUMN())</f>
        <v/>
      </c>
      <c r="AT93" s="2122">
        <f>INDEX(MO_BS_TA,0,COLUMN())</f>
        <v/>
      </c>
      <c r="AU93" s="2122">
        <f>INDEX(MO_BS_TA,0,COLUMN())</f>
        <v/>
      </c>
      <c r="AV93" s="2087" t="n"/>
    </row>
    <row r="94" hidden="1" outlineLevel="1" ht="14.4" customHeight="1" s="877">
      <c r="A94" s="2120" t="inlineStr">
        <is>
          <t>Average Total Assets</t>
        </is>
      </c>
      <c r="B94" s="2121" t="n"/>
      <c r="C94" s="2122" t="n"/>
      <c r="D94" s="2122" t="n"/>
      <c r="E94" s="2122" t="n"/>
      <c r="F94" s="2122" t="n"/>
      <c r="G94" s="2122" t="n"/>
      <c r="H94" s="2122" t="n"/>
      <c r="I94" s="2122" t="n"/>
      <c r="J94" s="2122" t="n"/>
      <c r="K94" s="2122" t="n"/>
      <c r="L94" s="2122" t="n"/>
      <c r="M94" s="2122" t="n"/>
      <c r="N94" s="2122" t="n"/>
      <c r="O94" s="2087" t="n"/>
      <c r="P94" s="2087" t="n"/>
      <c r="Q94" s="2087" t="n"/>
      <c r="R94" s="2087" t="n"/>
      <c r="S94" s="2122" t="n"/>
      <c r="T94" s="2087" t="n"/>
      <c r="U94" s="2087" t="n"/>
      <c r="V94" s="2087" t="n"/>
      <c r="W94" s="2087" t="n"/>
      <c r="X94" s="2122" t="n"/>
      <c r="Y94" s="2087" t="n"/>
      <c r="Z94" s="2087" t="n"/>
      <c r="AA94" s="2087" t="n"/>
      <c r="AB94" s="2087" t="n"/>
      <c r="AC94" s="2122">
        <f>AVERAGE(AC93,X93)</f>
        <v/>
      </c>
      <c r="AD94" s="2087" t="n"/>
      <c r="AE94" s="2087" t="n"/>
      <c r="AF94" s="2087" t="n"/>
      <c r="AG94" s="2087" t="n"/>
      <c r="AH94" s="2122">
        <f>AVERAGE(AH93,AC93)</f>
        <v/>
      </c>
      <c r="AI94" s="2087">
        <f>AVERAGE(AI93,AG93,AF93,AE93)</f>
        <v/>
      </c>
      <c r="AJ94" s="2087">
        <f>AVERAGE(AJ93,AI93,AG93,AF93)</f>
        <v/>
      </c>
      <c r="AK94" s="2123">
        <f>AVERAGE(AK93,AJ93,AI93,AG93)</f>
        <v/>
      </c>
      <c r="AL94" s="2087">
        <f>AVERAGE(AL93,AK93,AJ93,AI93)</f>
        <v/>
      </c>
      <c r="AM94" s="2122">
        <f>AVERAGE(AM93,AH93)</f>
        <v/>
      </c>
      <c r="AN94" s="2087">
        <f>AVERAGE(AN93,AL93,AK93,AJ93)</f>
        <v/>
      </c>
      <c r="AO94" s="2087">
        <f>AVERAGE(AO93,AN93,AL93,AK93)</f>
        <v/>
      </c>
      <c r="AP94" s="2087">
        <f>AVERAGE(AP93,AO93,AN93,AL93)</f>
        <v/>
      </c>
      <c r="AQ94" s="2087">
        <f>AVERAGE(AQ93,AP93,AO93,AN93)</f>
        <v/>
      </c>
      <c r="AR94" s="2122">
        <f>AVERAGE(AR93,AM93)</f>
        <v/>
      </c>
      <c r="AS94" s="2122">
        <f>AVERAGE(AS93,AR93)</f>
        <v/>
      </c>
      <c r="AT94" s="2122">
        <f>AVERAGE(AT93,AS93)</f>
        <v/>
      </c>
      <c r="AU94" s="2122">
        <f>AVERAGE(AU93,AT93)</f>
        <v/>
      </c>
      <c r="AV94" s="2087" t="n"/>
    </row>
    <row r="95" collapsed="1" ht="14.4" customFormat="1" customHeight="1" s="2206">
      <c r="A95" s="2178" t="inlineStr">
        <is>
          <t>After-tax ROA</t>
        </is>
      </c>
      <c r="B95" s="2179" t="n"/>
      <c r="C95" s="2180" t="n"/>
      <c r="D95" s="2180" t="n"/>
      <c r="E95" s="2180" t="n"/>
      <c r="F95" s="2180" t="n"/>
      <c r="G95" s="2180" t="n"/>
      <c r="H95" s="2180" t="n"/>
      <c r="I95" s="2180" t="n"/>
      <c r="J95" s="2180" t="n"/>
      <c r="K95" s="2180" t="n"/>
      <c r="L95" s="2180" t="n"/>
      <c r="M95" s="2180" t="n"/>
      <c r="N95" s="2180" t="n"/>
      <c r="O95" s="2181" t="n"/>
      <c r="P95" s="2181" t="n"/>
      <c r="Q95" s="2181" t="n"/>
      <c r="R95" s="2181" t="n"/>
      <c r="S95" s="2180" t="n"/>
      <c r="T95" s="2181" t="n"/>
      <c r="U95" s="2181" t="n"/>
      <c r="V95" s="2181" t="n"/>
      <c r="W95" s="2181" t="n"/>
      <c r="X95" s="2180" t="n"/>
      <c r="Y95" s="2181" t="n"/>
      <c r="Z95" s="2181" t="n"/>
      <c r="AA95" s="2181" t="n"/>
      <c r="AB95" s="2181" t="n"/>
      <c r="AC95" s="2180">
        <f>IF(AC94&lt;0,"NMF",IF(ABS(AC92/AC94)&gt;1,"NMF",AC92/AC94))</f>
        <v/>
      </c>
      <c r="AD95" s="2181" t="n"/>
      <c r="AE95" s="2181" t="n"/>
      <c r="AF95" s="2181" t="n"/>
      <c r="AG95" s="2181" t="n"/>
      <c r="AH95" s="2180">
        <f>IF(AH94&lt;0,"NMF",IF(ABS(AH92/AH94)&gt;1,"NMF",AH92/AH94))</f>
        <v/>
      </c>
      <c r="AI95" s="2181">
        <f>IF(AI94&lt;0,"NMF",IF(ABS(AI92/AI94)&gt;1,"NMF",AI92/AI94))</f>
        <v/>
      </c>
      <c r="AJ95" s="2181">
        <f>IF(AJ94&lt;0,"NMF",IF(ABS(AJ92/AJ94)&gt;1,"NMF",AJ92/AJ94))</f>
        <v/>
      </c>
      <c r="AK95" s="2182">
        <f>IF(AK94&lt;0,"NMF",IF(ABS(AK92/AK94)&gt;1,"NMF",AK92/AK94))</f>
        <v/>
      </c>
      <c r="AL95" s="2181">
        <f>IF(AL94&lt;0,"NMF",IF(ABS(AL92/AL94)&gt;1,"NMF",AL92/AL94))</f>
        <v/>
      </c>
      <c r="AM95" s="2180">
        <f>IF(AM94&lt;0,"NMF",IF(ABS(AM92/AM94)&gt;1,"NMF",AM92/AM94))</f>
        <v/>
      </c>
      <c r="AN95" s="2181">
        <f>IF(AN94&lt;0,"NMF",IF(ABS(AN92/AN94)&gt;1,"NMF",AN92/AN94))</f>
        <v/>
      </c>
      <c r="AO95" s="2181">
        <f>IF(AO94&lt;0,"NMF",IF(ABS(AO92/AO94)&gt;1,"NMF",AO92/AO94))</f>
        <v/>
      </c>
      <c r="AP95" s="2181">
        <f>IF(AP94&lt;0,"NMF",IF(ABS(AP92/AP94)&gt;1,"NMF",AP92/AP94))</f>
        <v/>
      </c>
      <c r="AQ95" s="2181">
        <f>IF(AQ94&lt;0,"NMF",IF(ABS(AQ92/AQ94)&gt;1,"NMF",AQ92/AQ94))</f>
        <v/>
      </c>
      <c r="AR95" s="2180">
        <f>IF(AR94&lt;0,"NMF",IF(ABS(AR92/AR94)&gt;1,"NMF",AR92/AR94))</f>
        <v/>
      </c>
      <c r="AS95" s="2180">
        <f>IF(AS94&lt;0,"NMF",IF(ABS(AS92/AS94)&gt;1,"NMF",AS92/AS94))</f>
        <v/>
      </c>
      <c r="AT95" s="2180">
        <f>IF(AT94&lt;0,"NMF",IF(ABS(AT92/AT94)&gt;1,"NMF",AT92/AT94))</f>
        <v/>
      </c>
      <c r="AU95" s="2180">
        <f>IF(AU94&lt;0,"NMF",IF(ABS(AU92/AU94)&gt;1,"NMF",AU92/AU94))</f>
        <v/>
      </c>
      <c r="AV95" s="2207" t="n"/>
    </row>
    <row r="96" hidden="1" outlineLevel="1" ht="14.4" customHeight="1" s="877">
      <c r="A96" s="2120" t="inlineStr">
        <is>
          <t>Book Value of Debt</t>
        </is>
      </c>
      <c r="B96" s="2121" t="n"/>
      <c r="C96" s="2122" t="n"/>
      <c r="D96" s="2122" t="n"/>
      <c r="E96" s="2122" t="n"/>
      <c r="F96" s="2122" t="n"/>
      <c r="G96" s="2122" t="n"/>
      <c r="H96" s="2122" t="n"/>
      <c r="I96" s="2122" t="n"/>
      <c r="J96" s="2122" t="n"/>
      <c r="K96" s="2122" t="n"/>
      <c r="L96" s="2122" t="n"/>
      <c r="M96" s="2122" t="n"/>
      <c r="N96" s="2122" t="n"/>
      <c r="O96" s="2087" t="n"/>
      <c r="P96" s="2087" t="n"/>
      <c r="Q96" s="2087" t="n"/>
      <c r="R96" s="2087" t="n"/>
      <c r="S96" s="2122" t="n"/>
      <c r="T96" s="2087" t="n"/>
      <c r="U96" s="2087" t="n"/>
      <c r="V96" s="2087" t="n"/>
      <c r="W96" s="2087" t="n"/>
      <c r="X96" s="2122" t="n"/>
      <c r="Y96" s="2087" t="n"/>
      <c r="Z96" s="2087" t="n"/>
      <c r="AA96" s="2087" t="n"/>
      <c r="AB96" s="2087">
        <f>INDEX(MO_BSS_Debt,0,COLUMN())</f>
        <v/>
      </c>
      <c r="AC96" s="2122">
        <f>INDEX(MO_BSS_Debt,0,COLUMN())</f>
        <v/>
      </c>
      <c r="AD96" s="2087" t="n"/>
      <c r="AE96" s="2087" t="n"/>
      <c r="AF96" s="2087">
        <f>INDEX(MO_BSS_Debt,0,COLUMN())</f>
        <v/>
      </c>
      <c r="AG96" s="2087">
        <f>INDEX(MO_BSS_Debt,0,COLUMN())</f>
        <v/>
      </c>
      <c r="AH96" s="2122">
        <f>INDEX(MO_BSS_Debt,0,COLUMN())</f>
        <v/>
      </c>
      <c r="AI96" s="2087">
        <f>INDEX(MO_BSS_Debt,0,COLUMN())</f>
        <v/>
      </c>
      <c r="AJ96" s="2087">
        <f>INDEX(MO_BSS_Debt,0,COLUMN())</f>
        <v/>
      </c>
      <c r="AK96" s="2123">
        <f>INDEX(MO_BSS_Debt,0,COLUMN())</f>
        <v/>
      </c>
      <c r="AL96" s="2087">
        <f>INDEX(MO_BSS_Debt,0,COLUMN())</f>
        <v/>
      </c>
      <c r="AM96" s="2122">
        <f>INDEX(MO_BSS_Debt,0,COLUMN())</f>
        <v/>
      </c>
      <c r="AN96" s="2087">
        <f>INDEX(MO_BSS_Debt,0,COLUMN())</f>
        <v/>
      </c>
      <c r="AO96" s="2087">
        <f>INDEX(MO_BSS_Debt,0,COLUMN())</f>
        <v/>
      </c>
      <c r="AP96" s="2087">
        <f>INDEX(MO_BSS_Debt,0,COLUMN())</f>
        <v/>
      </c>
      <c r="AQ96" s="2087">
        <f>INDEX(MO_BSS_Debt,0,COLUMN())</f>
        <v/>
      </c>
      <c r="AR96" s="2122">
        <f>INDEX(MO_BSS_Debt,0,COLUMN())</f>
        <v/>
      </c>
      <c r="AS96" s="2122">
        <f>INDEX(MO_BSS_Debt,0,COLUMN())</f>
        <v/>
      </c>
      <c r="AT96" s="2122">
        <f>INDEX(MO_BSS_Debt,0,COLUMN())</f>
        <v/>
      </c>
      <c r="AU96" s="2122">
        <f>INDEX(MO_BSS_Debt,0,COLUMN())</f>
        <v/>
      </c>
      <c r="AV96" s="2087" t="n"/>
    </row>
    <row r="97" hidden="1" outlineLevel="1" ht="14.4" customHeight="1" s="877">
      <c r="A97" s="2120" t="inlineStr">
        <is>
          <t>Average Book Value of Debt</t>
        </is>
      </c>
      <c r="B97" s="2121" t="n"/>
      <c r="C97" s="2122" t="n"/>
      <c r="D97" s="2122" t="n"/>
      <c r="E97" s="2122" t="n"/>
      <c r="F97" s="2122" t="n"/>
      <c r="G97" s="2122" t="n"/>
      <c r="H97" s="2122" t="n"/>
      <c r="I97" s="2122" t="n"/>
      <c r="J97" s="2122" t="n"/>
      <c r="K97" s="2122" t="n"/>
      <c r="L97" s="2122" t="n"/>
      <c r="M97" s="2122" t="n"/>
      <c r="N97" s="2122" t="n"/>
      <c r="O97" s="2087" t="n"/>
      <c r="P97" s="2087" t="n"/>
      <c r="Q97" s="2087" t="n"/>
      <c r="R97" s="2087" t="n"/>
      <c r="S97" s="2122" t="n"/>
      <c r="T97" s="2087" t="n"/>
      <c r="U97" s="2087" t="n"/>
      <c r="V97" s="2087" t="n"/>
      <c r="W97" s="2087" t="n"/>
      <c r="X97" s="2122" t="n"/>
      <c r="Y97" s="2087" t="n"/>
      <c r="Z97" s="2087" t="n"/>
      <c r="AA97" s="2087" t="n"/>
      <c r="AB97" s="2087" t="n"/>
      <c r="AC97" s="2122">
        <f>AVERAGE(AC96,X96)</f>
        <v/>
      </c>
      <c r="AD97" s="2087" t="n"/>
      <c r="AE97" s="2087" t="n"/>
      <c r="AF97" s="2087" t="n"/>
      <c r="AG97" s="2087" t="n"/>
      <c r="AH97" s="2122">
        <f>AVERAGE(AH96,AC96)</f>
        <v/>
      </c>
      <c r="AI97" s="2087">
        <f>AVERAGE(AI96,AG96,AF96,AE96)</f>
        <v/>
      </c>
      <c r="AJ97" s="2087">
        <f>AVERAGE(AJ96,AI96,AG96,AF96)</f>
        <v/>
      </c>
      <c r="AK97" s="2123">
        <f>AVERAGE(AK96,AJ96,AI96,AG96)</f>
        <v/>
      </c>
      <c r="AL97" s="2087">
        <f>AVERAGE(AL96,AK96,AJ96,AI96)</f>
        <v/>
      </c>
      <c r="AM97" s="2122">
        <f>AVERAGE(AM96,AH96)</f>
        <v/>
      </c>
      <c r="AN97" s="2087">
        <f>AVERAGE(AN96,AL96,AK96,AJ96)</f>
        <v/>
      </c>
      <c r="AO97" s="2087">
        <f>AVERAGE(AO96,AN96,AL96,AK96)</f>
        <v/>
      </c>
      <c r="AP97" s="2087">
        <f>AVERAGE(AP96,AO96,AN96,AL96)</f>
        <v/>
      </c>
      <c r="AQ97" s="2087">
        <f>AVERAGE(AQ96,AP96,AO96,AN96)</f>
        <v/>
      </c>
      <c r="AR97" s="2122">
        <f>AVERAGE(AR96,AM96)</f>
        <v/>
      </c>
      <c r="AS97" s="2122">
        <f>AVERAGE(AS96,AR96)</f>
        <v/>
      </c>
      <c r="AT97" s="2122">
        <f>AVERAGE(AT96,AS96)</f>
        <v/>
      </c>
      <c r="AU97" s="2122">
        <f>AVERAGE(AU96,AT96)</f>
        <v/>
      </c>
      <c r="AV97" s="2087" t="n"/>
    </row>
    <row r="98" hidden="1" outlineLevel="1" ht="14.4" customHeight="1" s="877">
      <c r="A98" s="2120" t="inlineStr">
        <is>
          <t>Average Invested Capital</t>
        </is>
      </c>
      <c r="B98" s="2121" t="n"/>
      <c r="C98" s="2122" t="n"/>
      <c r="D98" s="2122" t="n"/>
      <c r="E98" s="2122" t="n"/>
      <c r="F98" s="2122" t="n"/>
      <c r="G98" s="2122" t="n"/>
      <c r="H98" s="2122" t="n"/>
      <c r="I98" s="2122" t="n"/>
      <c r="J98" s="2122" t="n"/>
      <c r="K98" s="2122" t="n"/>
      <c r="L98" s="2122" t="n"/>
      <c r="M98" s="2122" t="n"/>
      <c r="N98" s="2122" t="n"/>
      <c r="O98" s="2087" t="n"/>
      <c r="P98" s="2087" t="n"/>
      <c r="Q98" s="2087" t="n"/>
      <c r="R98" s="2087" t="n"/>
      <c r="S98" s="2122" t="n"/>
      <c r="T98" s="2087" t="n"/>
      <c r="U98" s="2087" t="n"/>
      <c r="V98" s="2087" t="n"/>
      <c r="W98" s="2087" t="n"/>
      <c r="X98" s="2122" t="n"/>
      <c r="Y98" s="2087" t="n"/>
      <c r="Z98" s="2087" t="n"/>
      <c r="AA98" s="2087" t="n"/>
      <c r="AB98" s="2087" t="n"/>
      <c r="AC98" s="2122">
        <f>SUM(INDEX(SP_BSR_Debt_Avg,0,COLUMN()),INDEX(SP_BSR_SE_Avg,0,COLUMN()))</f>
        <v/>
      </c>
      <c r="AD98" s="2087" t="n"/>
      <c r="AE98" s="2087" t="n"/>
      <c r="AF98" s="2087" t="n"/>
      <c r="AG98" s="2087" t="n"/>
      <c r="AH98" s="2122">
        <f>SUM(INDEX(SP_BSR_Debt_Avg,0,COLUMN()),INDEX(SP_BSR_SE_Avg,0,COLUMN()))</f>
        <v/>
      </c>
      <c r="AI98" s="2087">
        <f>SUM(INDEX(SP_BSR_Debt_Avg,0,COLUMN()),INDEX(SP_BSR_SE_Avg,0,COLUMN()))</f>
        <v/>
      </c>
      <c r="AJ98" s="2087">
        <f>SUM(INDEX(SP_BSR_Debt_Avg,0,COLUMN()),INDEX(SP_BSR_SE_Avg,0,COLUMN()))</f>
        <v/>
      </c>
      <c r="AK98" s="2123">
        <f>SUM(INDEX(SP_BSR_Debt_Avg,0,COLUMN()),INDEX(SP_BSR_SE_Avg,0,COLUMN()))</f>
        <v/>
      </c>
      <c r="AL98" s="2087">
        <f>SUM(INDEX(SP_BSR_Debt_Avg,0,COLUMN()),INDEX(SP_BSR_SE_Avg,0,COLUMN()))</f>
        <v/>
      </c>
      <c r="AM98" s="2122">
        <f>SUM(INDEX(SP_BSR_Debt_Avg,0,COLUMN()),INDEX(SP_BSR_SE_Avg,0,COLUMN()))</f>
        <v/>
      </c>
      <c r="AN98" s="2087">
        <f>SUM(INDEX(SP_BSR_Debt_Avg,0,COLUMN()),INDEX(SP_BSR_SE_Avg,0,COLUMN()))</f>
        <v/>
      </c>
      <c r="AO98" s="2087">
        <f>SUM(INDEX(SP_BSR_Debt_Avg,0,COLUMN()),INDEX(SP_BSR_SE_Avg,0,COLUMN()))</f>
        <v/>
      </c>
      <c r="AP98" s="2087">
        <f>SUM(INDEX(SP_BSR_Debt_Avg,0,COLUMN()),INDEX(SP_BSR_SE_Avg,0,COLUMN()))</f>
        <v/>
      </c>
      <c r="AQ98" s="2087">
        <f>SUM(INDEX(SP_BSR_Debt_Avg,0,COLUMN()),INDEX(SP_BSR_SE_Avg,0,COLUMN()))</f>
        <v/>
      </c>
      <c r="AR98" s="2122">
        <f>SUM(INDEX(SP_BSR_Debt_Avg,0,COLUMN()),INDEX(SP_BSR_SE_Avg,0,COLUMN()))</f>
        <v/>
      </c>
      <c r="AS98" s="2122">
        <f>SUM(INDEX(SP_BSR_Debt_Avg,0,COLUMN()),INDEX(SP_BSR_SE_Avg,0,COLUMN()))</f>
        <v/>
      </c>
      <c r="AT98" s="2122">
        <f>SUM(INDEX(SP_BSR_Debt_Avg,0,COLUMN()),INDEX(SP_BSR_SE_Avg,0,COLUMN()))</f>
        <v/>
      </c>
      <c r="AU98" s="2122">
        <f>SUM(INDEX(SP_BSR_Debt_Avg,0,COLUMN()),INDEX(SP_BSR_SE_Avg,0,COLUMN()))</f>
        <v/>
      </c>
      <c r="AV98" s="2087" t="n"/>
    </row>
    <row r="99" collapsed="1" ht="14.4" customFormat="1" customHeight="1" s="2206">
      <c r="A99" s="2178" t="inlineStr">
        <is>
          <t>ROIC</t>
        </is>
      </c>
      <c r="B99" s="2179" t="n"/>
      <c r="C99" s="2180" t="n"/>
      <c r="D99" s="2180" t="n"/>
      <c r="E99" s="2180" t="n"/>
      <c r="F99" s="2180" t="n"/>
      <c r="G99" s="2180" t="n"/>
      <c r="H99" s="2180" t="n"/>
      <c r="I99" s="2180" t="n"/>
      <c r="J99" s="2180" t="n"/>
      <c r="K99" s="2180" t="n"/>
      <c r="L99" s="2180" t="n"/>
      <c r="M99" s="2180" t="n"/>
      <c r="N99" s="2180" t="n"/>
      <c r="O99" s="2181" t="n"/>
      <c r="P99" s="2181" t="n"/>
      <c r="Q99" s="2181" t="n"/>
      <c r="R99" s="2181" t="n"/>
      <c r="S99" s="2180" t="n"/>
      <c r="T99" s="2181" t="n"/>
      <c r="U99" s="2181" t="n"/>
      <c r="V99" s="2181" t="n"/>
      <c r="W99" s="2181" t="n"/>
      <c r="X99" s="2180" t="n"/>
      <c r="Y99" s="2181" t="n"/>
      <c r="Z99" s="2181" t="n"/>
      <c r="AA99" s="2181" t="n"/>
      <c r="AB99" s="2181" t="n"/>
      <c r="AC99" s="2180">
        <f>IF(AC98&lt;0,"NMF",IF(ABS(AC92/AC98)&gt;1,"NMF",AC92/AC98))</f>
        <v/>
      </c>
      <c r="AD99" s="2181" t="n"/>
      <c r="AE99" s="2181" t="n"/>
      <c r="AF99" s="2181" t="n"/>
      <c r="AG99" s="2181" t="n"/>
      <c r="AH99" s="2180">
        <f>IF(AH98&lt;0,"NMF",IF(ABS(AH92/AH98)&gt;1,"NMF",AH92/AH98))</f>
        <v/>
      </c>
      <c r="AI99" s="2181">
        <f>IF(AI98&lt;0,"NMF",IF(ABS(AI92/AI98)&gt;1,"NMF",AI92/AI98))</f>
        <v/>
      </c>
      <c r="AJ99" s="2181">
        <f>IF(AJ98&lt;0,"NMF",IF(ABS(AJ92/AJ98)&gt;1,"NMF",AJ92/AJ98))</f>
        <v/>
      </c>
      <c r="AK99" s="2182">
        <f>IF(AK98&lt;0,"NMF",IF(ABS(AK92/AK98)&gt;1,"NMF",AK92/AK98))</f>
        <v/>
      </c>
      <c r="AL99" s="2181">
        <f>IF(AL98&lt;0,"NMF",IF(ABS(AL92/AL98)&gt;1,"NMF",AL92/AL98))</f>
        <v/>
      </c>
      <c r="AM99" s="2180">
        <f>IF(AM98&lt;0,"NMF",IF(ABS(AM92/AM98)&gt;1,"NMF",AM92/AM98))</f>
        <v/>
      </c>
      <c r="AN99" s="2181">
        <f>IF(AN98&lt;0,"NMF",IF(ABS(AN92/AN98)&gt;1,"NMF",AN92/AN98))</f>
        <v/>
      </c>
      <c r="AO99" s="2181">
        <f>IF(AO98&lt;0,"NMF",IF(ABS(AO92/AO98)&gt;1,"NMF",AO92/AO98))</f>
        <v/>
      </c>
      <c r="AP99" s="2181">
        <f>IF(AP98&lt;0,"NMF",IF(ABS(AP92/AP98)&gt;1,"NMF",AP92/AP98))</f>
        <v/>
      </c>
      <c r="AQ99" s="2181">
        <f>IF(AQ98&lt;0,"NMF",IF(ABS(AQ92/AQ98)&gt;1,"NMF",AQ92/AQ98))</f>
        <v/>
      </c>
      <c r="AR99" s="2180">
        <f>IF(AR98&lt;0,"NMF",IF(ABS(AR92/AR98)&gt;1,"NMF",AR92/AR98))</f>
        <v/>
      </c>
      <c r="AS99" s="2180">
        <f>IF(AS98&lt;0,"NMF",IF(ABS(AS92/AS98)&gt;1,"NMF",AS92/AS98))</f>
        <v/>
      </c>
      <c r="AT99" s="2180">
        <f>IF(AT98&lt;0,"NMF",IF(ABS(AT92/AT98)&gt;1,"NMF",AT92/AT98))</f>
        <v/>
      </c>
      <c r="AU99" s="2180">
        <f>IF(AU98&lt;0,"NMF",IF(ABS(AU92/AU98)&gt;1,"NMF",AU92/AU98))</f>
        <v/>
      </c>
      <c r="AV99" s="2207" t="n"/>
    </row>
    <row r="100" hidden="1" outlineLevel="1" ht="14.4" customHeight="1" s="877">
      <c r="A100" s="2120" t="inlineStr">
        <is>
          <t>EBIT</t>
        </is>
      </c>
      <c r="B100" s="2121" t="n"/>
      <c r="C100" s="2122" t="n"/>
      <c r="D100" s="2122" t="n"/>
      <c r="E100" s="2122" t="n"/>
      <c r="F100" s="2122" t="n"/>
      <c r="G100" s="2122" t="n"/>
      <c r="H100" s="2122" t="n"/>
      <c r="I100" s="2122" t="n"/>
      <c r="J100" s="2122" t="n"/>
      <c r="K100" s="2122" t="n"/>
      <c r="L100" s="2122" t="n"/>
      <c r="M100" s="2122" t="n"/>
      <c r="N100" s="2122" t="n"/>
      <c r="O100" s="2087" t="n"/>
      <c r="P100" s="2087" t="n"/>
      <c r="Q100" s="2087" t="n"/>
      <c r="R100" s="2087" t="n"/>
      <c r="S100" s="2122" t="n"/>
      <c r="T100" s="2087" t="n"/>
      <c r="U100" s="2087" t="n"/>
      <c r="V100" s="2087" t="n"/>
      <c r="W100" s="2087" t="n"/>
      <c r="X100" s="2122">
        <f>INDEX(MO_RIS_Reported_OperatingIncome_NONGAAP,0,COLUMN())</f>
        <v/>
      </c>
      <c r="Y100" s="2087" t="n"/>
      <c r="Z100" s="2087" t="n"/>
      <c r="AA100" s="2087">
        <f>INDEX(MO_RIS_Reported_OperatingIncome_NONGAAP,0,COLUMN())</f>
        <v/>
      </c>
      <c r="AB100" s="2087">
        <f>INDEX(MO_RIS_Reported_OperatingIncome_NONGAAP,0,COLUMN())</f>
        <v/>
      </c>
      <c r="AC100" s="2122">
        <f>INDEX(MO_RIS_Reported_OperatingIncome_NONGAAP,0,COLUMN())</f>
        <v/>
      </c>
      <c r="AD100" s="2087">
        <f>INDEX(MO_RIS_Reported_OperatingIncome_NONGAAP,0,COLUMN())</f>
        <v/>
      </c>
      <c r="AE100" s="2087">
        <f>INDEX(MO_RIS_Reported_OperatingIncome_NONGAAP,0,COLUMN())</f>
        <v/>
      </c>
      <c r="AF100" s="2087">
        <f>INDEX(MO_RIS_Reported_OperatingIncome_NONGAAP,0,COLUMN())</f>
        <v/>
      </c>
      <c r="AG100" s="2087">
        <f>INDEX(MO_RIS_Reported_OperatingIncome_NONGAAP,0,COLUMN())</f>
        <v/>
      </c>
      <c r="AH100" s="2122">
        <f>INDEX(MO_RIS_Reported_OperatingIncome_NONGAAP,0,COLUMN())</f>
        <v/>
      </c>
      <c r="AI100" s="2087">
        <f>INDEX(MO_RIS_Reported_OperatingIncome_NONGAAP,0,COLUMN())</f>
        <v/>
      </c>
      <c r="AJ100" s="2087">
        <f>INDEX(MO_RIS_Reported_OperatingIncome_NONGAAP,0,COLUMN())</f>
        <v/>
      </c>
      <c r="AK100" s="2123">
        <f>INDEX(MO_RIS_Reported_OperatingIncome_NONGAAP,0,COLUMN())</f>
        <v/>
      </c>
      <c r="AL100" s="2087">
        <f>INDEX(MO_RIS_Reported_OperatingIncome_NONGAAP,0,COLUMN())</f>
        <v/>
      </c>
      <c r="AM100" s="2122">
        <f>INDEX(MO_RIS_Reported_OperatingIncome_NONGAAP,0,COLUMN())</f>
        <v/>
      </c>
      <c r="AN100" s="2087">
        <f>INDEX(MO_RIS_Reported_OperatingIncome_NONGAAP,0,COLUMN())</f>
        <v/>
      </c>
      <c r="AO100" s="2087">
        <f>INDEX(MO_RIS_Reported_OperatingIncome_NONGAAP,0,COLUMN())</f>
        <v/>
      </c>
      <c r="AP100" s="2087">
        <f>INDEX(MO_RIS_Reported_OperatingIncome_NONGAAP,0,COLUMN())</f>
        <v/>
      </c>
      <c r="AQ100" s="2087">
        <f>INDEX(MO_RIS_Reported_OperatingIncome_NONGAAP,0,COLUMN())</f>
        <v/>
      </c>
      <c r="AR100" s="2122">
        <f>INDEX(MO_RIS_Reported_OperatingIncome_NONGAAP,0,COLUMN())</f>
        <v/>
      </c>
      <c r="AS100" s="2122">
        <f>INDEX(MO_RIS_Reported_OperatingIncome_NONGAAP,0,COLUMN())</f>
        <v/>
      </c>
      <c r="AT100" s="2122">
        <f>INDEX(MO_RIS_Reported_OperatingIncome_NONGAAP,0,COLUMN())</f>
        <v/>
      </c>
      <c r="AU100" s="2122">
        <f>INDEX(MO_RIS_Reported_OperatingIncome_NONGAAP,0,COLUMN())</f>
        <v/>
      </c>
      <c r="AV100" s="2087" t="n"/>
    </row>
    <row r="101" hidden="1" outlineLevel="1" ht="14.4" customHeight="1" s="877">
      <c r="A101" s="2120" t="inlineStr">
        <is>
          <t>LTM EBIT</t>
        </is>
      </c>
      <c r="B101" s="2121" t="n"/>
      <c r="C101" s="2122" t="n"/>
      <c r="D101" s="2122" t="n"/>
      <c r="E101" s="2122" t="n"/>
      <c r="F101" s="2122" t="n"/>
      <c r="G101" s="2122" t="n"/>
      <c r="H101" s="2122" t="n"/>
      <c r="I101" s="2122" t="n"/>
      <c r="J101" s="2122" t="n"/>
      <c r="K101" s="2122" t="n"/>
      <c r="L101" s="2122" t="n"/>
      <c r="M101" s="2122" t="n"/>
      <c r="N101" s="2122" t="n"/>
      <c r="O101" s="2087" t="n"/>
      <c r="P101" s="2087" t="n"/>
      <c r="Q101" s="2087" t="n"/>
      <c r="R101" s="2087" t="n"/>
      <c r="S101" s="2122" t="n"/>
      <c r="T101" s="2087" t="n"/>
      <c r="U101" s="2087" t="n"/>
      <c r="V101" s="2087" t="n"/>
      <c r="W101" s="2087" t="n"/>
      <c r="X101" s="2122">
        <f>X100</f>
        <v/>
      </c>
      <c r="Y101" s="2087" t="n"/>
      <c r="Z101" s="2087" t="n"/>
      <c r="AA101" s="2087" t="n"/>
      <c r="AB101" s="2087" t="n"/>
      <c r="AC101" s="2122">
        <f>AC100</f>
        <v/>
      </c>
      <c r="AD101" s="2087" t="n"/>
      <c r="AE101" s="2087" t="n"/>
      <c r="AF101" s="2087">
        <f>SUM(AF100,AE100,AD100,AB100)</f>
        <v/>
      </c>
      <c r="AG101" s="2087">
        <f>SUM(AG100,AF100,AE100,AD100)</f>
        <v/>
      </c>
      <c r="AH101" s="2122">
        <f>AH100</f>
        <v/>
      </c>
      <c r="AI101" s="2087">
        <f>SUM(AI100,AG100,AF100,AE100)</f>
        <v/>
      </c>
      <c r="AJ101" s="2087">
        <f>SUM(AJ100,AI100,AG100,AF100)</f>
        <v/>
      </c>
      <c r="AK101" s="2123">
        <f>SUM(AK100,AJ100,AI100,AG100)</f>
        <v/>
      </c>
      <c r="AL101" s="2087">
        <f>SUM(AL100,AK100,AJ100,AI100)</f>
        <v/>
      </c>
      <c r="AM101" s="2122">
        <f>AM100</f>
        <v/>
      </c>
      <c r="AN101" s="2087">
        <f>SUM(AN100,AL100,AK100,AJ100)</f>
        <v/>
      </c>
      <c r="AO101" s="2087">
        <f>SUM(AO100,AN100,AL100,AK100)</f>
        <v/>
      </c>
      <c r="AP101" s="2087">
        <f>SUM(AP100,AO100,AN100,AL100)</f>
        <v/>
      </c>
      <c r="AQ101" s="2087">
        <f>SUM(AQ100,AP100,AO100,AN100)</f>
        <v/>
      </c>
      <c r="AR101" s="2122">
        <f>AR100</f>
        <v/>
      </c>
      <c r="AS101" s="2122">
        <f>AS100</f>
        <v/>
      </c>
      <c r="AT101" s="2122">
        <f>AT100</f>
        <v/>
      </c>
      <c r="AU101" s="2122">
        <f>AU100</f>
        <v/>
      </c>
      <c r="AV101" s="2087" t="n"/>
    </row>
    <row r="102" hidden="1" outlineLevel="1" ht="14.4" customHeight="1" s="877">
      <c r="A102" s="2120" t="inlineStr">
        <is>
          <t>Current Liabilities</t>
        </is>
      </c>
      <c r="B102" s="2121" t="n"/>
      <c r="C102" s="2122" t="n"/>
      <c r="D102" s="2122" t="n"/>
      <c r="E102" s="2122" t="n"/>
      <c r="F102" s="2122" t="n"/>
      <c r="G102" s="2122" t="n"/>
      <c r="H102" s="2122" t="n"/>
      <c r="I102" s="2122" t="n"/>
      <c r="J102" s="2122" t="n"/>
      <c r="K102" s="2122" t="n"/>
      <c r="L102" s="2122" t="n"/>
      <c r="M102" s="2122" t="n"/>
      <c r="N102" s="2122" t="n"/>
      <c r="O102" s="2087" t="n"/>
      <c r="P102" s="2087" t="n"/>
      <c r="Q102" s="2087" t="n"/>
      <c r="R102" s="2087" t="n"/>
      <c r="S102" s="2122" t="n"/>
      <c r="T102" s="2087" t="n"/>
      <c r="U102" s="2087" t="n"/>
      <c r="V102" s="2087" t="n"/>
      <c r="W102" s="2087" t="n"/>
      <c r="X102" s="2122" t="n"/>
      <c r="Y102" s="2087" t="n"/>
      <c r="Z102" s="2087" t="n"/>
      <c r="AA102" s="2087" t="n"/>
      <c r="AB102" s="2087">
        <f>INDEX(MO_BS_CL,0,COLUMN())</f>
        <v/>
      </c>
      <c r="AC102" s="2122">
        <f>INDEX(MO_BS_CL,0,COLUMN())</f>
        <v/>
      </c>
      <c r="AD102" s="2087" t="n"/>
      <c r="AE102" s="2087" t="n"/>
      <c r="AF102" s="2087">
        <f>INDEX(MO_BS_CL,0,COLUMN())</f>
        <v/>
      </c>
      <c r="AG102" s="2087">
        <f>INDEX(MO_BS_CL,0,COLUMN())</f>
        <v/>
      </c>
      <c r="AH102" s="2122">
        <f>INDEX(MO_BS_CL,0,COLUMN())</f>
        <v/>
      </c>
      <c r="AI102" s="2087">
        <f>INDEX(MO_BS_CL,0,COLUMN())</f>
        <v/>
      </c>
      <c r="AJ102" s="2087">
        <f>INDEX(MO_BS_CL,0,COLUMN())</f>
        <v/>
      </c>
      <c r="AK102" s="2123">
        <f>INDEX(MO_BS_CL,0,COLUMN())</f>
        <v/>
      </c>
      <c r="AL102" s="2087">
        <f>INDEX(MO_BS_CL,0,COLUMN())</f>
        <v/>
      </c>
      <c r="AM102" s="2122">
        <f>INDEX(MO_BS_CL,0,COLUMN())</f>
        <v/>
      </c>
      <c r="AN102" s="2087">
        <f>INDEX(MO_BS_CL,0,COLUMN())</f>
        <v/>
      </c>
      <c r="AO102" s="2087">
        <f>INDEX(MO_BS_CL,0,COLUMN())</f>
        <v/>
      </c>
      <c r="AP102" s="2087">
        <f>INDEX(MO_BS_CL,0,COLUMN())</f>
        <v/>
      </c>
      <c r="AQ102" s="2087">
        <f>INDEX(MO_BS_CL,0,COLUMN())</f>
        <v/>
      </c>
      <c r="AR102" s="2122">
        <f>INDEX(MO_BS_CL,0,COLUMN())</f>
        <v/>
      </c>
      <c r="AS102" s="2122">
        <f>INDEX(MO_BS_CL,0,COLUMN())</f>
        <v/>
      </c>
      <c r="AT102" s="2122">
        <f>INDEX(MO_BS_CL,0,COLUMN())</f>
        <v/>
      </c>
      <c r="AU102" s="2122">
        <f>INDEX(MO_BS_CL,0,COLUMN())</f>
        <v/>
      </c>
      <c r="AV102" s="2087" t="n"/>
    </row>
    <row r="103" hidden="1" outlineLevel="1" ht="14.4" customHeight="1" s="877">
      <c r="A103" s="2120" t="inlineStr">
        <is>
          <t>Average Current Liabilities</t>
        </is>
      </c>
      <c r="B103" s="2121" t="n"/>
      <c r="C103" s="2122" t="n"/>
      <c r="D103" s="2122" t="n"/>
      <c r="E103" s="2122" t="n"/>
      <c r="F103" s="2122" t="n"/>
      <c r="G103" s="2122" t="n"/>
      <c r="H103" s="2122" t="n"/>
      <c r="I103" s="2122" t="n"/>
      <c r="J103" s="2122" t="n"/>
      <c r="K103" s="2122" t="n"/>
      <c r="L103" s="2122" t="n"/>
      <c r="M103" s="2122" t="n"/>
      <c r="N103" s="2122" t="n"/>
      <c r="O103" s="2087" t="n"/>
      <c r="P103" s="2087" t="n"/>
      <c r="Q103" s="2087" t="n"/>
      <c r="R103" s="2087" t="n"/>
      <c r="S103" s="2122" t="n"/>
      <c r="T103" s="2087" t="n"/>
      <c r="U103" s="2087" t="n"/>
      <c r="V103" s="2087" t="n"/>
      <c r="W103" s="2087" t="n"/>
      <c r="X103" s="2122" t="n"/>
      <c r="Y103" s="2087" t="n"/>
      <c r="Z103" s="2087" t="n"/>
      <c r="AA103" s="2087" t="n"/>
      <c r="AB103" s="2087">
        <f>AVERAGE(AB102,AA102,Z102,Y102)</f>
        <v/>
      </c>
      <c r="AC103" s="2122">
        <f>AVERAGE(AC102,X102)</f>
        <v/>
      </c>
      <c r="AD103" s="2087" t="n"/>
      <c r="AE103" s="2087" t="n"/>
      <c r="AF103" s="2087" t="n"/>
      <c r="AG103" s="2087" t="n"/>
      <c r="AH103" s="2122">
        <f>AVERAGE(AH102,AC102)</f>
        <v/>
      </c>
      <c r="AI103" s="2087">
        <f>AVERAGE(AI102,AG102,AF102,AE102)</f>
        <v/>
      </c>
      <c r="AJ103" s="2087">
        <f>AVERAGE(AJ102,AI102,AG102,AF102)</f>
        <v/>
      </c>
      <c r="AK103" s="2123">
        <f>AVERAGE(AK102,AJ102,AI102,AG102)</f>
        <v/>
      </c>
      <c r="AL103" s="2087">
        <f>AVERAGE(AL102,AK102,AJ102,AI102)</f>
        <v/>
      </c>
      <c r="AM103" s="2122">
        <f>AVERAGE(AM102,AH102)</f>
        <v/>
      </c>
      <c r="AN103" s="2087">
        <f>AVERAGE(AN102,AL102,AK102,AJ102)</f>
        <v/>
      </c>
      <c r="AO103" s="2087">
        <f>AVERAGE(AO102,AN102,AL102,AK102)</f>
        <v/>
      </c>
      <c r="AP103" s="2087">
        <f>AVERAGE(AP102,AO102,AN102,AL102)</f>
        <v/>
      </c>
      <c r="AQ103" s="2087">
        <f>AVERAGE(AQ102,AP102,AO102,AN102)</f>
        <v/>
      </c>
      <c r="AR103" s="2122">
        <f>AVERAGE(AR102,AM102)</f>
        <v/>
      </c>
      <c r="AS103" s="2122">
        <f>AVERAGE(AS102,AR102)</f>
        <v/>
      </c>
      <c r="AT103" s="2122">
        <f>AVERAGE(AT102,AS102)</f>
        <v/>
      </c>
      <c r="AU103" s="2122">
        <f>AVERAGE(AU102,AT102)</f>
        <v/>
      </c>
      <c r="AV103" s="2087" t="n"/>
    </row>
    <row r="104" hidden="1" outlineLevel="1" ht="14.4" customHeight="1" s="877">
      <c r="A104" s="2120" t="inlineStr">
        <is>
          <t>Average Capital Employed</t>
        </is>
      </c>
      <c r="B104" s="2121" t="n"/>
      <c r="C104" s="2122" t="n"/>
      <c r="D104" s="2122" t="n"/>
      <c r="E104" s="2122" t="n"/>
      <c r="F104" s="2122" t="n"/>
      <c r="G104" s="2122" t="n"/>
      <c r="H104" s="2122" t="n"/>
      <c r="I104" s="2122" t="n"/>
      <c r="J104" s="2122" t="n"/>
      <c r="K104" s="2122" t="n"/>
      <c r="L104" s="2122" t="n"/>
      <c r="M104" s="2122" t="n"/>
      <c r="N104" s="2122" t="n"/>
      <c r="O104" s="2087" t="n"/>
      <c r="P104" s="2087" t="n"/>
      <c r="Q104" s="2087" t="n"/>
      <c r="R104" s="2087" t="n"/>
      <c r="S104" s="2122" t="n"/>
      <c r="T104" s="2087" t="n"/>
      <c r="U104" s="2087" t="n"/>
      <c r="V104" s="2087" t="n"/>
      <c r="W104" s="2087" t="n"/>
      <c r="X104" s="2122" t="n"/>
      <c r="Y104" s="2087" t="n"/>
      <c r="Z104" s="2087" t="n"/>
      <c r="AA104" s="2087" t="n"/>
      <c r="AB104" s="2087">
        <f>INDEX(SP_BSR_TA_Avg,0,COLUMN())-INDEX(SP_BSR_CL_Avg,0,COLUMN())</f>
        <v/>
      </c>
      <c r="AC104" s="2122">
        <f>INDEX(SP_BSR_TA_Avg,0,COLUMN())-INDEX(SP_BSR_CL_Avg,0,COLUMN())</f>
        <v/>
      </c>
      <c r="AD104" s="2087" t="n"/>
      <c r="AE104" s="2087" t="n"/>
      <c r="AF104" s="2087" t="n"/>
      <c r="AG104" s="2087" t="n"/>
      <c r="AH104" s="2122">
        <f>INDEX(SP_BSR_TA_Avg,0,COLUMN())-INDEX(SP_BSR_CL_Avg,0,COLUMN())</f>
        <v/>
      </c>
      <c r="AI104" s="2087">
        <f>INDEX(SP_BSR_TA_Avg,0,COLUMN())-INDEX(SP_BSR_CL_Avg,0,COLUMN())</f>
        <v/>
      </c>
      <c r="AJ104" s="2087">
        <f>INDEX(SP_BSR_TA_Avg,0,COLUMN())-INDEX(SP_BSR_CL_Avg,0,COLUMN())</f>
        <v/>
      </c>
      <c r="AK104" s="2123">
        <f>INDEX(SP_BSR_TA_Avg,0,COLUMN())-INDEX(SP_BSR_CL_Avg,0,COLUMN())</f>
        <v/>
      </c>
      <c r="AL104" s="2087">
        <f>INDEX(SP_BSR_TA_Avg,0,COLUMN())-INDEX(SP_BSR_CL_Avg,0,COLUMN())</f>
        <v/>
      </c>
      <c r="AM104" s="2122">
        <f>INDEX(SP_BSR_TA_Avg,0,COLUMN())-INDEX(SP_BSR_CL_Avg,0,COLUMN())</f>
        <v/>
      </c>
      <c r="AN104" s="2087">
        <f>INDEX(SP_BSR_TA_Avg,0,COLUMN())-INDEX(SP_BSR_CL_Avg,0,COLUMN())</f>
        <v/>
      </c>
      <c r="AO104" s="2087">
        <f>INDEX(SP_BSR_TA_Avg,0,COLUMN())-INDEX(SP_BSR_CL_Avg,0,COLUMN())</f>
        <v/>
      </c>
      <c r="AP104" s="2087">
        <f>INDEX(SP_BSR_TA_Avg,0,COLUMN())-INDEX(SP_BSR_CL_Avg,0,COLUMN())</f>
        <v/>
      </c>
      <c r="AQ104" s="2087">
        <f>INDEX(SP_BSR_TA_Avg,0,COLUMN())-INDEX(SP_BSR_CL_Avg,0,COLUMN())</f>
        <v/>
      </c>
      <c r="AR104" s="2122">
        <f>INDEX(SP_BSR_TA_Avg,0,COLUMN())-INDEX(SP_BSR_CL_Avg,0,COLUMN())</f>
        <v/>
      </c>
      <c r="AS104" s="2122">
        <f>INDEX(SP_BSR_TA_Avg,0,COLUMN())-INDEX(SP_BSR_CL_Avg,0,COLUMN())</f>
        <v/>
      </c>
      <c r="AT104" s="2122">
        <f>INDEX(SP_BSR_TA_Avg,0,COLUMN())-INDEX(SP_BSR_CL_Avg,0,COLUMN())</f>
        <v/>
      </c>
      <c r="AU104" s="2122">
        <f>INDEX(SP_BSR_TA_Avg,0,COLUMN())-INDEX(SP_BSR_CL_Avg,0,COLUMN())</f>
        <v/>
      </c>
      <c r="AV104" s="2087" t="n"/>
    </row>
    <row r="105" collapsed="1" ht="14.4" customFormat="1" customHeight="1" s="2206">
      <c r="A105" s="2178" t="inlineStr">
        <is>
          <t>ROCE</t>
        </is>
      </c>
      <c r="B105" s="2179" t="n"/>
      <c r="C105" s="2180" t="n"/>
      <c r="D105" s="2180" t="n"/>
      <c r="E105" s="2180" t="n"/>
      <c r="F105" s="2180" t="n"/>
      <c r="G105" s="2180" t="n"/>
      <c r="H105" s="2180" t="n"/>
      <c r="I105" s="2180" t="n"/>
      <c r="J105" s="2180" t="n"/>
      <c r="K105" s="2180" t="n"/>
      <c r="L105" s="2180" t="n"/>
      <c r="M105" s="2180" t="n"/>
      <c r="N105" s="2180" t="n"/>
      <c r="O105" s="2181" t="n"/>
      <c r="P105" s="2181" t="n"/>
      <c r="Q105" s="2181" t="n"/>
      <c r="R105" s="2181" t="n"/>
      <c r="S105" s="2180" t="n"/>
      <c r="T105" s="2181" t="n"/>
      <c r="U105" s="2181" t="n"/>
      <c r="V105" s="2181" t="n"/>
      <c r="W105" s="2181" t="n"/>
      <c r="X105" s="2180" t="n"/>
      <c r="Y105" s="2181" t="n"/>
      <c r="Z105" s="2181" t="n"/>
      <c r="AA105" s="2181" t="n"/>
      <c r="AB105" s="2181">
        <f>IF(AB104&lt;0,"NMF",IF(ABS(AB101/AB104)&gt;1,"NMF",AB101/AB104))</f>
        <v/>
      </c>
      <c r="AC105" s="2180">
        <f>IF(AC104&lt;0,"NMF",IF(ABS(AC101/AC104)&gt;1,"NMF",AC101/AC104))</f>
        <v/>
      </c>
      <c r="AD105" s="2181" t="n"/>
      <c r="AE105" s="2181" t="n"/>
      <c r="AF105" s="2181" t="n"/>
      <c r="AG105" s="2181" t="n"/>
      <c r="AH105" s="2180">
        <f>IF(AH104&lt;0,"NMF",IF(ABS(AH101/AH104)&gt;1,"NMF",AH101/AH104))</f>
        <v/>
      </c>
      <c r="AI105" s="2181">
        <f>IF(AI104&lt;0,"NMF",IF(ABS(AI101/AI104)&gt;1,"NMF",AI101/AI104))</f>
        <v/>
      </c>
      <c r="AJ105" s="2181">
        <f>IF(AJ104&lt;0,"NMF",IF(ABS(AJ101/AJ104)&gt;1,"NMF",AJ101/AJ104))</f>
        <v/>
      </c>
      <c r="AK105" s="2182">
        <f>IF(AK104&lt;0,"NMF",IF(ABS(AK101/AK104)&gt;1,"NMF",AK101/AK104))</f>
        <v/>
      </c>
      <c r="AL105" s="2181">
        <f>IF(AL104&lt;0,"NMF",IF(ABS(AL101/AL104)&gt;1,"NMF",AL101/AL104))</f>
        <v/>
      </c>
      <c r="AM105" s="2180">
        <f>IF(AM104&lt;0,"NMF",IF(ABS(AM101/AM104)&gt;1,"NMF",AM101/AM104))</f>
        <v/>
      </c>
      <c r="AN105" s="2181">
        <f>IF(AN104&lt;0,"NMF",IF(ABS(AN101/AN104)&gt;1,"NMF",AN101/AN104))</f>
        <v/>
      </c>
      <c r="AO105" s="2181">
        <f>IF(AO104&lt;0,"NMF",IF(ABS(AO101/AO104)&gt;1,"NMF",AO101/AO104))</f>
        <v/>
      </c>
      <c r="AP105" s="2181">
        <f>IF(AP104&lt;0,"NMF",IF(ABS(AP101/AP104)&gt;1,"NMF",AP101/AP104))</f>
        <v/>
      </c>
      <c r="AQ105" s="2181">
        <f>IF(AQ104&lt;0,"NMF",IF(ABS(AQ101/AQ104)&gt;1,"NMF",AQ101/AQ104))</f>
        <v/>
      </c>
      <c r="AR105" s="2180">
        <f>IF(AR104&lt;0,"NMF",IF(ABS(AR101/AR104)&gt;1,"NMF",AR101/AR104))</f>
        <v/>
      </c>
      <c r="AS105" s="2180">
        <f>IF(AS104&lt;0,"NMF",IF(ABS(AS101/AS104)&gt;1,"NMF",AS101/AS104))</f>
        <v/>
      </c>
      <c r="AT105" s="2180">
        <f>IF(AT104&lt;0,"NMF",IF(ABS(AT101/AT104)&gt;1,"NMF",AT101/AT104))</f>
        <v/>
      </c>
      <c r="AU105" s="2180">
        <f>IF(AU104&lt;0,"NMF",IF(ABS(AU101/AU104)&gt;1,"NMF",AU101/AU104))</f>
        <v/>
      </c>
      <c r="AV105" s="2207" t="n"/>
    </row>
    <row r="106" ht="14.4" customHeight="1" s="877">
      <c r="A106" s="2100" t="n"/>
      <c r="B106" s="2124" t="n"/>
      <c r="C106" s="2125" t="n"/>
      <c r="D106" s="2125" t="n"/>
      <c r="E106" s="2125" t="n"/>
      <c r="F106" s="2125" t="n"/>
      <c r="G106" s="2125" t="n"/>
      <c r="H106" s="2125" t="n"/>
      <c r="I106" s="2125" t="n"/>
      <c r="J106" s="2125" t="n"/>
      <c r="K106" s="2125" t="n"/>
      <c r="L106" s="2125" t="n"/>
      <c r="M106" s="2125" t="n"/>
      <c r="N106" s="2125" t="n"/>
      <c r="O106" s="2119" t="n"/>
      <c r="P106" s="2119" t="n"/>
      <c r="Q106" s="2119" t="n"/>
      <c r="R106" s="2119" t="n"/>
      <c r="S106" s="2125" t="n"/>
      <c r="T106" s="2119" t="n"/>
      <c r="U106" s="2119" t="n"/>
      <c r="V106" s="2119" t="n"/>
      <c r="W106" s="2119" t="n"/>
      <c r="X106" s="2125" t="n"/>
      <c r="Y106" s="2119" t="n"/>
      <c r="Z106" s="2119" t="n"/>
      <c r="AA106" s="2119" t="n"/>
      <c r="AB106" s="2119" t="n"/>
      <c r="AC106" s="2125" t="n"/>
      <c r="AD106" s="2119" t="n"/>
      <c r="AE106" s="2119" t="n"/>
      <c r="AF106" s="2119" t="n"/>
      <c r="AG106" s="2119" t="n"/>
      <c r="AH106" s="2125" t="n"/>
      <c r="AI106" s="2119" t="n"/>
      <c r="AJ106" s="2119" t="n"/>
      <c r="AK106" s="2126" t="n"/>
      <c r="AL106" s="2119" t="n"/>
      <c r="AM106" s="2125" t="n"/>
      <c r="AN106" s="2119" t="n"/>
      <c r="AO106" s="2119" t="n"/>
      <c r="AP106" s="2119" t="n"/>
      <c r="AQ106" s="2119" t="n"/>
      <c r="AR106" s="2125" t="n"/>
      <c r="AS106" s="2125" t="n"/>
      <c r="AT106" s="2125" t="n"/>
      <c r="AU106" s="2125" t="n"/>
      <c r="AV106" s="2119" t="n"/>
    </row>
    <row r="107" ht="14.4" customHeight="1" s="877">
      <c r="A107" s="2095" t="inlineStr">
        <is>
          <t>Per-Share Growth Metrics</t>
        </is>
      </c>
      <c r="B107" s="2127" t="n"/>
      <c r="C107" s="2127" t="n"/>
      <c r="D107" s="2127" t="n"/>
      <c r="E107" s="2127" t="n"/>
      <c r="F107" s="2127" t="n"/>
      <c r="G107" s="2127" t="n"/>
      <c r="H107" s="2127" t="n"/>
      <c r="I107" s="2127" t="n"/>
      <c r="J107" s="2127" t="n"/>
      <c r="K107" s="2127" t="n"/>
      <c r="L107" s="2127" t="n"/>
      <c r="M107" s="2127" t="n"/>
      <c r="N107" s="2127" t="n"/>
      <c r="O107" s="2127" t="n"/>
      <c r="P107" s="2127" t="n"/>
      <c r="Q107" s="2127" t="n"/>
      <c r="R107" s="2127" t="n"/>
      <c r="S107" s="2127" t="n"/>
      <c r="T107" s="2127" t="n"/>
      <c r="U107" s="2127" t="n"/>
      <c r="V107" s="2127" t="n"/>
      <c r="W107" s="2127" t="n"/>
      <c r="X107" s="2127" t="n"/>
      <c r="Y107" s="2127" t="n"/>
      <c r="Z107" s="2127" t="n"/>
      <c r="AA107" s="2127" t="n"/>
      <c r="AB107" s="2127" t="n"/>
      <c r="AC107" s="2127" t="n"/>
      <c r="AD107" s="2127" t="n"/>
      <c r="AE107" s="2127" t="n"/>
      <c r="AF107" s="2127" t="n"/>
      <c r="AG107" s="2127" t="n"/>
      <c r="AH107" s="2127" t="n"/>
      <c r="AI107" s="2127" t="n"/>
      <c r="AJ107" s="2127" t="n"/>
      <c r="AK107" s="2128" t="n"/>
      <c r="AL107" s="2127" t="n"/>
      <c r="AM107" s="2127" t="n"/>
      <c r="AN107" s="2127" t="n"/>
      <c r="AO107" s="2127" t="n"/>
      <c r="AP107" s="2127" t="n"/>
      <c r="AQ107" s="2127" t="n"/>
      <c r="AR107" s="2127" t="n"/>
      <c r="AS107" s="2127" t="n"/>
      <c r="AT107" s="2127" t="n"/>
      <c r="AU107" s="2127" t="n"/>
      <c r="AV107" s="2087" t="n"/>
    </row>
    <row r="108" ht="14.4" customFormat="1" customHeight="1" s="2148">
      <c r="A108" s="2208" t="inlineStr">
        <is>
          <t>Revenue Per Share Growth</t>
        </is>
      </c>
      <c r="B108" s="2150" t="n"/>
      <c r="C108" s="2151" t="n"/>
      <c r="D108" s="2151" t="n"/>
      <c r="E108" s="2151" t="n"/>
      <c r="F108" s="2151" t="n"/>
      <c r="G108" s="2151" t="n"/>
      <c r="H108" s="2151" t="n"/>
      <c r="I108" s="2151" t="n"/>
      <c r="J108" s="2151" t="n"/>
      <c r="K108" s="2151" t="n"/>
      <c r="L108" s="2151" t="n"/>
      <c r="M108" s="2151" t="n"/>
      <c r="N108" s="2151" t="n"/>
      <c r="O108" s="2152" t="n"/>
      <c r="P108" s="2152" t="n"/>
      <c r="Q108" s="2152" t="n"/>
      <c r="R108" s="2152" t="n"/>
      <c r="S108" s="2151" t="n"/>
      <c r="T108" s="2152" t="n"/>
      <c r="U108" s="2152" t="n"/>
      <c r="V108" s="2152" t="n"/>
      <c r="W108" s="2152" t="n"/>
      <c r="X108" s="2151" t="n"/>
      <c r="Y108" s="2152" t="n"/>
      <c r="Z108" s="2152" t="n"/>
      <c r="AA108" s="2152" t="n"/>
      <c r="AB108" s="2152" t="n"/>
      <c r="AC108" s="2151" t="n"/>
      <c r="AD108" s="2152" t="n"/>
      <c r="AE108" s="2152" t="n"/>
      <c r="AF108" s="2152" t="n"/>
      <c r="AG108" s="2152">
        <f>IFERROR(IF(OR(INDEX(SP_GF_Rev,0,COLUMN())&lt;=0,AB23&lt;=0),"NMF",IF(ABS((INDEX(SP_GF_Rev,0,COLUMN())/INDEX(SP_CS_ShareCount,0,COLUMN()))/(AB23/AB5)-1)&gt;10,"NMF",(INDEX(SP_GF_Rev,0,COLUMN())/INDEX(SP_CS_ShareCount,0,COLUMN()))/(AB23/AB5)-1)),"N/A")</f>
        <v/>
      </c>
      <c r="AH108" s="2151">
        <f>IFERROR(IF(OR(INDEX(SP_GF_Rev,0,COLUMN())&lt;=0,AC23&lt;=0),"NMF",IF(ABS((INDEX(SP_GF_Rev,0,COLUMN())/INDEX(SP_CS_ShareCount,0,COLUMN()))/(AC23/AC5)-1)&gt;10,"NMF",(INDEX(SP_GF_Rev,0,COLUMN())/INDEX(SP_CS_ShareCount,0,COLUMN()))/(AC23/AC5)-1)),"N/A")</f>
        <v/>
      </c>
      <c r="AI108" s="2152">
        <f>IFERROR(IF(OR(INDEX(SP_GF_Rev,0,COLUMN())&lt;=0,AD23&lt;=0),"NMF",IF(ABS((INDEX(SP_GF_Rev,0,COLUMN())/INDEX(SP_CS_ShareCount,0,COLUMN()))/(AD23/AD5)-1)&gt;10,"NMF",(INDEX(SP_GF_Rev,0,COLUMN())/INDEX(SP_CS_ShareCount,0,COLUMN()))/(AD23/AD5)-1)),"N/A")</f>
        <v/>
      </c>
      <c r="AJ108" s="2152">
        <f>IFERROR(IF(OR(INDEX(SP_GF_Rev,0,COLUMN())&lt;=0,AE23&lt;=0),"NMF",IF(ABS((INDEX(SP_GF_Rev,0,COLUMN())/INDEX(SP_CS_ShareCount,0,COLUMN()))/(AE23/AE5)-1)&gt;10,"NMF",(INDEX(SP_GF_Rev,0,COLUMN())/INDEX(SP_CS_ShareCount,0,COLUMN()))/(AE23/AE5)-1)),"N/A")</f>
        <v/>
      </c>
      <c r="AK108" s="2153">
        <f>IFERROR(IF(OR(INDEX(SP_GF_Rev,0,COLUMN())&lt;=0,AF23&lt;=0),"NMF",IF(ABS((INDEX(SP_GF_Rev,0,COLUMN())/INDEX(SP_CS_ShareCount,0,COLUMN()))/(AF23/AF5)-1)&gt;10,"NMF",(INDEX(SP_GF_Rev,0,COLUMN())/INDEX(SP_CS_ShareCount,0,COLUMN()))/(AF23/AF5)-1)),"N/A")</f>
        <v/>
      </c>
      <c r="AL108" s="2152">
        <f>IFERROR(IF(OR(INDEX(SP_GF_Rev,0,COLUMN())&lt;=0,AG23&lt;=0),"NMF",IF(ABS((INDEX(SP_GF_Rev,0,COLUMN())/INDEX(SP_CS_ShareCount,0,COLUMN()))/(AG23/AG5)-1)&gt;10,"NMF",(INDEX(SP_GF_Rev,0,COLUMN())/INDEX(SP_CS_ShareCount,0,COLUMN()))/(AG23/AG5)-1)),"N/A")</f>
        <v/>
      </c>
      <c r="AM108" s="2151">
        <f>IFERROR(IF(OR(INDEX(SP_GF_Rev,0,COLUMN())&lt;=0,AH23&lt;=0),"NMF",IF(ABS((INDEX(SP_GF_Rev,0,COLUMN())/INDEX(SP_CS_ShareCount,0,COLUMN()))/(AH23/AH5)-1)&gt;10,"NMF",(INDEX(SP_GF_Rev,0,COLUMN())/INDEX(SP_CS_ShareCount,0,COLUMN()))/(AH23/AH5)-1)),"N/A")</f>
        <v/>
      </c>
      <c r="AN108" s="2152">
        <f>IFERROR(IF(OR(INDEX(SP_GF_Rev,0,COLUMN())&lt;=0,AI23&lt;=0),"NMF",IF(ABS((INDEX(SP_GF_Rev,0,COLUMN())/INDEX(SP_CS_ShareCount,0,COLUMN()))/(AI23/AI5)-1)&gt;10,"NMF",(INDEX(SP_GF_Rev,0,COLUMN())/INDEX(SP_CS_ShareCount,0,COLUMN()))/(AI23/AI5)-1)),"N/A")</f>
        <v/>
      </c>
      <c r="AO108" s="2152">
        <f>IFERROR(IF(OR(INDEX(SP_GF_Rev,0,COLUMN())&lt;=0,AJ23&lt;=0),"NMF",IF(ABS((INDEX(SP_GF_Rev,0,COLUMN())/INDEX(SP_CS_ShareCount,0,COLUMN()))/(AJ23/AJ5)-1)&gt;10,"NMF",(INDEX(SP_GF_Rev,0,COLUMN())/INDEX(SP_CS_ShareCount,0,COLUMN()))/(AJ23/AJ5)-1)),"N/A")</f>
        <v/>
      </c>
      <c r="AP108" s="2152">
        <f>IFERROR(IF(OR(INDEX(SP_GF_Rev,0,COLUMN())&lt;=0,AK23&lt;=0),"NMF",IF(ABS((INDEX(SP_GF_Rev,0,COLUMN())/INDEX(SP_CS_ShareCount,0,COLUMN()))/(AK23/AK5)-1)&gt;10,"NMF",(INDEX(SP_GF_Rev,0,COLUMN())/INDEX(SP_CS_ShareCount,0,COLUMN()))/(AK23/AK5)-1)),"N/A")</f>
        <v/>
      </c>
      <c r="AQ108" s="2152">
        <f>IFERROR(IF(OR(INDEX(SP_GF_Rev,0,COLUMN())&lt;=0,AL23&lt;=0),"NMF",IF(ABS((INDEX(SP_GF_Rev,0,COLUMN())/INDEX(SP_CS_ShareCount,0,COLUMN()))/(AL23/AL5)-1)&gt;10,"NMF",(INDEX(SP_GF_Rev,0,COLUMN())/INDEX(SP_CS_ShareCount,0,COLUMN()))/(AL23/AL5)-1)),"N/A")</f>
        <v/>
      </c>
      <c r="AR108" s="2151">
        <f>IFERROR(IF(OR(INDEX(SP_GF_Rev,0,COLUMN())&lt;=0,AM23&lt;=0),"NMF",IF(ABS((INDEX(SP_GF_Rev,0,COLUMN())/INDEX(SP_CS_ShareCount,0,COLUMN()))/(AM23/AM5)-1)&gt;10,"NMF",(INDEX(SP_GF_Rev,0,COLUMN())/INDEX(SP_CS_ShareCount,0,COLUMN()))/(AM23/AM5)-1)),"N/A")</f>
        <v/>
      </c>
      <c r="AS108" s="2151">
        <f>IFERROR(IF(OR(INDEX(SP_GF_Rev,0,COLUMN())&lt;=0,AR23&lt;=0),"NMF",IF(ABS((INDEX(SP_GF_Rev,0,COLUMN())/INDEX(SP_CS_ShareCount,0,COLUMN()))/(AR23/AR5)-1)&gt;10,"NMF",(INDEX(SP_GF_Rev,0,COLUMN())/INDEX(SP_CS_ShareCount,0,COLUMN()))/(AR23/AR5)-1)),"N/A")</f>
        <v/>
      </c>
      <c r="AT108" s="2151">
        <f>IFERROR(IF(OR(INDEX(SP_GF_Rev,0,COLUMN())&lt;=0,AS23&lt;=0),"NMF",IF(ABS((INDEX(SP_GF_Rev,0,COLUMN())/INDEX(SP_CS_ShareCount,0,COLUMN()))/(AS23/AS5)-1)&gt;10,"NMF",(INDEX(SP_GF_Rev,0,COLUMN())/INDEX(SP_CS_ShareCount,0,COLUMN()))/(AS23/AS5)-1)),"N/A")</f>
        <v/>
      </c>
      <c r="AU108" s="2151">
        <f>IFERROR(IF(OR(INDEX(SP_GF_Rev,0,COLUMN())&lt;=0,AT23&lt;=0),"NMF",IF(ABS((INDEX(SP_GF_Rev,0,COLUMN())/INDEX(SP_CS_ShareCount,0,COLUMN()))/(AT23/AT5)-1)&gt;10,"NMF",(INDEX(SP_GF_Rev,0,COLUMN())/INDEX(SP_CS_ShareCount,0,COLUMN()))/(AT23/AT5)-1)),"N/A")</f>
        <v/>
      </c>
      <c r="AV108" s="2097" t="n"/>
    </row>
    <row r="109" ht="14.4" customFormat="1" customHeight="1" s="2148">
      <c r="A109" s="2208" t="inlineStr">
        <is>
          <t>Adj. EBITDA Per Share Growth</t>
        </is>
      </c>
      <c r="B109" s="2150" t="n"/>
      <c r="C109" s="2151" t="n"/>
      <c r="D109" s="2151" t="n"/>
      <c r="E109" s="2151" t="n"/>
      <c r="F109" s="2151" t="n"/>
      <c r="G109" s="2151" t="n"/>
      <c r="H109" s="2151" t="n"/>
      <c r="I109" s="2151" t="n"/>
      <c r="J109" s="2151" t="n"/>
      <c r="K109" s="2151" t="n"/>
      <c r="L109" s="2151" t="n"/>
      <c r="M109" s="2151" t="n"/>
      <c r="N109" s="2151" t="n"/>
      <c r="O109" s="2152" t="n"/>
      <c r="P109" s="2152" t="n"/>
      <c r="Q109" s="2152" t="n"/>
      <c r="R109" s="2152" t="n"/>
      <c r="S109" s="2151" t="n"/>
      <c r="T109" s="2152" t="n"/>
      <c r="U109" s="2152" t="n"/>
      <c r="V109" s="2152" t="n"/>
      <c r="W109" s="2152" t="n"/>
      <c r="X109" s="2151" t="n"/>
      <c r="Y109" s="2152" t="n"/>
      <c r="Z109" s="2152" t="n"/>
      <c r="AA109" s="2152" t="n"/>
      <c r="AB109" s="2152" t="n"/>
      <c r="AC109" s="2151" t="n"/>
      <c r="AD109" s="2152" t="n"/>
      <c r="AE109" s="2152" t="n"/>
      <c r="AF109" s="2152" t="n"/>
      <c r="AG109" s="2152">
        <f>IFERROR(IF(OR(INDEX(SP_NGF_EBITDA,0,COLUMN())&lt;=0,AB44&lt;=0),"NMF",IF(ABS((INDEX(SP_NGF_EBITDA,0,COLUMN())/INDEX(SP_CS_ShareCount,0,COLUMN()))/(AB44/AB5)-1)&gt;10,"NMF",(INDEX(SP_NGF_EBITDA,0,COLUMN())/INDEX(SP_CS_ShareCount,0,COLUMN()))/(AB44/AB5)-1)),"N/A")</f>
        <v/>
      </c>
      <c r="AH109" s="2151">
        <f>IFERROR(IF(OR(INDEX(SP_NGF_EBITDA,0,COLUMN())&lt;=0,AC44&lt;=0),"NMF",IF(ABS((INDEX(SP_NGF_EBITDA,0,COLUMN())/INDEX(SP_CS_ShareCount,0,COLUMN()))/(AC44/AC5)-1)&gt;10,"NMF",(INDEX(SP_NGF_EBITDA,0,COLUMN())/INDEX(SP_CS_ShareCount,0,COLUMN()))/(AC44/AC5)-1)),"N/A")</f>
        <v/>
      </c>
      <c r="AI109" s="2152">
        <f>IFERROR(IF(OR(INDEX(SP_NGF_EBITDA,0,COLUMN())&lt;=0,AD44&lt;=0),"NMF",IF(ABS((INDEX(SP_NGF_EBITDA,0,COLUMN())/INDEX(SP_CS_ShareCount,0,COLUMN()))/(AD44/AD5)-1)&gt;10,"NMF",(INDEX(SP_NGF_EBITDA,0,COLUMN())/INDEX(SP_CS_ShareCount,0,COLUMN()))/(AD44/AD5)-1)),"N/A")</f>
        <v/>
      </c>
      <c r="AJ109" s="2152">
        <f>IFERROR(IF(OR(INDEX(SP_NGF_EBITDA,0,COLUMN())&lt;=0,AE44&lt;=0),"NMF",IF(ABS((INDEX(SP_NGF_EBITDA,0,COLUMN())/INDEX(SP_CS_ShareCount,0,COLUMN()))/(AE44/AE5)-1)&gt;10,"NMF",(INDEX(SP_NGF_EBITDA,0,COLUMN())/INDEX(SP_CS_ShareCount,0,COLUMN()))/(AE44/AE5)-1)),"N/A")</f>
        <v/>
      </c>
      <c r="AK109" s="2153">
        <f>IFERROR(IF(OR(INDEX(SP_NGF_EBITDA,0,COLUMN())&lt;=0,AF44&lt;=0),"NMF",IF(ABS((INDEX(SP_NGF_EBITDA,0,COLUMN())/INDEX(SP_CS_ShareCount,0,COLUMN()))/(AF44/AF5)-1)&gt;10,"NMF",(INDEX(SP_NGF_EBITDA,0,COLUMN())/INDEX(SP_CS_ShareCount,0,COLUMN()))/(AF44/AF5)-1)),"N/A")</f>
        <v/>
      </c>
      <c r="AL109" s="2152">
        <f>IFERROR(IF(OR(INDEX(SP_NGF_EBITDA,0,COLUMN())&lt;=0,AG44&lt;=0),"NMF",IF(ABS((INDEX(SP_NGF_EBITDA,0,COLUMN())/INDEX(SP_CS_ShareCount,0,COLUMN()))/(AG44/AG5)-1)&gt;10,"NMF",(INDEX(SP_NGF_EBITDA,0,COLUMN())/INDEX(SP_CS_ShareCount,0,COLUMN()))/(AG44/AG5)-1)),"N/A")</f>
        <v/>
      </c>
      <c r="AM109" s="2151">
        <f>IFERROR(IF(OR(INDEX(SP_NGF_EBITDA,0,COLUMN())&lt;=0,AH44&lt;=0),"NMF",IF(ABS((INDEX(SP_NGF_EBITDA,0,COLUMN())/INDEX(SP_CS_ShareCount,0,COLUMN()))/(AH44/AH5)-1)&gt;10,"NMF",(INDEX(SP_NGF_EBITDA,0,COLUMN())/INDEX(SP_CS_ShareCount,0,COLUMN()))/(AH44/AH5)-1)),"N/A")</f>
        <v/>
      </c>
      <c r="AN109" s="2152">
        <f>IFERROR(IF(OR(INDEX(SP_NGF_EBITDA,0,COLUMN())&lt;=0,AI44&lt;=0),"NMF",IF(ABS((INDEX(SP_NGF_EBITDA,0,COLUMN())/INDEX(SP_CS_ShareCount,0,COLUMN()))/(AI44/AI5)-1)&gt;10,"NMF",(INDEX(SP_NGF_EBITDA,0,COLUMN())/INDEX(SP_CS_ShareCount,0,COLUMN()))/(AI44/AI5)-1)),"N/A")</f>
        <v/>
      </c>
      <c r="AO109" s="2152">
        <f>IFERROR(IF(OR(INDEX(SP_NGF_EBITDA,0,COLUMN())&lt;=0,AJ44&lt;=0),"NMF",IF(ABS((INDEX(SP_NGF_EBITDA,0,COLUMN())/INDEX(SP_CS_ShareCount,0,COLUMN()))/(AJ44/AJ5)-1)&gt;10,"NMF",(INDEX(SP_NGF_EBITDA,0,COLUMN())/INDEX(SP_CS_ShareCount,0,COLUMN()))/(AJ44/AJ5)-1)),"N/A")</f>
        <v/>
      </c>
      <c r="AP109" s="2152">
        <f>IFERROR(IF(OR(INDEX(SP_NGF_EBITDA,0,COLUMN())&lt;=0,AK44&lt;=0),"NMF",IF(ABS((INDEX(SP_NGF_EBITDA,0,COLUMN())/INDEX(SP_CS_ShareCount,0,COLUMN()))/(AK44/AK5)-1)&gt;10,"NMF",(INDEX(SP_NGF_EBITDA,0,COLUMN())/INDEX(SP_CS_ShareCount,0,COLUMN()))/(AK44/AK5)-1)),"N/A")</f>
        <v/>
      </c>
      <c r="AQ109" s="2152">
        <f>IFERROR(IF(OR(INDEX(SP_NGF_EBITDA,0,COLUMN())&lt;=0,AL44&lt;=0),"NMF",IF(ABS((INDEX(SP_NGF_EBITDA,0,COLUMN())/INDEX(SP_CS_ShareCount,0,COLUMN()))/(AL44/AL5)-1)&gt;10,"NMF",(INDEX(SP_NGF_EBITDA,0,COLUMN())/INDEX(SP_CS_ShareCount,0,COLUMN()))/(AL44/AL5)-1)),"N/A")</f>
        <v/>
      </c>
      <c r="AR109" s="2151">
        <f>IFERROR(IF(OR(INDEX(SP_NGF_EBITDA,0,COLUMN())&lt;=0,AM44&lt;=0),"NMF",IF(ABS((INDEX(SP_NGF_EBITDA,0,COLUMN())/INDEX(SP_CS_ShareCount,0,COLUMN()))/(AM44/AM5)-1)&gt;10,"NMF",(INDEX(SP_NGF_EBITDA,0,COLUMN())/INDEX(SP_CS_ShareCount,0,COLUMN()))/(AM44/AM5)-1)),"N/A")</f>
        <v/>
      </c>
      <c r="AS109" s="2151">
        <f>IFERROR(IF(OR(INDEX(SP_NGF_EBITDA,0,COLUMN())&lt;=0,AR44&lt;=0),"NMF",IF(ABS((INDEX(SP_NGF_EBITDA,0,COLUMN())/INDEX(SP_CS_ShareCount,0,COLUMN()))/(AR44/AR5)-1)&gt;10,"NMF",(INDEX(SP_NGF_EBITDA,0,COLUMN())/INDEX(SP_CS_ShareCount,0,COLUMN()))/(AR44/AR5)-1)),"N/A")</f>
        <v/>
      </c>
      <c r="AT109" s="2151">
        <f>IFERROR(IF(OR(INDEX(SP_NGF_EBITDA,0,COLUMN())&lt;=0,AS44&lt;=0),"NMF",IF(ABS((INDEX(SP_NGF_EBITDA,0,COLUMN())/INDEX(SP_CS_ShareCount,0,COLUMN()))/(AS44/AS5)-1)&gt;10,"NMF",(INDEX(SP_NGF_EBITDA,0,COLUMN())/INDEX(SP_CS_ShareCount,0,COLUMN()))/(AS44/AS5)-1)),"N/A")</f>
        <v/>
      </c>
      <c r="AU109" s="2151">
        <f>IFERROR(IF(OR(INDEX(SP_NGF_EBITDA,0,COLUMN())&lt;=0,AT44&lt;=0),"NMF",IF(ABS((INDEX(SP_NGF_EBITDA,0,COLUMN())/INDEX(SP_CS_ShareCount,0,COLUMN()))/(AT44/AT5)-1)&gt;10,"NMF",(INDEX(SP_NGF_EBITDA,0,COLUMN())/INDEX(SP_CS_ShareCount,0,COLUMN()))/(AT44/AT5)-1)),"N/A")</f>
        <v/>
      </c>
      <c r="AV109" s="2097" t="n"/>
    </row>
    <row r="110" ht="14.4" customFormat="1" customHeight="1" s="2148">
      <c r="A110" s="2208" t="inlineStr">
        <is>
          <t>Adj. Earnings Per Share Growth</t>
        </is>
      </c>
      <c r="B110" s="2150" t="n"/>
      <c r="C110" s="2151" t="n"/>
      <c r="D110" s="2151" t="n"/>
      <c r="E110" s="2151" t="n"/>
      <c r="F110" s="2151" t="n"/>
      <c r="G110" s="2151" t="n"/>
      <c r="H110" s="2151" t="n"/>
      <c r="I110" s="2151" t="n"/>
      <c r="J110" s="2151" t="n"/>
      <c r="K110" s="2151" t="n"/>
      <c r="L110" s="2151" t="n"/>
      <c r="M110" s="2151" t="n"/>
      <c r="N110" s="2151" t="n"/>
      <c r="O110" s="2152" t="n"/>
      <c r="P110" s="2152" t="n"/>
      <c r="Q110" s="2152" t="n"/>
      <c r="R110" s="2152" t="n"/>
      <c r="S110" s="2151" t="n"/>
      <c r="T110" s="2152" t="n"/>
      <c r="U110" s="2152" t="n"/>
      <c r="V110" s="2152" t="n"/>
      <c r="W110" s="2152" t="n"/>
      <c r="X110" s="2151" t="n"/>
      <c r="Y110" s="2152" t="n"/>
      <c r="Z110" s="2152" t="n"/>
      <c r="AA110" s="2152" t="n"/>
      <c r="AB110" s="2152" t="n"/>
      <c r="AC110" s="2151" t="n"/>
      <c r="AD110" s="2152" t="n"/>
      <c r="AE110" s="2152" t="n"/>
      <c r="AF110" s="2152" t="n"/>
      <c r="AG110" s="2152">
        <f>IFERROR(IF(OR(INDEX(SP_NGF_NI,0,COLUMN())&lt;=0,AB46&lt;=0),"NMF",IF(ABS((INDEX(SP_NGF_NI,0,COLUMN())/INDEX(SP_CS_ShareCount,0,COLUMN()))/(AB46/AB5)-1)&gt;10,"NMF",(INDEX(SP_NGF_NI,0,COLUMN())/INDEX(SP_CS_ShareCount,0,COLUMN()))/(AB46/AB5)-1)),"N/A")</f>
        <v/>
      </c>
      <c r="AH110" s="2151">
        <f>IFERROR(IF(OR(INDEX(SP_NGF_NI,0,COLUMN())&lt;=0,AC46&lt;=0),"NMF",IF(ABS((INDEX(SP_NGF_NI,0,COLUMN())/INDEX(SP_CS_ShareCount,0,COLUMN()))/(AC46/AC5)-1)&gt;10,"NMF",(INDEX(SP_NGF_NI,0,COLUMN())/INDEX(SP_CS_ShareCount,0,COLUMN()))/(AC46/AC5)-1)),"N/A")</f>
        <v/>
      </c>
      <c r="AI110" s="2152">
        <f>IFERROR(IF(OR(INDEX(SP_NGF_NI,0,COLUMN())&lt;=0,AD46&lt;=0),"NMF",IF(ABS((INDEX(SP_NGF_NI,0,COLUMN())/INDEX(SP_CS_ShareCount,0,COLUMN()))/(AD46/AD5)-1)&gt;10,"NMF",(INDEX(SP_NGF_NI,0,COLUMN())/INDEX(SP_CS_ShareCount,0,COLUMN()))/(AD46/AD5)-1)),"N/A")</f>
        <v/>
      </c>
      <c r="AJ110" s="2152">
        <f>IFERROR(IF(OR(INDEX(SP_NGF_NI,0,COLUMN())&lt;=0,AE46&lt;=0),"NMF",IF(ABS((INDEX(SP_NGF_NI,0,COLUMN())/INDEX(SP_CS_ShareCount,0,COLUMN()))/(AE46/AE5)-1)&gt;10,"NMF",(INDEX(SP_NGF_NI,0,COLUMN())/INDEX(SP_CS_ShareCount,0,COLUMN()))/(AE46/AE5)-1)),"N/A")</f>
        <v/>
      </c>
      <c r="AK110" s="2153">
        <f>IFERROR(IF(OR(INDEX(SP_NGF_NI,0,COLUMN())&lt;=0,AF46&lt;=0),"NMF",IF(ABS((INDEX(SP_NGF_NI,0,COLUMN())/INDEX(SP_CS_ShareCount,0,COLUMN()))/(AF46/AF5)-1)&gt;10,"NMF",(INDEX(SP_NGF_NI,0,COLUMN())/INDEX(SP_CS_ShareCount,0,COLUMN()))/(AF46/AF5)-1)),"N/A")</f>
        <v/>
      </c>
      <c r="AL110" s="2152">
        <f>IFERROR(IF(OR(INDEX(SP_NGF_NI,0,COLUMN())&lt;=0,AG46&lt;=0),"NMF",IF(ABS((INDEX(SP_NGF_NI,0,COLUMN())/INDEX(SP_CS_ShareCount,0,COLUMN()))/(AG46/AG5)-1)&gt;10,"NMF",(INDEX(SP_NGF_NI,0,COLUMN())/INDEX(SP_CS_ShareCount,0,COLUMN()))/(AG46/AG5)-1)),"N/A")</f>
        <v/>
      </c>
      <c r="AM110" s="2151">
        <f>IFERROR(IF(OR(INDEX(SP_NGF_NI,0,COLUMN())&lt;=0,AH46&lt;=0),"NMF",IF(ABS((INDEX(SP_NGF_NI,0,COLUMN())/INDEX(SP_CS_ShareCount,0,COLUMN()))/(AH46/AH5)-1)&gt;10,"NMF",(INDEX(SP_NGF_NI,0,COLUMN())/INDEX(SP_CS_ShareCount,0,COLUMN()))/(AH46/AH5)-1)),"N/A")</f>
        <v/>
      </c>
      <c r="AN110" s="2152">
        <f>IFERROR(IF(OR(INDEX(SP_NGF_NI,0,COLUMN())&lt;=0,AI46&lt;=0),"NMF",IF(ABS((INDEX(SP_NGF_NI,0,COLUMN())/INDEX(SP_CS_ShareCount,0,COLUMN()))/(AI46/AI5)-1)&gt;10,"NMF",(INDEX(SP_NGF_NI,0,COLUMN())/INDEX(SP_CS_ShareCount,0,COLUMN()))/(AI46/AI5)-1)),"N/A")</f>
        <v/>
      </c>
      <c r="AO110" s="2152">
        <f>IFERROR(IF(OR(INDEX(SP_NGF_NI,0,COLUMN())&lt;=0,AJ46&lt;=0),"NMF",IF(ABS((INDEX(SP_NGF_NI,0,COLUMN())/INDEX(SP_CS_ShareCount,0,COLUMN()))/(AJ46/AJ5)-1)&gt;10,"NMF",(INDEX(SP_NGF_NI,0,COLUMN())/INDEX(SP_CS_ShareCount,0,COLUMN()))/(AJ46/AJ5)-1)),"N/A")</f>
        <v/>
      </c>
      <c r="AP110" s="2152">
        <f>IFERROR(IF(OR(INDEX(SP_NGF_NI,0,COLUMN())&lt;=0,AK46&lt;=0),"NMF",IF(ABS((INDEX(SP_NGF_NI,0,COLUMN())/INDEX(SP_CS_ShareCount,0,COLUMN()))/(AK46/AK5)-1)&gt;10,"NMF",(INDEX(SP_NGF_NI,0,COLUMN())/INDEX(SP_CS_ShareCount,0,COLUMN()))/(AK46/AK5)-1)),"N/A")</f>
        <v/>
      </c>
      <c r="AQ110" s="2152">
        <f>IFERROR(IF(OR(INDEX(SP_NGF_NI,0,COLUMN())&lt;=0,AL46&lt;=0),"NMF",IF(ABS((INDEX(SP_NGF_NI,0,COLUMN())/INDEX(SP_CS_ShareCount,0,COLUMN()))/(AL46/AL5)-1)&gt;10,"NMF",(INDEX(SP_NGF_NI,0,COLUMN())/INDEX(SP_CS_ShareCount,0,COLUMN()))/(AL46/AL5)-1)),"N/A")</f>
        <v/>
      </c>
      <c r="AR110" s="2151">
        <f>IFERROR(IF(OR(INDEX(SP_NGF_NI,0,COLUMN())&lt;=0,AM46&lt;=0),"NMF",IF(ABS((INDEX(SP_NGF_NI,0,COLUMN())/INDEX(SP_CS_ShareCount,0,COLUMN()))/(AM46/AM5)-1)&gt;10,"NMF",(INDEX(SP_NGF_NI,0,COLUMN())/INDEX(SP_CS_ShareCount,0,COLUMN()))/(AM46/AM5)-1)),"N/A")</f>
        <v/>
      </c>
      <c r="AS110" s="2151">
        <f>IFERROR(IF(OR(INDEX(SP_NGF_NI,0,COLUMN())&lt;=0,AR46&lt;=0),"NMF",IF(ABS((INDEX(SP_NGF_NI,0,COLUMN())/INDEX(SP_CS_ShareCount,0,COLUMN()))/(AR46/AR5)-1)&gt;10,"NMF",(INDEX(SP_NGF_NI,0,COLUMN())/INDEX(SP_CS_ShareCount,0,COLUMN()))/(AR46/AR5)-1)),"N/A")</f>
        <v/>
      </c>
      <c r="AT110" s="2151">
        <f>IFERROR(IF(OR(INDEX(SP_NGF_NI,0,COLUMN())&lt;=0,AS46&lt;=0),"NMF",IF(ABS((INDEX(SP_NGF_NI,0,COLUMN())/INDEX(SP_CS_ShareCount,0,COLUMN()))/(AS46/AS5)-1)&gt;10,"NMF",(INDEX(SP_NGF_NI,0,COLUMN())/INDEX(SP_CS_ShareCount,0,COLUMN()))/(AS46/AS5)-1)),"N/A")</f>
        <v/>
      </c>
      <c r="AU110" s="2151">
        <f>IFERROR(IF(OR(INDEX(SP_NGF_NI,0,COLUMN())&lt;=0,AT46&lt;=0),"NMF",IF(ABS((INDEX(SP_NGF_NI,0,COLUMN())/INDEX(SP_CS_ShareCount,0,COLUMN()))/(AT46/AT5)-1)&gt;10,"NMF",(INDEX(SP_NGF_NI,0,COLUMN())/INDEX(SP_CS_ShareCount,0,COLUMN()))/(AT46/AT5)-1)),"N/A")</f>
        <v/>
      </c>
      <c r="AV110" s="2097" t="n"/>
    </row>
    <row r="111" ht="14.4" customFormat="1" customHeight="1" s="2148">
      <c r="A111" s="2208" t="inlineStr">
        <is>
          <t>Operating Cash Flow Per Share Growth</t>
        </is>
      </c>
      <c r="B111" s="2150" t="n"/>
      <c r="C111" s="2151" t="n"/>
      <c r="D111" s="2151" t="n"/>
      <c r="E111" s="2151" t="n"/>
      <c r="F111" s="2151" t="n"/>
      <c r="G111" s="2151" t="n"/>
      <c r="H111" s="2151" t="n"/>
      <c r="I111" s="2151" t="n"/>
      <c r="J111" s="2151" t="n"/>
      <c r="K111" s="2151" t="n"/>
      <c r="L111" s="2151" t="n"/>
      <c r="M111" s="2151" t="n"/>
      <c r="N111" s="2151" t="n"/>
      <c r="O111" s="2152" t="n"/>
      <c r="P111" s="2152" t="n"/>
      <c r="Q111" s="2152" t="n"/>
      <c r="R111" s="2152" t="n"/>
      <c r="S111" s="2151" t="n"/>
      <c r="T111" s="2152" t="n"/>
      <c r="U111" s="2152" t="n"/>
      <c r="V111" s="2152" t="n"/>
      <c r="W111" s="2152" t="n"/>
      <c r="X111" s="2151" t="n"/>
      <c r="Y111" s="2152" t="n"/>
      <c r="Z111" s="2152" t="n"/>
      <c r="AA111" s="2152" t="n"/>
      <c r="AB111" s="2152" t="n"/>
      <c r="AC111" s="2151" t="n"/>
      <c r="AD111" s="2152" t="n"/>
      <c r="AE111" s="2152" t="n"/>
      <c r="AF111" s="2152">
        <f>IFERROR(IF(OR(INDEX(SP_CFA_CFO,0,COLUMN())&lt;=0,AA60&lt;=0),"NMF",IF(ABS((INDEX(SP_CFA_CFO,0,COLUMN())/INDEX(SP_CS_ShareCount,0,COLUMN()))/(AA60/AA5)-1)&gt;10,"NMF",(INDEX(SP_CFA_CFO,0,COLUMN())/INDEX(SP_CS_ShareCount,0,COLUMN()))/(AA60/AA5)-1)),"N/A")</f>
        <v/>
      </c>
      <c r="AG111" s="2152">
        <f>IFERROR(IF(OR(INDEX(SP_CFA_CFO,0,COLUMN())&lt;=0,AB60&lt;=0),"NMF",IF(ABS((INDEX(SP_CFA_CFO,0,COLUMN())/INDEX(SP_CS_ShareCount,0,COLUMN()))/(AB60/AB5)-1)&gt;10,"NMF",(INDEX(SP_CFA_CFO,0,COLUMN())/INDEX(SP_CS_ShareCount,0,COLUMN()))/(AB60/AB5)-1)),"N/A")</f>
        <v/>
      </c>
      <c r="AH111" s="2151">
        <f>IFERROR(IF(OR(INDEX(SP_CFA_CFO,0,COLUMN())&lt;=0,AC60&lt;=0),"NMF",IF(ABS((INDEX(SP_CFA_CFO,0,COLUMN())/INDEX(SP_CS_ShareCount,0,COLUMN()))/(AC60/AC5)-1)&gt;10,"NMF",(INDEX(SP_CFA_CFO,0,COLUMN())/INDEX(SP_CS_ShareCount,0,COLUMN()))/(AC60/AC5)-1)),"N/A")</f>
        <v/>
      </c>
      <c r="AI111" s="2152">
        <f>IFERROR(IF(OR(INDEX(SP_CFA_CFO,0,COLUMN())&lt;=0,AD60&lt;=0),"NMF",IF(ABS((INDEX(SP_CFA_CFO,0,COLUMN())/INDEX(SP_CS_ShareCount,0,COLUMN()))/(AD60/AD5)-1)&gt;10,"NMF",(INDEX(SP_CFA_CFO,0,COLUMN())/INDEX(SP_CS_ShareCount,0,COLUMN()))/(AD60/AD5)-1)),"N/A")</f>
        <v/>
      </c>
      <c r="AJ111" s="2152">
        <f>IFERROR(IF(OR(INDEX(SP_CFA_CFO,0,COLUMN())&lt;=0,AE60&lt;=0),"NMF",IF(ABS((INDEX(SP_CFA_CFO,0,COLUMN())/INDEX(SP_CS_ShareCount,0,COLUMN()))/(AE60/AE5)-1)&gt;10,"NMF",(INDEX(SP_CFA_CFO,0,COLUMN())/INDEX(SP_CS_ShareCount,0,COLUMN()))/(AE60/AE5)-1)),"N/A")</f>
        <v/>
      </c>
      <c r="AK111" s="2153">
        <f>IFERROR(IF(OR(INDEX(SP_CFA_CFO,0,COLUMN())&lt;=0,AF60&lt;=0),"NMF",IF(ABS((INDEX(SP_CFA_CFO,0,COLUMN())/INDEX(SP_CS_ShareCount,0,COLUMN()))/(AF60/AF5)-1)&gt;10,"NMF",(INDEX(SP_CFA_CFO,0,COLUMN())/INDEX(SP_CS_ShareCount,0,COLUMN()))/(AF60/AF5)-1)),"N/A")</f>
        <v/>
      </c>
      <c r="AL111" s="2152">
        <f>IFERROR(IF(OR(INDEX(SP_CFA_CFO,0,COLUMN())&lt;=0,AG60&lt;=0),"NMF",IF(ABS((INDEX(SP_CFA_CFO,0,COLUMN())/INDEX(SP_CS_ShareCount,0,COLUMN()))/(AG60/AG5)-1)&gt;10,"NMF",(INDEX(SP_CFA_CFO,0,COLUMN())/INDEX(SP_CS_ShareCount,0,COLUMN()))/(AG60/AG5)-1)),"N/A")</f>
        <v/>
      </c>
      <c r="AM111" s="2151">
        <f>IFERROR(IF(OR(INDEX(SP_CFA_CFO,0,COLUMN())&lt;=0,AH60&lt;=0),"NMF",IF(ABS((INDEX(SP_CFA_CFO,0,COLUMN())/INDEX(SP_CS_ShareCount,0,COLUMN()))/(AH60/AH5)-1)&gt;10,"NMF",(INDEX(SP_CFA_CFO,0,COLUMN())/INDEX(SP_CS_ShareCount,0,COLUMN()))/(AH60/AH5)-1)),"N/A")</f>
        <v/>
      </c>
      <c r="AN111" s="2152">
        <f>IFERROR(IF(OR(INDEX(SP_CFA_CFO,0,COLUMN())&lt;=0,AI60&lt;=0),"NMF",IF(ABS((INDEX(SP_CFA_CFO,0,COLUMN())/INDEX(SP_CS_ShareCount,0,COLUMN()))/(AI60/AI5)-1)&gt;10,"NMF",(INDEX(SP_CFA_CFO,0,COLUMN())/INDEX(SP_CS_ShareCount,0,COLUMN()))/(AI60/AI5)-1)),"N/A")</f>
        <v/>
      </c>
      <c r="AO111" s="2152">
        <f>IFERROR(IF(OR(INDEX(SP_CFA_CFO,0,COLUMN())&lt;=0,AJ60&lt;=0),"NMF",IF(ABS((INDEX(SP_CFA_CFO,0,COLUMN())/INDEX(SP_CS_ShareCount,0,COLUMN()))/(AJ60/AJ5)-1)&gt;10,"NMF",(INDEX(SP_CFA_CFO,0,COLUMN())/INDEX(SP_CS_ShareCount,0,COLUMN()))/(AJ60/AJ5)-1)),"N/A")</f>
        <v/>
      </c>
      <c r="AP111" s="2152">
        <f>IFERROR(IF(OR(INDEX(SP_CFA_CFO,0,COLUMN())&lt;=0,AK60&lt;=0),"NMF",IF(ABS((INDEX(SP_CFA_CFO,0,COLUMN())/INDEX(SP_CS_ShareCount,0,COLUMN()))/(AK60/AK5)-1)&gt;10,"NMF",(INDEX(SP_CFA_CFO,0,COLUMN())/INDEX(SP_CS_ShareCount,0,COLUMN()))/(AK60/AK5)-1)),"N/A")</f>
        <v/>
      </c>
      <c r="AQ111" s="2152">
        <f>IFERROR(IF(OR(INDEX(SP_CFA_CFO,0,COLUMN())&lt;=0,AL60&lt;=0),"NMF",IF(ABS((INDEX(SP_CFA_CFO,0,COLUMN())/INDEX(SP_CS_ShareCount,0,COLUMN()))/(AL60/AL5)-1)&gt;10,"NMF",(INDEX(SP_CFA_CFO,0,COLUMN())/INDEX(SP_CS_ShareCount,0,COLUMN()))/(AL60/AL5)-1)),"N/A")</f>
        <v/>
      </c>
      <c r="AR111" s="2151">
        <f>IFERROR(IF(OR(INDEX(SP_CFA_CFO,0,COLUMN())&lt;=0,AM60&lt;=0),"NMF",IF(ABS((INDEX(SP_CFA_CFO,0,COLUMN())/INDEX(SP_CS_ShareCount,0,COLUMN()))/(AM60/AM5)-1)&gt;10,"NMF",(INDEX(SP_CFA_CFO,0,COLUMN())/INDEX(SP_CS_ShareCount,0,COLUMN()))/(AM60/AM5)-1)),"N/A")</f>
        <v/>
      </c>
      <c r="AS111" s="2151">
        <f>IFERROR(IF(OR(INDEX(SP_CFA_CFO,0,COLUMN())&lt;=0,AR60&lt;=0),"NMF",IF(ABS((INDEX(SP_CFA_CFO,0,COLUMN())/INDEX(SP_CS_ShareCount,0,COLUMN()))/(AR60/AR5)-1)&gt;10,"NMF",(INDEX(SP_CFA_CFO,0,COLUMN())/INDEX(SP_CS_ShareCount,0,COLUMN()))/(AR60/AR5)-1)),"N/A")</f>
        <v/>
      </c>
      <c r="AT111" s="2151">
        <f>IFERROR(IF(OR(INDEX(SP_CFA_CFO,0,COLUMN())&lt;=0,AS60&lt;=0),"NMF",IF(ABS((INDEX(SP_CFA_CFO,0,COLUMN())/INDEX(SP_CS_ShareCount,0,COLUMN()))/(AS60/AS5)-1)&gt;10,"NMF",(INDEX(SP_CFA_CFO,0,COLUMN())/INDEX(SP_CS_ShareCount,0,COLUMN()))/(AS60/AS5)-1)),"N/A")</f>
        <v/>
      </c>
      <c r="AU111" s="2151">
        <f>IFERROR(IF(OR(INDEX(SP_CFA_CFO,0,COLUMN())&lt;=0,AT60&lt;=0),"NMF",IF(ABS((INDEX(SP_CFA_CFO,0,COLUMN())/INDEX(SP_CS_ShareCount,0,COLUMN()))/(AT60/AT5)-1)&gt;10,"NMF",(INDEX(SP_CFA_CFO,0,COLUMN())/INDEX(SP_CS_ShareCount,0,COLUMN()))/(AT60/AT5)-1)),"N/A")</f>
        <v/>
      </c>
      <c r="AV111" s="2097" t="n"/>
    </row>
    <row r="112" ht="14.4" customFormat="1" customHeight="1" s="2148">
      <c r="A112" s="2208" t="inlineStr">
        <is>
          <t>Free Cash Flow Per Share Growth</t>
        </is>
      </c>
      <c r="B112" s="2150" t="n"/>
      <c r="C112" s="2151" t="n"/>
      <c r="D112" s="2151" t="n"/>
      <c r="E112" s="2151" t="n"/>
      <c r="F112" s="2151" t="n"/>
      <c r="G112" s="2151" t="n"/>
      <c r="H112" s="2151" t="n"/>
      <c r="I112" s="2151" t="n"/>
      <c r="J112" s="2151" t="n"/>
      <c r="K112" s="2151" t="n"/>
      <c r="L112" s="2151" t="n"/>
      <c r="M112" s="2151" t="n"/>
      <c r="N112" s="2151" t="n"/>
      <c r="O112" s="2152" t="n"/>
      <c r="P112" s="2152" t="n"/>
      <c r="Q112" s="2152" t="n"/>
      <c r="R112" s="2152" t="n"/>
      <c r="S112" s="2151" t="n"/>
      <c r="T112" s="2152" t="n"/>
      <c r="U112" s="2152" t="n"/>
      <c r="V112" s="2152" t="n"/>
      <c r="W112" s="2152" t="n"/>
      <c r="X112" s="2151" t="n"/>
      <c r="Y112" s="2152" t="n"/>
      <c r="Z112" s="2152" t="n"/>
      <c r="AA112" s="2152" t="n"/>
      <c r="AB112" s="2152" t="n"/>
      <c r="AC112" s="2151" t="n"/>
      <c r="AD112" s="2152" t="n"/>
      <c r="AE112" s="2152" t="n"/>
      <c r="AF112" s="2152">
        <f>IFERROR(IF(OR(INDEX(SP_CFA_FCF_PreDiv,0,COLUMN())&lt;=0,AA62&lt;=0),"NMF",IF(ABS((INDEX(SP_CFA_FCF_PreDiv,0,COLUMN())/INDEX(SP_CS_ShareCount,0,COLUMN()))/(AA62/AA5)-1)&gt;10,"NMF",(INDEX(SP_CFA_FCF_PreDiv,0,COLUMN())/INDEX(SP_CS_ShareCount,0,COLUMN()))/(AA62/AA5)-1)),"N/A")</f>
        <v/>
      </c>
      <c r="AG112" s="2152">
        <f>IFERROR(IF(OR(INDEX(SP_CFA_FCF_PreDiv,0,COLUMN())&lt;=0,AB62&lt;=0),"NMF",IF(ABS((INDEX(SP_CFA_FCF_PreDiv,0,COLUMN())/INDEX(SP_CS_ShareCount,0,COLUMN()))/(AB62/AB5)-1)&gt;10,"NMF",(INDEX(SP_CFA_FCF_PreDiv,0,COLUMN())/INDEX(SP_CS_ShareCount,0,COLUMN()))/(AB62/AB5)-1)),"N/A")</f>
        <v/>
      </c>
      <c r="AH112" s="2151">
        <f>IFERROR(IF(OR(INDEX(SP_CFA_FCF_PreDiv,0,COLUMN())&lt;=0,AC62&lt;=0),"NMF",IF(ABS((INDEX(SP_CFA_FCF_PreDiv,0,COLUMN())/INDEX(SP_CS_ShareCount,0,COLUMN()))/(AC62/AC5)-1)&gt;10,"NMF",(INDEX(SP_CFA_FCF_PreDiv,0,COLUMN())/INDEX(SP_CS_ShareCount,0,COLUMN()))/(AC62/AC5)-1)),"N/A")</f>
        <v/>
      </c>
      <c r="AI112" s="2152">
        <f>IFERROR(IF(OR(INDEX(SP_CFA_FCF_PreDiv,0,COLUMN())&lt;=0,AD62&lt;=0),"NMF",IF(ABS((INDEX(SP_CFA_FCF_PreDiv,0,COLUMN())/INDEX(SP_CS_ShareCount,0,COLUMN()))/(AD62/AD5)-1)&gt;10,"NMF",(INDEX(SP_CFA_FCF_PreDiv,0,COLUMN())/INDEX(SP_CS_ShareCount,0,COLUMN()))/(AD62/AD5)-1)),"N/A")</f>
        <v/>
      </c>
      <c r="AJ112" s="2152">
        <f>IFERROR(IF(OR(INDEX(SP_CFA_FCF_PreDiv,0,COLUMN())&lt;=0,AE62&lt;=0),"NMF",IF(ABS((INDEX(SP_CFA_FCF_PreDiv,0,COLUMN())/INDEX(SP_CS_ShareCount,0,COLUMN()))/(AE62/AE5)-1)&gt;10,"NMF",(INDEX(SP_CFA_FCF_PreDiv,0,COLUMN())/INDEX(SP_CS_ShareCount,0,COLUMN()))/(AE62/AE5)-1)),"N/A")</f>
        <v/>
      </c>
      <c r="AK112" s="2153">
        <f>IFERROR(IF(OR(INDEX(SP_CFA_FCF_PreDiv,0,COLUMN())&lt;=0,AF62&lt;=0),"NMF",IF(ABS((INDEX(SP_CFA_FCF_PreDiv,0,COLUMN())/INDEX(SP_CS_ShareCount,0,COLUMN()))/(AF62/AF5)-1)&gt;10,"NMF",(INDEX(SP_CFA_FCF_PreDiv,0,COLUMN())/INDEX(SP_CS_ShareCount,0,COLUMN()))/(AF62/AF5)-1)),"N/A")</f>
        <v/>
      </c>
      <c r="AL112" s="2152">
        <f>IFERROR(IF(OR(INDEX(SP_CFA_FCF_PreDiv,0,COLUMN())&lt;=0,AG62&lt;=0),"NMF",IF(ABS((INDEX(SP_CFA_FCF_PreDiv,0,COLUMN())/INDEX(SP_CS_ShareCount,0,COLUMN()))/(AG62/AG5)-1)&gt;10,"NMF",(INDEX(SP_CFA_FCF_PreDiv,0,COLUMN())/INDEX(SP_CS_ShareCount,0,COLUMN()))/(AG62/AG5)-1)),"N/A")</f>
        <v/>
      </c>
      <c r="AM112" s="2151">
        <f>IFERROR(IF(OR(INDEX(SP_CFA_FCF_PreDiv,0,COLUMN())&lt;=0,AH62&lt;=0),"NMF",IF(ABS((INDEX(SP_CFA_FCF_PreDiv,0,COLUMN())/INDEX(SP_CS_ShareCount,0,COLUMN()))/(AH62/AH5)-1)&gt;10,"NMF",(INDEX(SP_CFA_FCF_PreDiv,0,COLUMN())/INDEX(SP_CS_ShareCount,0,COLUMN()))/(AH62/AH5)-1)),"N/A")</f>
        <v/>
      </c>
      <c r="AN112" s="2152">
        <f>IFERROR(IF(OR(INDEX(SP_CFA_FCF_PreDiv,0,COLUMN())&lt;=0,AI62&lt;=0),"NMF",IF(ABS((INDEX(SP_CFA_FCF_PreDiv,0,COLUMN())/INDEX(SP_CS_ShareCount,0,COLUMN()))/(AI62/AI5)-1)&gt;10,"NMF",(INDEX(SP_CFA_FCF_PreDiv,0,COLUMN())/INDEX(SP_CS_ShareCount,0,COLUMN()))/(AI62/AI5)-1)),"N/A")</f>
        <v/>
      </c>
      <c r="AO112" s="2152">
        <f>IFERROR(IF(OR(INDEX(SP_CFA_FCF_PreDiv,0,COLUMN())&lt;=0,AJ62&lt;=0),"NMF",IF(ABS((INDEX(SP_CFA_FCF_PreDiv,0,COLUMN())/INDEX(SP_CS_ShareCount,0,COLUMN()))/(AJ62/AJ5)-1)&gt;10,"NMF",(INDEX(SP_CFA_FCF_PreDiv,0,COLUMN())/INDEX(SP_CS_ShareCount,0,COLUMN()))/(AJ62/AJ5)-1)),"N/A")</f>
        <v/>
      </c>
      <c r="AP112" s="2152">
        <f>IFERROR(IF(OR(INDEX(SP_CFA_FCF_PreDiv,0,COLUMN())&lt;=0,AK62&lt;=0),"NMF",IF(ABS((INDEX(SP_CFA_FCF_PreDiv,0,COLUMN())/INDEX(SP_CS_ShareCount,0,COLUMN()))/(AK62/AK5)-1)&gt;10,"NMF",(INDEX(SP_CFA_FCF_PreDiv,0,COLUMN())/INDEX(SP_CS_ShareCount,0,COLUMN()))/(AK62/AK5)-1)),"N/A")</f>
        <v/>
      </c>
      <c r="AQ112" s="2152">
        <f>IFERROR(IF(OR(INDEX(SP_CFA_FCF_PreDiv,0,COLUMN())&lt;=0,AL62&lt;=0),"NMF",IF(ABS((INDEX(SP_CFA_FCF_PreDiv,0,COLUMN())/INDEX(SP_CS_ShareCount,0,COLUMN()))/(AL62/AL5)-1)&gt;10,"NMF",(INDEX(SP_CFA_FCF_PreDiv,0,COLUMN())/INDEX(SP_CS_ShareCount,0,COLUMN()))/(AL62/AL5)-1)),"N/A")</f>
        <v/>
      </c>
      <c r="AR112" s="2151">
        <f>IFERROR(IF(OR(INDEX(SP_CFA_FCF_PreDiv,0,COLUMN())&lt;=0,AM62&lt;=0),"NMF",IF(ABS((INDEX(SP_CFA_FCF_PreDiv,0,COLUMN())/INDEX(SP_CS_ShareCount,0,COLUMN()))/(AM62/AM5)-1)&gt;10,"NMF",(INDEX(SP_CFA_FCF_PreDiv,0,COLUMN())/INDEX(SP_CS_ShareCount,0,COLUMN()))/(AM62/AM5)-1)),"N/A")</f>
        <v/>
      </c>
      <c r="AS112" s="2151">
        <f>IFERROR(IF(OR(INDEX(SP_CFA_FCF_PreDiv,0,COLUMN())&lt;=0,AR62&lt;=0),"NMF",IF(ABS((INDEX(SP_CFA_FCF_PreDiv,0,COLUMN())/INDEX(SP_CS_ShareCount,0,COLUMN()))/(AR62/AR5)-1)&gt;10,"NMF",(INDEX(SP_CFA_FCF_PreDiv,0,COLUMN())/INDEX(SP_CS_ShareCount,0,COLUMN()))/(AR62/AR5)-1)),"N/A")</f>
        <v/>
      </c>
      <c r="AT112" s="2151">
        <f>IFERROR(IF(OR(INDEX(SP_CFA_FCF_PreDiv,0,COLUMN())&lt;=0,AS62&lt;=0),"NMF",IF(ABS((INDEX(SP_CFA_FCF_PreDiv,0,COLUMN())/INDEX(SP_CS_ShareCount,0,COLUMN()))/(AS62/AS5)-1)&gt;10,"NMF",(INDEX(SP_CFA_FCF_PreDiv,0,COLUMN())/INDEX(SP_CS_ShareCount,0,COLUMN()))/(AS62/AS5)-1)),"N/A")</f>
        <v/>
      </c>
      <c r="AU112" s="2151">
        <f>IFERROR(IF(OR(INDEX(SP_CFA_FCF_PreDiv,0,COLUMN())&lt;=0,AT62&lt;=0),"NMF",IF(ABS((INDEX(SP_CFA_FCF_PreDiv,0,COLUMN())/INDEX(SP_CS_ShareCount,0,COLUMN()))/(AT62/AT5)-1)&gt;10,"NMF",(INDEX(SP_CFA_FCF_PreDiv,0,COLUMN())/INDEX(SP_CS_ShareCount,0,COLUMN()))/(AT62/AT5)-1)),"N/A")</f>
        <v/>
      </c>
      <c r="AV112" s="2097" t="n"/>
    </row>
    <row r="113" ht="14.4" customHeight="1" s="877">
      <c r="A113" s="2100" t="n"/>
      <c r="B113" s="2124" t="n"/>
      <c r="C113" s="2125" t="n"/>
      <c r="D113" s="2125" t="n"/>
      <c r="E113" s="2125" t="n"/>
      <c r="F113" s="2125" t="n"/>
      <c r="G113" s="2125" t="n"/>
      <c r="H113" s="2125" t="n"/>
      <c r="I113" s="2125" t="n"/>
      <c r="J113" s="2125" t="n"/>
      <c r="K113" s="2125" t="n"/>
      <c r="L113" s="2125" t="n"/>
      <c r="M113" s="2125" t="n"/>
      <c r="N113" s="2125" t="n"/>
      <c r="O113" s="2119" t="n"/>
      <c r="P113" s="2119" t="n"/>
      <c r="Q113" s="2119" t="n"/>
      <c r="R113" s="2119" t="n"/>
      <c r="S113" s="2125" t="n"/>
      <c r="T113" s="2119" t="n"/>
      <c r="U113" s="2119" t="n"/>
      <c r="V113" s="2119" t="n"/>
      <c r="W113" s="2119" t="n"/>
      <c r="X113" s="2125" t="n"/>
      <c r="Y113" s="2119" t="n"/>
      <c r="Z113" s="2119" t="n"/>
      <c r="AA113" s="2119" t="n"/>
      <c r="AB113" s="2119" t="n"/>
      <c r="AC113" s="2125" t="n"/>
      <c r="AD113" s="2119" t="n"/>
      <c r="AE113" s="2119" t="n"/>
      <c r="AF113" s="2119" t="n"/>
      <c r="AG113" s="2119" t="n"/>
      <c r="AH113" s="2125" t="n"/>
      <c r="AI113" s="2119" t="n"/>
      <c r="AJ113" s="2119" t="n"/>
      <c r="AK113" s="2126" t="n"/>
      <c r="AL113" s="2119" t="n"/>
      <c r="AM113" s="2125" t="n"/>
      <c r="AN113" s="2119" t="n"/>
      <c r="AO113" s="2119" t="n"/>
      <c r="AP113" s="2119" t="n"/>
      <c r="AQ113" s="2119" t="n"/>
      <c r="AR113" s="2125" t="n"/>
      <c r="AS113" s="2125" t="n"/>
      <c r="AT113" s="2125" t="n"/>
      <c r="AU113" s="2125" t="n"/>
      <c r="AV113" s="2119" t="n"/>
    </row>
    <row r="114" ht="14.4" customHeight="1" s="877">
      <c r="A114" s="2095" t="inlineStr">
        <is>
          <t>Valuation Metrics</t>
        </is>
      </c>
      <c r="B114" s="2127" t="n"/>
      <c r="C114" s="2127" t="n"/>
      <c r="D114" s="2127" t="n"/>
      <c r="E114" s="2127" t="n"/>
      <c r="F114" s="2127" t="n"/>
      <c r="G114" s="2127" t="n"/>
      <c r="H114" s="2127" t="n"/>
      <c r="I114" s="2127" t="n"/>
      <c r="J114" s="2127" t="n"/>
      <c r="K114" s="2127" t="n"/>
      <c r="L114" s="2127" t="n"/>
      <c r="M114" s="2127" t="n"/>
      <c r="N114" s="2127" t="n"/>
      <c r="O114" s="2127" t="n"/>
      <c r="P114" s="2127" t="n"/>
      <c r="Q114" s="2127" t="n"/>
      <c r="R114" s="2127" t="n"/>
      <c r="S114" s="2127" t="n"/>
      <c r="T114" s="2127" t="n"/>
      <c r="U114" s="2127" t="n"/>
      <c r="V114" s="2127" t="n"/>
      <c r="W114" s="2127" t="n"/>
      <c r="X114" s="2127" t="n"/>
      <c r="Y114" s="2127" t="n"/>
      <c r="Z114" s="2127" t="n"/>
      <c r="AA114" s="2127" t="n"/>
      <c r="AB114" s="2127" t="n"/>
      <c r="AC114" s="2127" t="n"/>
      <c r="AD114" s="2127" t="n"/>
      <c r="AE114" s="2127" t="n"/>
      <c r="AF114" s="2127" t="n"/>
      <c r="AG114" s="2127" t="n"/>
      <c r="AH114" s="2127" t="n"/>
      <c r="AI114" s="2127" t="n"/>
      <c r="AJ114" s="2127" t="n"/>
      <c r="AK114" s="2128" t="n"/>
      <c r="AL114" s="2127" t="n"/>
      <c r="AM114" s="2127" t="n"/>
      <c r="AN114" s="2127" t="n"/>
      <c r="AO114" s="2127" t="n"/>
      <c r="AP114" s="2127" t="n"/>
      <c r="AQ114" s="2127" t="n"/>
      <c r="AR114" s="2127" t="n"/>
      <c r="AS114" s="2127" t="n"/>
      <c r="AT114" s="2127" t="n"/>
      <c r="AU114" s="2127" t="n"/>
      <c r="AV114" s="2087" t="n"/>
    </row>
    <row r="115" ht="14.4" customFormat="1" customHeight="1" s="2209">
      <c r="A115" s="2210">
        <f>"P/E - "&amp;SP.ValuationToggle</f>
        <v/>
      </c>
      <c r="B115" s="2211" t="n"/>
      <c r="C115" s="2212" t="n"/>
      <c r="D115" s="2212" t="n"/>
      <c r="E115" s="2212" t="n"/>
      <c r="F115" s="2212" t="n"/>
      <c r="G115" s="2212" t="n"/>
      <c r="H115" s="2212" t="n"/>
      <c r="I115" s="2212" t="n"/>
      <c r="J115" s="2212" t="n"/>
      <c r="K115" s="2212" t="n"/>
      <c r="L115" s="2212" t="n"/>
      <c r="M115" s="2212" t="n"/>
      <c r="N115" s="2212" t="n"/>
      <c r="O115" s="2213" t="n"/>
      <c r="P115" s="2213" t="n"/>
      <c r="Q115" s="2213" t="n"/>
      <c r="R115" s="2213" t="n"/>
      <c r="S115" s="2212" t="n"/>
      <c r="T115" s="2213" t="n"/>
      <c r="U115" s="2213" t="n"/>
      <c r="V115" s="2213" t="n"/>
      <c r="W115" s="2213" t="n"/>
      <c r="X115" s="2212" t="n"/>
      <c r="Y115" s="2213" t="n"/>
      <c r="Z115" s="2213" t="n"/>
      <c r="AA115" s="2213" t="n"/>
      <c r="AB115" s="2213" t="n"/>
      <c r="AC115" s="2212" t="n"/>
      <c r="AD115" s="2213" t="n"/>
      <c r="AE115" s="2213" t="n"/>
      <c r="AF115" s="2213" t="n"/>
      <c r="AG115" s="2213" t="n"/>
      <c r="AH115" s="2212" t="n"/>
      <c r="AI115" s="2213" t="n"/>
      <c r="AJ115" s="2213" t="n"/>
      <c r="AK115" s="2214" t="n"/>
      <c r="AL115" s="2213" t="n"/>
      <c r="AM115" s="2212">
        <f>IFERROR(INDEX(SP_CS_StockPrice,0,COLUMN())/INDEX(SP_NGF_EPS,0,COLUMN()),"n/a")</f>
        <v/>
      </c>
      <c r="AN115" s="2213" t="n"/>
      <c r="AO115" s="2213" t="n"/>
      <c r="AP115" s="2213" t="n"/>
      <c r="AQ115" s="2213" t="n"/>
      <c r="AR115" s="2212">
        <f>IFERROR(INDEX(SP_CS_StockPrice,0,COLUMN())/INDEX(SP_NGF_EPS,0,COLUMN()),"n/a")</f>
        <v/>
      </c>
      <c r="AS115" s="2212">
        <f>IFERROR(INDEX(SP_CS_StockPrice,0,COLUMN())/INDEX(SP_NGF_EPS,0,COLUMN()),"n/a")</f>
        <v/>
      </c>
      <c r="AT115" s="2212">
        <f>IFERROR(INDEX(SP_CS_StockPrice,0,COLUMN())/INDEX(SP_NGF_EPS,0,COLUMN()),"n/a")</f>
        <v/>
      </c>
      <c r="AU115" s="2212">
        <f>IFERROR(INDEX(SP_CS_StockPrice,0,COLUMN())/INDEX(SP_NGF_EPS,0,COLUMN()),"n/a")</f>
        <v/>
      </c>
      <c r="AV115" s="2213" t="n"/>
    </row>
    <row r="116" ht="14.4" customFormat="1" customHeight="1" s="2209">
      <c r="A116" s="2210">
        <f>"EV/EBITDA - "&amp;SP.ValuationToggle</f>
        <v/>
      </c>
      <c r="B116" s="2211" t="n"/>
      <c r="C116" s="2212" t="n"/>
      <c r="D116" s="2212" t="n"/>
      <c r="E116" s="2212" t="n"/>
      <c r="F116" s="2212" t="n"/>
      <c r="G116" s="2212" t="n"/>
      <c r="H116" s="2212" t="n"/>
      <c r="I116" s="2212" t="n"/>
      <c r="J116" s="2212" t="n"/>
      <c r="K116" s="2212" t="n"/>
      <c r="L116" s="2212" t="n"/>
      <c r="M116" s="2212" t="n"/>
      <c r="N116" s="2212" t="n"/>
      <c r="O116" s="2213" t="n"/>
      <c r="P116" s="2213" t="n"/>
      <c r="Q116" s="2213" t="n"/>
      <c r="R116" s="2213" t="n"/>
      <c r="S116" s="2212" t="n"/>
      <c r="T116" s="2213" t="n"/>
      <c r="U116" s="2213" t="n"/>
      <c r="V116" s="2213" t="n"/>
      <c r="W116" s="2213" t="n"/>
      <c r="X116" s="2212" t="n"/>
      <c r="Y116" s="2213" t="n"/>
      <c r="Z116" s="2213" t="n"/>
      <c r="AA116" s="2213" t="n"/>
      <c r="AB116" s="2213" t="n"/>
      <c r="AC116" s="2212" t="n"/>
      <c r="AD116" s="2213" t="n"/>
      <c r="AE116" s="2213" t="n"/>
      <c r="AF116" s="2213" t="n"/>
      <c r="AG116" s="2213" t="n"/>
      <c r="AH116" s="2212" t="n"/>
      <c r="AI116" s="2213" t="n"/>
      <c r="AJ116" s="2213" t="n"/>
      <c r="AK116" s="2214" t="n"/>
      <c r="AL116" s="2213" t="n"/>
      <c r="AM116" s="2212">
        <f>IFERROR(INDEX(SP_CS_EV,0,COLUMN())/INDEX(SP_NGF_EBITDA,0,COLUMN()),"n/a")</f>
        <v/>
      </c>
      <c r="AN116" s="2213" t="n"/>
      <c r="AO116" s="2213" t="n"/>
      <c r="AP116" s="2213" t="n"/>
      <c r="AQ116" s="2213" t="n"/>
      <c r="AR116" s="2212">
        <f>IFERROR(INDEX(SP_CS_EV,0,COLUMN())/INDEX(SP_NGF_EBITDA,0,COLUMN()),"n/a")</f>
        <v/>
      </c>
      <c r="AS116" s="2212">
        <f>IFERROR(INDEX(SP_CS_EV,0,COLUMN())/INDEX(SP_NGF_EBITDA,0,COLUMN()),"n/a")</f>
        <v/>
      </c>
      <c r="AT116" s="2212">
        <f>IFERROR(INDEX(SP_CS_EV,0,COLUMN())/INDEX(SP_NGF_EBITDA,0,COLUMN()),"n/a")</f>
        <v/>
      </c>
      <c r="AU116" s="2212">
        <f>IFERROR(INDEX(SP_CS_EV,0,COLUMN())/INDEX(SP_NGF_EBITDA,0,COLUMN()),"n/a")</f>
        <v/>
      </c>
      <c r="AV116" s="2213" t="n"/>
    </row>
    <row r="117" ht="14.4" customFormat="1" customHeight="1" s="2209">
      <c r="A117" s="2210">
        <f>"P/CF - "&amp;SP.ValuationToggle</f>
        <v/>
      </c>
      <c r="B117" s="2211" t="n"/>
      <c r="C117" s="2212" t="n"/>
      <c r="D117" s="2212" t="n"/>
      <c r="E117" s="2212" t="n"/>
      <c r="F117" s="2212" t="n"/>
      <c r="G117" s="2212" t="n"/>
      <c r="H117" s="2212" t="n"/>
      <c r="I117" s="2212" t="n"/>
      <c r="J117" s="2212" t="n"/>
      <c r="K117" s="2212" t="n"/>
      <c r="L117" s="2212" t="n"/>
      <c r="M117" s="2212" t="n"/>
      <c r="N117" s="2212" t="n"/>
      <c r="O117" s="2213" t="n"/>
      <c r="P117" s="2213" t="n"/>
      <c r="Q117" s="2213" t="n"/>
      <c r="R117" s="2213" t="n"/>
      <c r="S117" s="2212" t="n"/>
      <c r="T117" s="2213" t="n"/>
      <c r="U117" s="2213" t="n"/>
      <c r="V117" s="2213" t="n"/>
      <c r="W117" s="2213" t="n"/>
      <c r="X117" s="2212" t="n"/>
      <c r="Y117" s="2213" t="n"/>
      <c r="Z117" s="2213" t="n"/>
      <c r="AA117" s="2213" t="n"/>
      <c r="AB117" s="2213" t="n"/>
      <c r="AC117" s="2212" t="n"/>
      <c r="AD117" s="2213" t="n"/>
      <c r="AE117" s="2213" t="n"/>
      <c r="AF117" s="2213" t="n"/>
      <c r="AG117" s="2213" t="n"/>
      <c r="AH117" s="2212" t="n"/>
      <c r="AI117" s="2213" t="n"/>
      <c r="AJ117" s="2213" t="n"/>
      <c r="AK117" s="2214" t="n"/>
      <c r="AL117" s="2213" t="n"/>
      <c r="AM117" s="2212">
        <f>IFERROR(INDEX(SP_CS_StockPrice,0,COLUMN())/INDEX(SP_CFA_CFO_PerShare,0,COLUMN()),"n/a")</f>
        <v/>
      </c>
      <c r="AN117" s="2213" t="n"/>
      <c r="AO117" s="2213" t="n"/>
      <c r="AP117" s="2213" t="n"/>
      <c r="AQ117" s="2213" t="n"/>
      <c r="AR117" s="2212">
        <f>IFERROR(INDEX(SP_CS_StockPrice,0,COLUMN())/INDEX(SP_CFA_CFO_PerShare,0,COLUMN()),"n/a")</f>
        <v/>
      </c>
      <c r="AS117" s="2212">
        <f>IFERROR(INDEX(SP_CS_StockPrice,0,COLUMN())/INDEX(SP_CFA_CFO_PerShare,0,COLUMN()),"n/a")</f>
        <v/>
      </c>
      <c r="AT117" s="2212">
        <f>IFERROR(INDEX(SP_CS_StockPrice,0,COLUMN())/INDEX(SP_CFA_CFO_PerShare,0,COLUMN()),"n/a")</f>
        <v/>
      </c>
      <c r="AU117" s="2212">
        <f>IFERROR(INDEX(SP_CS_StockPrice,0,COLUMN())/INDEX(SP_CFA_CFO_PerShare,0,COLUMN()),"n/a")</f>
        <v/>
      </c>
      <c r="AV117" s="2213" t="n"/>
    </row>
    <row r="118" ht="14.4" customFormat="1" customHeight="1" s="2148">
      <c r="A118" s="2208">
        <f>"FCF Yield % to "&amp;SP.ValuationToggle&amp;" Market Cap"</f>
        <v/>
      </c>
      <c r="B118" s="2150" t="n"/>
      <c r="C118" s="2151" t="n"/>
      <c r="D118" s="2151" t="n"/>
      <c r="E118" s="2151" t="n"/>
      <c r="F118" s="2151" t="n"/>
      <c r="G118" s="2151" t="n"/>
      <c r="H118" s="2151" t="n"/>
      <c r="I118" s="2151" t="n"/>
      <c r="J118" s="2151" t="n"/>
      <c r="K118" s="2151" t="n"/>
      <c r="L118" s="2151" t="n"/>
      <c r="M118" s="2151" t="n"/>
      <c r="N118" s="2151" t="n"/>
      <c r="O118" s="2152" t="n"/>
      <c r="P118" s="2152" t="n"/>
      <c r="Q118" s="2152" t="n"/>
      <c r="R118" s="2152" t="n"/>
      <c r="S118" s="2151" t="n"/>
      <c r="T118" s="2152" t="n"/>
      <c r="U118" s="2152" t="n"/>
      <c r="V118" s="2152" t="n"/>
      <c r="W118" s="2152" t="n"/>
      <c r="X118" s="2151" t="n"/>
      <c r="Y118" s="2152" t="n"/>
      <c r="Z118" s="2152" t="n"/>
      <c r="AA118" s="2152" t="n"/>
      <c r="AB118" s="2152" t="n"/>
      <c r="AC118" s="2151" t="n"/>
      <c r="AD118" s="2152" t="n"/>
      <c r="AE118" s="2152" t="n"/>
      <c r="AF118" s="2152" t="n"/>
      <c r="AG118" s="2152" t="n"/>
      <c r="AH118" s="2151" t="n"/>
      <c r="AI118" s="2152" t="n"/>
      <c r="AJ118" s="2152" t="n"/>
      <c r="AK118" s="2153" t="n"/>
      <c r="AL118" s="2152" t="n"/>
      <c r="AM118" s="2151">
        <f>IFERROR(INDEX(SP_CFA_FCF_PreDiv,0,COLUMN())/INDEX(SP_CS_MarketCap,0,COLUMN()),"n/a")</f>
        <v/>
      </c>
      <c r="AN118" s="2152" t="n"/>
      <c r="AO118" s="2152" t="n"/>
      <c r="AP118" s="2152" t="n"/>
      <c r="AQ118" s="2152" t="n"/>
      <c r="AR118" s="2151">
        <f>IFERROR(INDEX(SP_CFA_FCF_PreDiv,0,COLUMN())/INDEX(SP_CS_MarketCap,0,COLUMN()),"n/a")</f>
        <v/>
      </c>
      <c r="AS118" s="2151">
        <f>IFERROR(INDEX(SP_CFA_FCF_PreDiv,0,COLUMN())/INDEX(SP_CS_MarketCap,0,COLUMN()),"n/a")</f>
        <v/>
      </c>
      <c r="AT118" s="2151">
        <f>IFERROR(INDEX(SP_CFA_FCF_PreDiv,0,COLUMN())/INDEX(SP_CS_MarketCap,0,COLUMN()),"n/a")</f>
        <v/>
      </c>
      <c r="AU118" s="2151">
        <f>IFERROR(INDEX(SP_CFA_FCF_PreDiv,0,COLUMN())/INDEX(SP_CS_MarketCap,0,COLUMN()),"n/a")</f>
        <v/>
      </c>
      <c r="AV118" s="2097" t="n"/>
    </row>
    <row r="119" ht="14.4" customFormat="1" customHeight="1" s="2148">
      <c r="A119" s="2208">
        <f>"FCF Yield % to "&amp;SP.ValuationToggle&amp;" Enterprise Value"</f>
        <v/>
      </c>
      <c r="B119" s="2150" t="n"/>
      <c r="C119" s="2151" t="n"/>
      <c r="D119" s="2151" t="n"/>
      <c r="E119" s="2151" t="n"/>
      <c r="F119" s="2151" t="n"/>
      <c r="G119" s="2151" t="n"/>
      <c r="H119" s="2151" t="n"/>
      <c r="I119" s="2151" t="n"/>
      <c r="J119" s="2151" t="n"/>
      <c r="K119" s="2151" t="n"/>
      <c r="L119" s="2151" t="n"/>
      <c r="M119" s="2151" t="n"/>
      <c r="N119" s="2151" t="n"/>
      <c r="O119" s="2152" t="n"/>
      <c r="P119" s="2152" t="n"/>
      <c r="Q119" s="2152" t="n"/>
      <c r="R119" s="2152" t="n"/>
      <c r="S119" s="2151" t="n"/>
      <c r="T119" s="2152" t="n"/>
      <c r="U119" s="2152" t="n"/>
      <c r="V119" s="2152" t="n"/>
      <c r="W119" s="2152" t="n"/>
      <c r="X119" s="2151" t="n"/>
      <c r="Y119" s="2152" t="n"/>
      <c r="Z119" s="2152" t="n"/>
      <c r="AA119" s="2152" t="n"/>
      <c r="AB119" s="2152" t="n"/>
      <c r="AC119" s="2151" t="n"/>
      <c r="AD119" s="2152" t="n"/>
      <c r="AE119" s="2152" t="n"/>
      <c r="AF119" s="2152" t="n"/>
      <c r="AG119" s="2152" t="n"/>
      <c r="AH119" s="2151" t="n"/>
      <c r="AI119" s="2152" t="n"/>
      <c r="AJ119" s="2152" t="n"/>
      <c r="AK119" s="2153" t="n"/>
      <c r="AL119" s="2152" t="n"/>
      <c r="AM119" s="2151">
        <f>IFERROR(INDEX(SP_CFA_FCF_PreDiv,0,COLUMN())/INDEX(SP_CS_EV,0,COLUMN()),"n/a")</f>
        <v/>
      </c>
      <c r="AN119" s="2152" t="n"/>
      <c r="AO119" s="2152" t="n"/>
      <c r="AP119" s="2152" t="n"/>
      <c r="AQ119" s="2152" t="n"/>
      <c r="AR119" s="2151">
        <f>IFERROR(INDEX(SP_CFA_FCF_PreDiv,0,COLUMN())/INDEX(SP_CS_EV,0,COLUMN()),"n/a")</f>
        <v/>
      </c>
      <c r="AS119" s="2151">
        <f>IFERROR(INDEX(SP_CFA_FCF_PreDiv,0,COLUMN())/INDEX(SP_CS_EV,0,COLUMN()),"n/a")</f>
        <v/>
      </c>
      <c r="AT119" s="2151">
        <f>IFERROR(INDEX(SP_CFA_FCF_PreDiv,0,COLUMN())/INDEX(SP_CS_EV,0,COLUMN()),"n/a")</f>
        <v/>
      </c>
      <c r="AU119" s="2151">
        <f>IFERROR(INDEX(SP_CFA_FCF_PreDiv,0,COLUMN())/INDEX(SP_CS_EV,0,COLUMN()),"n/a")</f>
        <v/>
      </c>
      <c r="AV119" s="2097" t="n"/>
    </row>
    <row r="120" ht="14.4" customFormat="1" customHeight="1" s="2148">
      <c r="A120" s="2208" t="n"/>
      <c r="B120" s="2150" t="n"/>
      <c r="C120" s="2151" t="n"/>
      <c r="D120" s="2151" t="n"/>
      <c r="E120" s="2151" t="n"/>
      <c r="F120" s="2151" t="n"/>
      <c r="G120" s="2151" t="n"/>
      <c r="H120" s="2151" t="n"/>
      <c r="I120" s="2151" t="n"/>
      <c r="J120" s="2151" t="n"/>
      <c r="K120" s="2151" t="n"/>
      <c r="L120" s="2151" t="n"/>
      <c r="M120" s="2151" t="n"/>
      <c r="N120" s="2151" t="n"/>
      <c r="O120" s="2152" t="n"/>
      <c r="P120" s="2152" t="n"/>
      <c r="Q120" s="2152" t="n"/>
      <c r="R120" s="2152" t="n"/>
      <c r="S120" s="2151" t="n"/>
      <c r="T120" s="2152" t="n"/>
      <c r="U120" s="2152" t="n"/>
      <c r="V120" s="2152" t="n"/>
      <c r="W120" s="2152" t="n"/>
      <c r="X120" s="2151" t="n"/>
      <c r="Y120" s="2152" t="n"/>
      <c r="Z120" s="2152" t="n"/>
      <c r="AA120" s="2152" t="n"/>
      <c r="AB120" s="2152" t="n"/>
      <c r="AC120" s="2151" t="n"/>
      <c r="AD120" s="2152" t="n"/>
      <c r="AE120" s="2152" t="n"/>
      <c r="AF120" s="2152" t="n"/>
      <c r="AG120" s="2152" t="n"/>
      <c r="AH120" s="2151" t="n"/>
      <c r="AI120" s="2152" t="n"/>
      <c r="AJ120" s="2152" t="n"/>
      <c r="AK120" s="2153" t="n"/>
      <c r="AL120" s="2152" t="n"/>
      <c r="AM120" s="2151" t="n"/>
      <c r="AN120" s="2152" t="n"/>
      <c r="AO120" s="2152" t="n"/>
      <c r="AP120" s="2152" t="n"/>
      <c r="AQ120" s="2152" t="n"/>
      <c r="AR120" s="2151" t="n"/>
      <c r="AS120" s="2151" t="n"/>
      <c r="AT120" s="2151" t="n"/>
      <c r="AU120" s="2151" t="n"/>
      <c r="AV120" s="2097" t="n"/>
    </row>
    <row r="121" hidden="1" outlineLevel="1" ht="14.4" customHeight="1" s="877">
      <c r="A121" s="2095" t="inlineStr">
        <is>
          <t>Check</t>
        </is>
      </c>
      <c r="B121" s="2127" t="n"/>
      <c r="C121" s="2127" t="n"/>
      <c r="D121" s="2127" t="n"/>
      <c r="E121" s="2127" t="n"/>
      <c r="F121" s="2127" t="n"/>
      <c r="G121" s="2127" t="n"/>
      <c r="H121" s="2127" t="n"/>
      <c r="I121" s="2127" t="n"/>
      <c r="J121" s="2127" t="n"/>
      <c r="K121" s="2127" t="n"/>
      <c r="L121" s="2127" t="n"/>
      <c r="M121" s="2127" t="n"/>
      <c r="N121" s="2127" t="n"/>
      <c r="O121" s="2127" t="n"/>
      <c r="P121" s="2127" t="n"/>
      <c r="Q121" s="2127" t="n"/>
      <c r="R121" s="2127" t="n"/>
      <c r="S121" s="2127" t="n"/>
      <c r="T121" s="2127" t="n"/>
      <c r="U121" s="2127" t="n"/>
      <c r="V121" s="2127" t="n"/>
      <c r="W121" s="2127" t="n"/>
      <c r="X121" s="2127" t="n"/>
      <c r="Y121" s="2127" t="n"/>
      <c r="Z121" s="2127" t="n"/>
      <c r="AA121" s="2127" t="n"/>
      <c r="AB121" s="2127" t="n"/>
      <c r="AC121" s="2127" t="n"/>
      <c r="AD121" s="2127" t="n"/>
      <c r="AE121" s="2127" t="n"/>
      <c r="AF121" s="2127" t="n"/>
      <c r="AG121" s="2127" t="n"/>
      <c r="AH121" s="2127" t="n"/>
      <c r="AI121" s="2127" t="n"/>
      <c r="AJ121" s="2127" t="n"/>
      <c r="AK121" s="2128" t="n"/>
      <c r="AL121" s="2127" t="n"/>
      <c r="AM121" s="2127" t="n"/>
      <c r="AN121" s="2127" t="n"/>
      <c r="AO121" s="2127" t="n"/>
      <c r="AP121" s="2127" t="n"/>
      <c r="AQ121" s="2127" t="n"/>
      <c r="AR121" s="2127" t="n"/>
      <c r="AS121" s="2127" t="n"/>
      <c r="AT121" s="2127" t="n"/>
      <c r="AU121" s="2127" t="n"/>
      <c r="AV121" s="2097" t="n"/>
    </row>
    <row r="122" hidden="1" outlineLevel="1" ht="14.4" customHeight="1" s="877">
      <c r="A122" s="2087" t="inlineStr">
        <is>
          <t>Non-GAAP Operating Income</t>
        </is>
      </c>
      <c r="B122" s="457" t="n"/>
      <c r="C122" s="1713" t="n"/>
      <c r="D122" s="1713" t="n"/>
      <c r="E122" s="1713" t="n"/>
      <c r="F122" s="1713" t="n"/>
      <c r="G122" s="1713" t="n"/>
      <c r="H122" s="1713" t="n"/>
      <c r="I122" s="1713" t="n"/>
      <c r="J122" s="1713" t="n"/>
      <c r="K122" s="1713" t="n"/>
      <c r="L122" s="1713" t="n"/>
      <c r="M122" s="1713" t="n"/>
      <c r="N122" s="1713" t="n"/>
      <c r="O122" s="1713" t="n"/>
      <c r="P122" s="1713" t="n"/>
      <c r="Q122" s="1713" t="n"/>
      <c r="R122" s="1713" t="n"/>
      <c r="S122" s="1713" t="n"/>
      <c r="T122" s="1713" t="n"/>
      <c r="U122" s="1713" t="n"/>
      <c r="V122" s="1713" t="n"/>
      <c r="W122" s="1713" t="n"/>
      <c r="X122" s="1713">
        <f>ROUND(INDEX(SP_GF_Reported_OperatingIncome_NONGAAP,0,COLUMN())-INDEX(MO_RIS_Reported_OperatingIncome_NONGAAP,0,COLUMN()),6)</f>
        <v/>
      </c>
      <c r="Y122" s="1713">
        <f>ROUND(INDEX(SP_GF_Reported_OperatingIncome_NONGAAP,0,COLUMN())-INDEX(MO_RIS_Reported_OperatingIncome_NONGAAP,0,COLUMN()),6)</f>
        <v/>
      </c>
      <c r="Z122" s="1713">
        <f>ROUND(INDEX(SP_GF_Reported_OperatingIncome_NONGAAP,0,COLUMN())-INDEX(MO_RIS_Reported_OperatingIncome_NONGAAP,0,COLUMN()),6)</f>
        <v/>
      </c>
      <c r="AA122" s="1713">
        <f>ROUND(INDEX(SP_GF_Reported_OperatingIncome_NONGAAP,0,COLUMN())-INDEX(MO_RIS_Reported_OperatingIncome_NONGAAP,0,COLUMN()),6)</f>
        <v/>
      </c>
      <c r="AB122" s="1713">
        <f>ROUND(INDEX(SP_GF_Reported_OperatingIncome_NONGAAP,0,COLUMN())-INDEX(MO_RIS_Reported_OperatingIncome_NONGAAP,0,COLUMN()),6)</f>
        <v/>
      </c>
      <c r="AC122" s="1713">
        <f>ROUND(INDEX(SP_GF_Reported_OperatingIncome_NONGAAP,0,COLUMN())-INDEX(MO_RIS_Reported_OperatingIncome_NONGAAP,0,COLUMN()),6)</f>
        <v/>
      </c>
      <c r="AD122" s="1713">
        <f>ROUND(INDEX(SP_GF_Reported_OperatingIncome_NONGAAP,0,COLUMN())-INDEX(MO_RIS_Reported_OperatingIncome_NONGAAP,0,COLUMN()),6)</f>
        <v/>
      </c>
      <c r="AE122" s="1713">
        <f>ROUND(INDEX(SP_GF_Reported_OperatingIncome_NONGAAP,0,COLUMN())-INDEX(MO_RIS_Reported_OperatingIncome_NONGAAP,0,COLUMN()),6)</f>
        <v/>
      </c>
      <c r="AF122" s="1713">
        <f>ROUND(INDEX(SP_GF_Reported_OperatingIncome_NONGAAP,0,COLUMN())-INDEX(MO_RIS_Reported_OperatingIncome_NONGAAP,0,COLUMN()),6)</f>
        <v/>
      </c>
      <c r="AG122" s="1713">
        <f>ROUND(INDEX(SP_GF_Reported_OperatingIncome_NONGAAP,0,COLUMN())-INDEX(MO_RIS_Reported_OperatingIncome_NONGAAP,0,COLUMN()),6)</f>
        <v/>
      </c>
      <c r="AH122" s="1713">
        <f>ROUND(INDEX(SP_GF_Reported_OperatingIncome_NONGAAP,0,COLUMN())-INDEX(MO_RIS_Reported_OperatingIncome_NONGAAP,0,COLUMN()),6)</f>
        <v/>
      </c>
      <c r="AI122" s="1713">
        <f>ROUND(INDEX(SP_GF_Reported_OperatingIncome_NONGAAP,0,COLUMN())-INDEX(MO_RIS_Reported_OperatingIncome_NONGAAP,0,COLUMN()),6)</f>
        <v/>
      </c>
      <c r="AJ122" s="1713">
        <f>ROUND(INDEX(SP_GF_Reported_OperatingIncome_NONGAAP,0,COLUMN())-INDEX(MO_RIS_Reported_OperatingIncome_NONGAAP,0,COLUMN()),6)</f>
        <v/>
      </c>
      <c r="AK122" s="1714">
        <f>ROUND(INDEX(SP_GF_Reported_OperatingIncome_NONGAAP,0,COLUMN())-INDEX(MO_RIS_Reported_OperatingIncome_NONGAAP,0,COLUMN()),6)</f>
        <v/>
      </c>
      <c r="AL122" s="1713">
        <f>ROUND(INDEX(SP_GF_Reported_OperatingIncome_NONGAAP,0,COLUMN())-INDEX(MO_RIS_Reported_OperatingIncome_NONGAAP,0,COLUMN()),6)</f>
        <v/>
      </c>
      <c r="AM122" s="1713">
        <f>ROUND(INDEX(SP_GF_Reported_OperatingIncome_NONGAAP,0,COLUMN())-INDEX(MO_RIS_Reported_OperatingIncome_NONGAAP,0,COLUMN()),6)</f>
        <v/>
      </c>
      <c r="AN122" s="1713">
        <f>ROUND(INDEX(SP_GF_Reported_OperatingIncome_NONGAAP,0,COLUMN())-INDEX(MO_RIS_Reported_OperatingIncome_NONGAAP,0,COLUMN()),6)</f>
        <v/>
      </c>
      <c r="AO122" s="1713">
        <f>ROUND(INDEX(SP_GF_Reported_OperatingIncome_NONGAAP,0,COLUMN())-INDEX(MO_RIS_Reported_OperatingIncome_NONGAAP,0,COLUMN()),6)</f>
        <v/>
      </c>
      <c r="AP122" s="1713">
        <f>ROUND(INDEX(SP_GF_Reported_OperatingIncome_NONGAAP,0,COLUMN())-INDEX(MO_RIS_Reported_OperatingIncome_NONGAAP,0,COLUMN()),6)</f>
        <v/>
      </c>
      <c r="AQ122" s="1713">
        <f>ROUND(INDEX(SP_GF_Reported_OperatingIncome_NONGAAP,0,COLUMN())-INDEX(MO_RIS_Reported_OperatingIncome_NONGAAP,0,COLUMN()),6)</f>
        <v/>
      </c>
      <c r="AR122" s="1713">
        <f>ROUND(INDEX(SP_GF_Reported_OperatingIncome_NONGAAP,0,COLUMN())-INDEX(MO_RIS_Reported_OperatingIncome_NONGAAP,0,COLUMN()),6)</f>
        <v/>
      </c>
      <c r="AS122" s="1713">
        <f>ROUND(INDEX(SP_GF_Reported_OperatingIncome_NONGAAP,0,COLUMN())-INDEX(MO_RIS_Reported_OperatingIncome_NONGAAP,0,COLUMN()),6)</f>
        <v/>
      </c>
      <c r="AT122" s="1713">
        <f>ROUND(INDEX(SP_GF_Reported_OperatingIncome_NONGAAP,0,COLUMN())-INDEX(MO_RIS_Reported_OperatingIncome_NONGAAP,0,COLUMN()),6)</f>
        <v/>
      </c>
      <c r="AU122" s="1713">
        <f>ROUND(INDEX(SP_GF_Reported_OperatingIncome_NONGAAP,0,COLUMN())-INDEX(MO_RIS_Reported_OperatingIncome_NONGAAP,0,COLUMN()),6)</f>
        <v/>
      </c>
      <c r="AV122" s="2097" t="n"/>
    </row>
    <row r="123" hidden="1" outlineLevel="1" ht="14.4" customHeight="1" s="877">
      <c r="A123" s="2087" t="inlineStr">
        <is>
          <t>Adjusted EBITDA</t>
        </is>
      </c>
      <c r="B123" s="457" t="n"/>
      <c r="C123" s="1713" t="n"/>
      <c r="D123" s="1713" t="n"/>
      <c r="E123" s="1713" t="n"/>
      <c r="F123" s="1713" t="n"/>
      <c r="G123" s="1713" t="n"/>
      <c r="H123" s="1713" t="n"/>
      <c r="I123" s="1713" t="n"/>
      <c r="J123" s="1713" t="n"/>
      <c r="K123" s="1713" t="n"/>
      <c r="L123" s="1713" t="n"/>
      <c r="M123" s="1713" t="n"/>
      <c r="N123" s="1713" t="n"/>
      <c r="O123" s="1713" t="n"/>
      <c r="P123" s="1713" t="n"/>
      <c r="Q123" s="1713" t="n"/>
      <c r="R123" s="1713" t="n"/>
      <c r="S123" s="1713" t="n"/>
      <c r="T123" s="1713" t="n"/>
      <c r="U123" s="1713" t="n"/>
      <c r="V123" s="1713" t="n"/>
      <c r="W123" s="1713" t="n"/>
      <c r="X123" s="1713">
        <f>ROUND(INDEX(SP_NGF_EBITDA,0,COLUMN())-INDEX(MO_RIS_EBITDA_Adj,0,COLUMN()),6)</f>
        <v/>
      </c>
      <c r="Y123" s="1713">
        <f>ROUND(INDEX(SP_NGF_EBITDA,0,COLUMN())-INDEX(MO_RIS_EBITDA_Adj,0,COLUMN()),6)</f>
        <v/>
      </c>
      <c r="Z123" s="1713">
        <f>ROUND(INDEX(SP_NGF_EBITDA,0,COLUMN())-INDEX(MO_RIS_EBITDA_Adj,0,COLUMN()),6)</f>
        <v/>
      </c>
      <c r="AA123" s="1713">
        <f>ROUND(INDEX(SP_NGF_EBITDA,0,COLUMN())-INDEX(MO_RIS_EBITDA_Adj,0,COLUMN()),6)</f>
        <v/>
      </c>
      <c r="AB123" s="1713">
        <f>ROUND(INDEX(SP_NGF_EBITDA,0,COLUMN())-INDEX(MO_RIS_EBITDA_Adj,0,COLUMN()),6)</f>
        <v/>
      </c>
      <c r="AC123" s="1713">
        <f>ROUND(INDEX(SP_NGF_EBITDA,0,COLUMN())-INDEX(MO_RIS_EBITDA_Adj,0,COLUMN()),6)</f>
        <v/>
      </c>
      <c r="AD123" s="1713">
        <f>ROUND(INDEX(SP_NGF_EBITDA,0,COLUMN())-INDEX(MO_RIS_EBITDA_Adj,0,COLUMN()),6)</f>
        <v/>
      </c>
      <c r="AE123" s="1713">
        <f>ROUND(INDEX(SP_NGF_EBITDA,0,COLUMN())-INDEX(MO_RIS_EBITDA_Adj,0,COLUMN()),6)</f>
        <v/>
      </c>
      <c r="AF123" s="1713">
        <f>ROUND(INDEX(SP_NGF_EBITDA,0,COLUMN())-INDEX(MO_RIS_EBITDA_Adj,0,COLUMN()),6)</f>
        <v/>
      </c>
      <c r="AG123" s="1713">
        <f>ROUND(INDEX(SP_NGF_EBITDA,0,COLUMN())-INDEX(MO_RIS_EBITDA_Adj,0,COLUMN()),6)</f>
        <v/>
      </c>
      <c r="AH123" s="1713">
        <f>ROUND(INDEX(SP_NGF_EBITDA,0,COLUMN())-INDEX(MO_RIS_EBITDA_Adj,0,COLUMN()),6)</f>
        <v/>
      </c>
      <c r="AI123" s="1713">
        <f>ROUND(INDEX(SP_NGF_EBITDA,0,COLUMN())-INDEX(MO_RIS_EBITDA_Adj,0,COLUMN()),6)</f>
        <v/>
      </c>
      <c r="AJ123" s="1713">
        <f>ROUND(INDEX(SP_NGF_EBITDA,0,COLUMN())-INDEX(MO_RIS_EBITDA_Adj,0,COLUMN()),6)</f>
        <v/>
      </c>
      <c r="AK123" s="1714">
        <f>ROUND(INDEX(SP_NGF_EBITDA,0,COLUMN())-INDEX(MO_RIS_EBITDA_Adj,0,COLUMN()),6)</f>
        <v/>
      </c>
      <c r="AL123" s="1713">
        <f>ROUND(INDEX(SP_NGF_EBITDA,0,COLUMN())-INDEX(MO_RIS_EBITDA_Adj,0,COLUMN()),6)</f>
        <v/>
      </c>
      <c r="AM123" s="1713">
        <f>ROUND(INDEX(SP_NGF_EBITDA,0,COLUMN())-INDEX(MO_RIS_EBITDA_Adj,0,COLUMN()),6)</f>
        <v/>
      </c>
      <c r="AN123" s="1713">
        <f>ROUND(INDEX(SP_NGF_EBITDA,0,COLUMN())-INDEX(MO_RIS_EBITDA_Adj,0,COLUMN()),6)</f>
        <v/>
      </c>
      <c r="AO123" s="1713">
        <f>ROUND(INDEX(SP_NGF_EBITDA,0,COLUMN())-INDEX(MO_RIS_EBITDA_Adj,0,COLUMN()),6)</f>
        <v/>
      </c>
      <c r="AP123" s="1713">
        <f>ROUND(INDEX(SP_NGF_EBITDA,0,COLUMN())-INDEX(MO_RIS_EBITDA_Adj,0,COLUMN()),6)</f>
        <v/>
      </c>
      <c r="AQ123" s="1713">
        <f>ROUND(INDEX(SP_NGF_EBITDA,0,COLUMN())-INDEX(MO_RIS_EBITDA_Adj,0,COLUMN()),6)</f>
        <v/>
      </c>
      <c r="AR123" s="1713">
        <f>ROUND(INDEX(SP_NGF_EBITDA,0,COLUMN())-INDEX(MO_RIS_EBITDA_Adj,0,COLUMN()),6)</f>
        <v/>
      </c>
      <c r="AS123" s="1713">
        <f>ROUND(INDEX(SP_NGF_EBITDA,0,COLUMN())-INDEX(MO_RIS_EBITDA_Adj,0,COLUMN()),6)</f>
        <v/>
      </c>
      <c r="AT123" s="1713">
        <f>ROUND(INDEX(SP_NGF_EBITDA,0,COLUMN())-INDEX(MO_RIS_EBITDA_Adj,0,COLUMN()),6)</f>
        <v/>
      </c>
      <c r="AU123" s="1713">
        <f>ROUND(INDEX(SP_NGF_EBITDA,0,COLUMN())-INDEX(MO_RIS_EBITDA_Adj,0,COLUMN()),6)</f>
        <v/>
      </c>
      <c r="AV123" s="2097" t="n"/>
    </row>
    <row r="124" hidden="1" outlineLevel="1" ht="14.4" customHeight="1" s="877">
      <c r="A124" s="2087" t="inlineStr">
        <is>
          <t>Non GAAP NI</t>
        </is>
      </c>
      <c r="B124" s="457" t="n"/>
      <c r="C124" s="1713" t="n"/>
      <c r="D124" s="1713" t="n"/>
      <c r="E124" s="1713" t="n"/>
      <c r="F124" s="1713" t="n"/>
      <c r="G124" s="1713" t="n"/>
      <c r="H124" s="1713" t="n"/>
      <c r="I124" s="1713" t="n"/>
      <c r="J124" s="1713" t="n"/>
      <c r="K124" s="1713" t="n"/>
      <c r="L124" s="1713" t="n"/>
      <c r="M124" s="1713" t="n"/>
      <c r="N124" s="1713" t="n"/>
      <c r="O124" s="1713" t="n"/>
      <c r="P124" s="1713" t="n"/>
      <c r="Q124" s="1713" t="n"/>
      <c r="R124" s="1713" t="n"/>
      <c r="S124" s="1713" t="n"/>
      <c r="T124" s="1713" t="n"/>
      <c r="U124" s="1713" t="n"/>
      <c r="V124" s="1713" t="n"/>
      <c r="W124" s="1713" t="n"/>
      <c r="X124" s="1713">
        <f>ROUND(INDEX(SP_NGF_NI,0,COLUMN())-INDEX(MO_RIS_NI_NONGAAP_Diluted,0,COLUMN()),6)</f>
        <v/>
      </c>
      <c r="Y124" s="1713">
        <f>ROUND(INDEX(SP_NGF_NI,0,COLUMN())-INDEX(MO_RIS_NI_NONGAAP_Diluted,0,COLUMN()),6)</f>
        <v/>
      </c>
      <c r="Z124" s="1713">
        <f>ROUND(INDEX(SP_NGF_NI,0,COLUMN())-INDEX(MO_RIS_NI_NONGAAP_Diluted,0,COLUMN()),6)</f>
        <v/>
      </c>
      <c r="AA124" s="1713">
        <f>ROUND(INDEX(SP_NGF_NI,0,COLUMN())-INDEX(MO_RIS_NI_NONGAAP_Diluted,0,COLUMN()),6)</f>
        <v/>
      </c>
      <c r="AB124" s="1713">
        <f>ROUND(INDEX(SP_NGF_NI,0,COLUMN())-INDEX(MO_RIS_NI_NONGAAP_Diluted,0,COLUMN()),6)</f>
        <v/>
      </c>
      <c r="AC124" s="1713">
        <f>ROUND(INDEX(SP_NGF_NI,0,COLUMN())-INDEX(MO_RIS_NI_NONGAAP_Diluted,0,COLUMN()),6)</f>
        <v/>
      </c>
      <c r="AD124" s="1713">
        <f>ROUND(INDEX(SP_NGF_NI,0,COLUMN())-INDEX(MO_RIS_NI_NONGAAP_Diluted,0,COLUMN()),6)</f>
        <v/>
      </c>
      <c r="AE124" s="1713">
        <f>ROUND(INDEX(SP_NGF_NI,0,COLUMN())-INDEX(MO_RIS_NI_NONGAAP_Diluted,0,COLUMN()),6)</f>
        <v/>
      </c>
      <c r="AF124" s="1713">
        <f>ROUND(INDEX(SP_NGF_NI,0,COLUMN())-INDEX(MO_RIS_NI_NONGAAP_Diluted,0,COLUMN()),6)</f>
        <v/>
      </c>
      <c r="AG124" s="1713">
        <f>ROUND(INDEX(SP_NGF_NI,0,COLUMN())-INDEX(MO_RIS_NI_NONGAAP_Diluted,0,COLUMN()),6)</f>
        <v/>
      </c>
      <c r="AH124" s="1713">
        <f>ROUND(INDEX(SP_NGF_NI,0,COLUMN())-INDEX(MO_RIS_NI_NONGAAP_Diluted,0,COLUMN()),6)</f>
        <v/>
      </c>
      <c r="AI124" s="1713">
        <f>ROUND(INDEX(SP_NGF_NI,0,COLUMN())-INDEX(MO_RIS_NI_NONGAAP_Diluted,0,COLUMN()),6)</f>
        <v/>
      </c>
      <c r="AJ124" s="1713">
        <f>ROUND(INDEX(SP_NGF_NI,0,COLUMN())-INDEX(MO_RIS_NI_NONGAAP_Diluted,0,COLUMN()),6)</f>
        <v/>
      </c>
      <c r="AK124" s="1714">
        <f>ROUND(INDEX(SP_NGF_NI,0,COLUMN())-INDEX(MO_RIS_NI_NONGAAP_Diluted,0,COLUMN()),6)</f>
        <v/>
      </c>
      <c r="AL124" s="1713">
        <f>ROUND(INDEX(SP_NGF_NI,0,COLUMN())-INDEX(MO_RIS_NI_NONGAAP_Diluted,0,COLUMN()),6)</f>
        <v/>
      </c>
      <c r="AM124" s="1713">
        <f>ROUND(INDEX(SP_NGF_NI,0,COLUMN())-INDEX(MO_RIS_NI_NONGAAP_Diluted,0,COLUMN()),6)</f>
        <v/>
      </c>
      <c r="AN124" s="1713">
        <f>ROUND(INDEX(SP_NGF_NI,0,COLUMN())-INDEX(MO_RIS_NI_NONGAAP_Diluted,0,COLUMN()),6)</f>
        <v/>
      </c>
      <c r="AO124" s="1713">
        <f>ROUND(INDEX(SP_NGF_NI,0,COLUMN())-INDEX(MO_RIS_NI_NONGAAP_Diluted,0,COLUMN()),6)</f>
        <v/>
      </c>
      <c r="AP124" s="1713">
        <f>ROUND(INDEX(SP_NGF_NI,0,COLUMN())-INDEX(MO_RIS_NI_NONGAAP_Diluted,0,COLUMN()),6)</f>
        <v/>
      </c>
      <c r="AQ124" s="1713">
        <f>ROUND(INDEX(SP_NGF_NI,0,COLUMN())-INDEX(MO_RIS_NI_NONGAAP_Diluted,0,COLUMN()),6)</f>
        <v/>
      </c>
      <c r="AR124" s="1713">
        <f>ROUND(INDEX(SP_NGF_NI,0,COLUMN())-INDEX(MO_RIS_NI_NONGAAP_Diluted,0,COLUMN()),6)</f>
        <v/>
      </c>
      <c r="AS124" s="1713">
        <f>ROUND(INDEX(SP_NGF_NI,0,COLUMN())-INDEX(MO_RIS_NI_NONGAAP_Diluted,0,COLUMN()),6)</f>
        <v/>
      </c>
      <c r="AT124" s="1713">
        <f>ROUND(INDEX(SP_NGF_NI,0,COLUMN())-INDEX(MO_RIS_NI_NONGAAP_Diluted,0,COLUMN()),6)</f>
        <v/>
      </c>
      <c r="AU124" s="1713">
        <f>ROUND(INDEX(SP_NGF_NI,0,COLUMN())-INDEX(MO_RIS_NI_NONGAAP_Diluted,0,COLUMN()),6)</f>
        <v/>
      </c>
      <c r="AV124" s="2097" t="n"/>
    </row>
    <row r="125" hidden="1" outlineLevel="1" ht="14.4" customHeight="1" s="877">
      <c r="A125" s="2087" t="inlineStr">
        <is>
          <t>GAAP NI</t>
        </is>
      </c>
      <c r="B125" s="457" t="n"/>
      <c r="C125" s="1713" t="n"/>
      <c r="D125" s="1713" t="n"/>
      <c r="E125" s="1713" t="n"/>
      <c r="F125" s="1713" t="n"/>
      <c r="G125" s="1713" t="n"/>
      <c r="H125" s="1713" t="n"/>
      <c r="I125" s="1713" t="n"/>
      <c r="J125" s="1713" t="n"/>
      <c r="K125" s="1713" t="n"/>
      <c r="L125" s="1713" t="n"/>
      <c r="M125" s="1713" t="n"/>
      <c r="N125" s="1713" t="n"/>
      <c r="O125" s="1713" t="n"/>
      <c r="P125" s="1713" t="n"/>
      <c r="Q125" s="1713" t="n"/>
      <c r="R125" s="1713" t="n"/>
      <c r="S125" s="1713" t="n"/>
      <c r="T125" s="1713" t="n"/>
      <c r="U125" s="1713" t="n"/>
      <c r="V125" s="1713" t="n"/>
      <c r="W125" s="1713" t="n"/>
      <c r="X125" s="1713">
        <f>ROUND(INDEX(SP_GF_NI,0,COLUMN())-INDEX(MO_RIS_NI_GAAP_Basic,0,COLUMN()),6)</f>
        <v/>
      </c>
      <c r="Y125" s="1713">
        <f>ROUND(INDEX(SP_GF_NI,0,COLUMN())-INDEX(MO_RIS_NI_GAAP_Basic,0,COLUMN()),6)</f>
        <v/>
      </c>
      <c r="Z125" s="1713">
        <f>ROUND(INDEX(SP_GF_NI,0,COLUMN())-INDEX(MO_RIS_NI_GAAP_Basic,0,COLUMN()),6)</f>
        <v/>
      </c>
      <c r="AA125" s="1713">
        <f>ROUND(INDEX(SP_GF_NI,0,COLUMN())-INDEX(MO_RIS_NI_GAAP_Basic,0,COLUMN()),6)</f>
        <v/>
      </c>
      <c r="AB125" s="1713">
        <f>ROUND(INDEX(SP_GF_NI,0,COLUMN())-INDEX(MO_RIS_NI_GAAP_Basic,0,COLUMN()),6)</f>
        <v/>
      </c>
      <c r="AC125" s="1713">
        <f>ROUND(INDEX(SP_GF_NI,0,COLUMN())-INDEX(MO_RIS_NI_GAAP_Basic,0,COLUMN()),6)</f>
        <v/>
      </c>
      <c r="AD125" s="1713">
        <f>ROUND(INDEX(SP_GF_NI,0,COLUMN())-INDEX(MO_RIS_NI_GAAP_Basic,0,COLUMN()),6)</f>
        <v/>
      </c>
      <c r="AE125" s="1713">
        <f>ROUND(INDEX(SP_GF_NI,0,COLUMN())-INDEX(MO_RIS_NI_GAAP_Basic,0,COLUMN()),6)</f>
        <v/>
      </c>
      <c r="AF125" s="1713">
        <f>ROUND(INDEX(SP_GF_NI,0,COLUMN())-INDEX(MO_RIS_NI_GAAP_Basic,0,COLUMN()),6)</f>
        <v/>
      </c>
      <c r="AG125" s="1713">
        <f>ROUND(INDEX(SP_GF_NI,0,COLUMN())-INDEX(MO_RIS_NI_GAAP_Basic,0,COLUMN()),6)</f>
        <v/>
      </c>
      <c r="AH125" s="1713">
        <f>ROUND(INDEX(SP_GF_NI,0,COLUMN())-INDEX(MO_RIS_NI_GAAP_Basic,0,COLUMN()),6)</f>
        <v/>
      </c>
      <c r="AI125" s="1713">
        <f>ROUND(INDEX(SP_GF_NI,0,COLUMN())-INDEX(MO_RIS_NI_GAAP_Basic,0,COLUMN()),6)</f>
        <v/>
      </c>
      <c r="AJ125" s="1713">
        <f>ROUND(INDEX(SP_GF_NI,0,COLUMN())-INDEX(MO_RIS_NI_GAAP_Basic,0,COLUMN()),6)</f>
        <v/>
      </c>
      <c r="AK125" s="1714">
        <f>ROUND(INDEX(SP_GF_NI,0,COLUMN())-INDEX(MO_RIS_NI_GAAP_Basic,0,COLUMN()),6)</f>
        <v/>
      </c>
      <c r="AL125" s="1713">
        <f>ROUND(INDEX(SP_GF_NI,0,COLUMN())-INDEX(MO_RIS_NI_GAAP_Basic,0,COLUMN()),6)</f>
        <v/>
      </c>
      <c r="AM125" s="1713">
        <f>ROUND(INDEX(SP_GF_NI,0,COLUMN())-INDEX(MO_RIS_NI_GAAP_Basic,0,COLUMN()),6)</f>
        <v/>
      </c>
      <c r="AN125" s="1713">
        <f>ROUND(INDEX(SP_GF_NI,0,COLUMN())-INDEX(MO_RIS_NI_GAAP_Basic,0,COLUMN()),6)</f>
        <v/>
      </c>
      <c r="AO125" s="1713">
        <f>ROUND(INDEX(SP_GF_NI,0,COLUMN())-INDEX(MO_RIS_NI_GAAP_Basic,0,COLUMN()),6)</f>
        <v/>
      </c>
      <c r="AP125" s="1713">
        <f>ROUND(INDEX(SP_GF_NI,0,COLUMN())-INDEX(MO_RIS_NI_GAAP_Basic,0,COLUMN()),6)</f>
        <v/>
      </c>
      <c r="AQ125" s="1713">
        <f>ROUND(INDEX(SP_GF_NI,0,COLUMN())-INDEX(MO_RIS_NI_GAAP_Basic,0,COLUMN()),6)</f>
        <v/>
      </c>
      <c r="AR125" s="1713">
        <f>ROUND(INDEX(SP_GF_NI,0,COLUMN())-INDEX(MO_RIS_NI_GAAP_Basic,0,COLUMN()),6)</f>
        <v/>
      </c>
      <c r="AS125" s="1713">
        <f>ROUND(INDEX(SP_GF_NI,0,COLUMN())-INDEX(MO_RIS_NI_GAAP_Basic,0,COLUMN()),6)</f>
        <v/>
      </c>
      <c r="AT125" s="1713">
        <f>ROUND(INDEX(SP_GF_NI,0,COLUMN())-INDEX(MO_RIS_NI_GAAP_Basic,0,COLUMN()),6)</f>
        <v/>
      </c>
      <c r="AU125" s="1713">
        <f>ROUND(INDEX(SP_GF_NI,0,COLUMN())-INDEX(MO_RIS_NI_GAAP_Basic,0,COLUMN()),6)</f>
        <v/>
      </c>
      <c r="AV125" s="2097" t="n"/>
    </row>
    <row r="126" hidden="1" outlineLevel="1" ht="14.4" customHeight="1" s="877">
      <c r="A126" s="2087" t="inlineStr">
        <is>
          <t>Change in Cash Summary = Change in Cash Model</t>
        </is>
      </c>
      <c r="B126" s="457" t="n"/>
      <c r="C126" s="1713" t="n"/>
      <c r="D126" s="1713" t="n"/>
      <c r="E126" s="1713" t="n"/>
      <c r="F126" s="1713" t="n"/>
      <c r="G126" s="1713" t="n"/>
      <c r="H126" s="1713" t="n"/>
      <c r="I126" s="1713" t="n"/>
      <c r="J126" s="1713" t="n"/>
      <c r="K126" s="1713" t="n"/>
      <c r="L126" s="1713" t="n"/>
      <c r="M126" s="1713" t="n"/>
      <c r="N126" s="1713" t="n"/>
      <c r="O126" s="1713" t="n"/>
      <c r="P126" s="1713" t="n"/>
      <c r="Q126" s="1713" t="n"/>
      <c r="R126" s="1713" t="n"/>
      <c r="S126" s="1713" t="n"/>
      <c r="T126" s="1713" t="n"/>
      <c r="U126" s="1713" t="n"/>
      <c r="V126" s="1713" t="n"/>
      <c r="W126" s="1713" t="n"/>
      <c r="X126" s="1713">
        <f>ROUND(INDEX(SP_CFA_NetChange,0,COLUMN())-INDEX(MO_CFS_NetChange,0,COLUMN()),6)</f>
        <v/>
      </c>
      <c r="Y126" s="1713">
        <f>ROUND(INDEX(SP_CFA_NetChange,0,COLUMN())-INDEX(MO_CFS_NetChange,0,COLUMN()),6)</f>
        <v/>
      </c>
      <c r="Z126" s="1713">
        <f>ROUND(INDEX(SP_CFA_NetChange,0,COLUMN())-INDEX(MO_CFS_NetChange,0,COLUMN()),6)</f>
        <v/>
      </c>
      <c r="AA126" s="1713">
        <f>ROUND(INDEX(SP_CFA_NetChange,0,COLUMN())-INDEX(MO_CFS_NetChange,0,COLUMN()),6)</f>
        <v/>
      </c>
      <c r="AB126" s="1713">
        <f>ROUND(INDEX(SP_CFA_NetChange,0,COLUMN())-INDEX(MO_CFS_NetChange,0,COLUMN()),6)</f>
        <v/>
      </c>
      <c r="AC126" s="1713">
        <f>ROUND(INDEX(SP_CFA_NetChange,0,COLUMN())-INDEX(MO_CFS_NetChange,0,COLUMN()),6)</f>
        <v/>
      </c>
      <c r="AD126" s="1713">
        <f>ROUND(INDEX(SP_CFA_NetChange,0,COLUMN())-INDEX(MO_CFS_NetChange,0,COLUMN()),6)</f>
        <v/>
      </c>
      <c r="AE126" s="1713">
        <f>ROUND(INDEX(SP_CFA_NetChange,0,COLUMN())-INDEX(MO_CFS_NetChange,0,COLUMN()),6)</f>
        <v/>
      </c>
      <c r="AF126" s="1713">
        <f>ROUND(INDEX(SP_CFA_NetChange,0,COLUMN())-INDEX(MO_CFS_NetChange,0,COLUMN()),6)</f>
        <v/>
      </c>
      <c r="AG126" s="1713">
        <f>ROUND(INDEX(SP_CFA_NetChange,0,COLUMN())-INDEX(MO_CFS_NetChange,0,COLUMN()),6)</f>
        <v/>
      </c>
      <c r="AH126" s="1713">
        <f>ROUND(INDEX(SP_CFA_NetChange,0,COLUMN())-INDEX(MO_CFS_NetChange,0,COLUMN()),6)</f>
        <v/>
      </c>
      <c r="AI126" s="1713">
        <f>ROUND(INDEX(SP_CFA_NetChange,0,COLUMN())-INDEX(MO_CFS_NetChange,0,COLUMN()),6)</f>
        <v/>
      </c>
      <c r="AJ126" s="1713">
        <f>ROUND(INDEX(SP_CFA_NetChange,0,COLUMN())-INDEX(MO_CFS_NetChange,0,COLUMN()),6)</f>
        <v/>
      </c>
      <c r="AK126" s="1714">
        <f>ROUND(INDEX(SP_CFA_NetChange,0,COLUMN())-INDEX(MO_CFS_NetChange,0,COLUMN()),6)</f>
        <v/>
      </c>
      <c r="AL126" s="1713">
        <f>ROUND(INDEX(SP_CFA_NetChange,0,COLUMN())-INDEX(MO_CFS_NetChange,0,COLUMN()),6)</f>
        <v/>
      </c>
      <c r="AM126" s="1713">
        <f>ROUND(INDEX(SP_CFA_NetChange,0,COLUMN())-INDEX(MO_CFS_NetChange,0,COLUMN()),6)</f>
        <v/>
      </c>
      <c r="AN126" s="1713">
        <f>ROUND(INDEX(SP_CFA_NetChange,0,COLUMN())-INDEX(MO_CFS_NetChange,0,COLUMN()),6)</f>
        <v/>
      </c>
      <c r="AO126" s="1713">
        <f>ROUND(INDEX(SP_CFA_NetChange,0,COLUMN())-INDEX(MO_CFS_NetChange,0,COLUMN()),6)</f>
        <v/>
      </c>
      <c r="AP126" s="1713">
        <f>ROUND(INDEX(SP_CFA_NetChange,0,COLUMN())-INDEX(MO_CFS_NetChange,0,COLUMN()),6)</f>
        <v/>
      </c>
      <c r="AQ126" s="1713">
        <f>ROUND(INDEX(SP_CFA_NetChange,0,COLUMN())-INDEX(MO_CFS_NetChange,0,COLUMN()),6)</f>
        <v/>
      </c>
      <c r="AR126" s="1713">
        <f>ROUND(INDEX(SP_CFA_NetChange,0,COLUMN())-INDEX(MO_CFS_NetChange,0,COLUMN()),6)</f>
        <v/>
      </c>
      <c r="AS126" s="1713">
        <f>ROUND(INDEX(SP_CFA_NetChange,0,COLUMN())-INDEX(MO_CFS_NetChange,0,COLUMN()),6)</f>
        <v/>
      </c>
      <c r="AT126" s="1713">
        <f>ROUND(INDEX(SP_CFA_NetChange,0,COLUMN())-INDEX(MO_CFS_NetChange,0,COLUMN()),6)</f>
        <v/>
      </c>
      <c r="AU126" s="1713">
        <f>ROUND(INDEX(SP_CFA_NetChange,0,COLUMN())-INDEX(MO_CFS_NetChange,0,COLUMN()),6)</f>
        <v/>
      </c>
      <c r="AV126" s="2097" t="n"/>
    </row>
    <row r="127" collapsed="1" ht="14.4" customHeight="1" s="877">
      <c r="A127" s="2097" t="n"/>
      <c r="B127" s="2097" t="n"/>
      <c r="C127" s="2169" t="n"/>
      <c r="D127" s="2169" t="n"/>
      <c r="E127" s="2169" t="n"/>
      <c r="F127" s="2169" t="n"/>
      <c r="G127" s="2169" t="n"/>
      <c r="H127" s="2169" t="n"/>
      <c r="I127" s="2169" t="n"/>
      <c r="J127" s="2169" t="n"/>
      <c r="K127" s="2169" t="n"/>
      <c r="L127" s="2169" t="n"/>
      <c r="M127" s="2169" t="n"/>
      <c r="N127" s="2169" t="n"/>
      <c r="O127" s="2097" t="n"/>
      <c r="P127" s="2097" t="n"/>
      <c r="Q127" s="2097" t="n"/>
      <c r="R127" s="2097" t="n"/>
      <c r="S127" s="2169" t="n"/>
      <c r="T127" s="2097" t="n"/>
      <c r="U127" s="2097" t="n"/>
      <c r="V127" s="2097" t="n"/>
      <c r="W127" s="2097" t="n"/>
      <c r="X127" s="2169" t="n"/>
      <c r="Y127" s="2097" t="n"/>
      <c r="Z127" s="2097" t="n"/>
      <c r="AA127" s="2097" t="n"/>
      <c r="AB127" s="2097" t="n"/>
      <c r="AC127" s="2169" t="n"/>
      <c r="AD127" s="2097" t="n"/>
      <c r="AE127" s="2097" t="n"/>
      <c r="AF127" s="2097" t="n"/>
      <c r="AG127" s="2097" t="n"/>
      <c r="AH127" s="2169" t="n"/>
      <c r="AI127" s="2097" t="n"/>
      <c r="AJ127" s="2097" t="n"/>
      <c r="AK127" s="2215" t="n"/>
      <c r="AL127" s="2097" t="n"/>
      <c r="AM127" s="2169" t="n"/>
      <c r="AN127" s="2097" t="n"/>
      <c r="AO127" s="2097" t="n"/>
      <c r="AP127" s="2097" t="n"/>
      <c r="AQ127" s="2097" t="n"/>
      <c r="AR127" s="2169" t="n"/>
      <c r="AS127" s="2169" t="n"/>
      <c r="AT127" s="2169" t="n"/>
      <c r="AU127" s="2169" t="n"/>
      <c r="AV127" s="2097" t="n"/>
    </row>
    <row r="128" ht="14.4" customHeight="1" s="877">
      <c r="A128" s="2216" t="inlineStr">
        <is>
          <t>Tegus</t>
        </is>
      </c>
      <c r="B128" s="2161" t="n"/>
      <c r="C128" s="2161" t="n"/>
      <c r="D128" s="2161" t="n"/>
      <c r="E128" s="2161" t="n"/>
      <c r="F128" s="2161" t="n"/>
      <c r="G128" s="2161" t="n"/>
      <c r="H128" s="2161" t="n"/>
      <c r="I128" s="2161" t="n"/>
      <c r="J128" s="2161" t="n"/>
      <c r="K128" s="2161" t="n"/>
      <c r="L128" s="2161" t="n"/>
      <c r="M128" s="2161" t="n"/>
      <c r="N128" s="2161" t="n"/>
      <c r="O128" s="2161" t="n"/>
      <c r="P128" s="2161" t="n"/>
      <c r="Q128" s="2161" t="n"/>
      <c r="R128" s="2161" t="n"/>
      <c r="S128" s="2161" t="n"/>
      <c r="T128" s="2161" t="n"/>
      <c r="U128" s="2161" t="n"/>
      <c r="V128" s="2161" t="n"/>
      <c r="W128" s="2161" t="n"/>
      <c r="X128" s="2161" t="n"/>
      <c r="Y128" s="2161" t="n"/>
      <c r="Z128" s="2161" t="n"/>
      <c r="AA128" s="2161" t="n"/>
      <c r="AB128" s="2161" t="n"/>
      <c r="AC128" s="2161" t="n"/>
      <c r="AD128" s="2161" t="n"/>
      <c r="AE128" s="2161" t="n"/>
      <c r="AF128" s="2161" t="n"/>
      <c r="AG128" s="2161" t="n"/>
      <c r="AH128" s="2161" t="n"/>
      <c r="AI128" s="2161" t="n"/>
      <c r="AJ128" s="2161" t="n"/>
      <c r="AK128" s="2161" t="n"/>
      <c r="AL128" s="2161" t="n"/>
      <c r="AM128" s="2161" t="n"/>
      <c r="AN128" s="2161" t="n"/>
      <c r="AO128" s="2161" t="n"/>
      <c r="AP128" s="2161" t="n"/>
      <c r="AQ128" s="2161" t="n"/>
      <c r="AR128" s="2161" t="n"/>
      <c r="AS128" s="2161" t="n"/>
      <c r="AT128" s="2161" t="n"/>
      <c r="AU128" s="2161" t="n"/>
      <c r="AV128" s="2097" t="n"/>
    </row>
    <row r="129" ht="14.4" customHeight="1" s="877">
      <c r="A129" s="2217" t="n"/>
      <c r="B129" s="2097" t="n"/>
      <c r="C129" s="2097" t="n"/>
      <c r="D129" s="2097" t="n"/>
      <c r="E129" s="2097" t="n"/>
      <c r="F129" s="2097" t="n"/>
      <c r="G129" s="2097" t="n"/>
      <c r="H129" s="2097" t="n"/>
      <c r="I129" s="2097" t="n"/>
      <c r="J129" s="2097" t="n"/>
      <c r="K129" s="2097" t="n"/>
      <c r="L129" s="2097" t="n"/>
      <c r="M129" s="2097" t="n"/>
      <c r="N129" s="2097" t="n"/>
      <c r="O129" s="2097" t="n"/>
      <c r="P129" s="2097" t="n"/>
      <c r="Q129" s="2097" t="n"/>
      <c r="R129" s="2097" t="n"/>
      <c r="S129" s="2097" t="n"/>
      <c r="T129" s="2097" t="n"/>
      <c r="U129" s="2097" t="n"/>
      <c r="V129" s="2097" t="n"/>
      <c r="W129" s="2097" t="n"/>
      <c r="X129" s="2097" t="n"/>
      <c r="Y129" s="2097" t="n"/>
      <c r="Z129" s="2097" t="n"/>
      <c r="AA129" s="2097" t="n"/>
      <c r="AB129" s="2097" t="n"/>
      <c r="AC129" s="2097" t="n"/>
      <c r="AD129" s="2097" t="n"/>
      <c r="AE129" s="2097" t="n"/>
      <c r="AF129" s="2097" t="n"/>
      <c r="AG129" s="2097" t="n"/>
      <c r="AH129" s="2097" t="n"/>
      <c r="AI129" s="2097" t="n"/>
      <c r="AJ129" s="2097" t="n"/>
      <c r="AK129" s="2097" t="n"/>
      <c r="AL129" s="2097" t="n"/>
      <c r="AM129" s="2097" t="n"/>
      <c r="AN129" s="2097" t="n"/>
      <c r="AO129" s="2097" t="n"/>
      <c r="AP129" s="2097" t="n"/>
      <c r="AQ129" s="2097" t="n"/>
      <c r="AR129" s="2097" t="n"/>
      <c r="AS129" s="2097" t="n"/>
      <c r="AT129" s="2097" t="n"/>
      <c r="AU129" s="2097" t="n"/>
      <c r="AV129" s="2097" t="n"/>
    </row>
  </sheetData>
  <conditionalFormatting sqref="C122:AU126">
    <cfRule type="cellIs" priority="52" operator="equal" dxfId="1">
      <formula>0</formula>
    </cfRule>
    <cfRule type="cellIs" priority="51" operator="notEqual" dxfId="0">
      <formula>0</formula>
    </cfRule>
  </conditionalFormatting>
  <dataValidations count="1">
    <dataValidation sqref="B4" showDropDown="0" showInputMessage="1" showErrorMessage="1" allowBlank="1" type="list">
      <formula1>OFFSET(tb_ValuationToggle,1,0,4,1)</formula1>
    </dataValidation>
  </dataValidations>
  <pageMargins left="0.7" right="0.7" top="0.75" bottom="0.75" header="0.3" footer="0.3"/>
  <pageSetup orientation="portrait" paperSize="1" scale="30"/>
</worksheet>
</file>

<file path=xl/worksheets/sheet7.xml><?xml version="1.0" encoding="utf-8"?>
<worksheet xmlns="http://schemas.openxmlformats.org/spreadsheetml/2006/main">
  <sheetPr codeName="Sheet41">
    <outlinePr summaryBelow="1" summaryRight="1"/>
    <pageSetUpPr/>
  </sheetPr>
  <dimension ref="A1:J43"/>
  <sheetViews>
    <sheetView showGridLines="0" topLeftCell="A1" workbookViewId="0">
      <selection activeCell="A1" sqref="A1"/>
    </sheetView>
  </sheetViews>
  <sheetFormatPr baseColWidth="8" defaultColWidth="8.88428571428571" defaultRowHeight="14.4"/>
  <cols>
    <col width="4.42857142857143" customWidth="1" style="16" min="1" max="1"/>
    <col width="9.857142857142859" customWidth="1" style="16" min="2" max="2"/>
    <col width="15.7142857142857" customWidth="1" style="16" min="3" max="3"/>
    <col width="20.7142857142857" customWidth="1" style="16" min="4" max="4"/>
    <col width="30.7142857142857" customWidth="1" style="16" min="5" max="5"/>
    <col width="20.7142857142857" customWidth="1" style="16" min="6" max="6"/>
    <col width="23.7142857142857" customWidth="1" style="16" min="7" max="7"/>
    <col width="45.7142857142857" customWidth="1" style="16" min="8" max="8"/>
    <col width="7.85714285714286" customWidth="1" style="16" min="9" max="9"/>
    <col width="8.857142857142859" customWidth="1" style="16" min="10" max="16384"/>
  </cols>
  <sheetData>
    <row r="1" ht="14.4" customHeight="1" s="877">
      <c r="A1" s="101" t="n"/>
      <c r="B1" s="101" t="n"/>
      <c r="C1" s="101" t="n"/>
      <c r="D1" s="101" t="n"/>
      <c r="E1" s="101" t="n"/>
      <c r="F1" s="101" t="n"/>
      <c r="G1" s="101" t="n"/>
      <c r="H1" s="101" t="n"/>
      <c r="I1" s="101" t="n"/>
      <c r="J1" s="101" t="n"/>
    </row>
    <row r="2" ht="14.4" customHeight="1" s="877">
      <c r="A2" s="101" t="n"/>
      <c r="B2" s="101" t="n"/>
      <c r="C2" s="101" t="n"/>
      <c r="D2" s="101" t="n"/>
      <c r="E2" s="101" t="n"/>
      <c r="F2" s="101" t="n"/>
      <c r="G2" s="101" t="n"/>
      <c r="H2" s="101" t="n"/>
      <c r="I2" s="101" t="n"/>
      <c r="J2" s="101" t="n"/>
    </row>
    <row r="3" ht="14.4" customHeight="1" s="877">
      <c r="A3" s="101" t="n"/>
      <c r="B3" s="101" t="n"/>
      <c r="C3" s="101" t="n"/>
      <c r="D3" s="101" t="n"/>
      <c r="E3" s="101" t="n"/>
      <c r="F3" s="101" t="n"/>
      <c r="G3" s="101" t="n"/>
      <c r="H3" s="101" t="n"/>
      <c r="I3" s="101" t="n"/>
      <c r="J3" s="101" t="n"/>
    </row>
    <row r="4" ht="14.4" customHeight="1" s="877">
      <c r="A4" s="101" t="n"/>
      <c r="B4" s="101" t="n"/>
      <c r="C4" s="101" t="n"/>
      <c r="D4" s="101" t="n"/>
      <c r="E4" s="101" t="n"/>
      <c r="F4" s="101" t="n"/>
      <c r="G4" s="101" t="n"/>
      <c r="H4" s="101" t="n"/>
      <c r="I4" s="101" t="n"/>
      <c r="J4" s="101" t="n"/>
    </row>
    <row r="5" ht="14.4" customHeight="1" s="877">
      <c r="A5" s="101" t="n"/>
      <c r="B5" s="101" t="n"/>
      <c r="C5" s="101" t="n"/>
      <c r="D5" s="101" t="n"/>
      <c r="E5" s="101" t="n"/>
      <c r="F5" s="101" t="n"/>
      <c r="G5" s="101" t="n"/>
      <c r="H5" s="101" t="n"/>
      <c r="I5" s="101" t="n"/>
      <c r="J5" s="101" t="n"/>
    </row>
    <row r="6" ht="14.4" customHeight="1" s="877">
      <c r="A6" s="101" t="n"/>
      <c r="B6" s="101" t="n"/>
      <c r="C6" s="101" t="n"/>
      <c r="D6" s="101" t="n"/>
      <c r="E6" s="101" t="n"/>
      <c r="F6" s="101" t="n"/>
      <c r="G6" s="101" t="n"/>
      <c r="H6" s="101" t="n"/>
      <c r="I6" s="101" t="n"/>
      <c r="J6" s="101" t="n"/>
    </row>
    <row r="7" ht="18" customHeight="1" s="877">
      <c r="A7" s="101" t="n"/>
      <c r="B7" s="101" t="n"/>
      <c r="C7" s="101" t="n"/>
      <c r="D7" s="101" t="n"/>
      <c r="E7" s="2218">
        <f>MO.MRFPColumnNumber</f>
        <v/>
      </c>
      <c r="F7" s="107">
        <f>MO.MRFP</f>
        <v/>
      </c>
      <c r="G7" s="107" t="n"/>
      <c r="H7" s="2219">
        <f>AA.CSIN</f>
        <v/>
      </c>
      <c r="I7" s="103" t="n"/>
      <c r="J7" s="102" t="n"/>
    </row>
    <row r="8" ht="14.4" customHeight="1" s="877">
      <c r="A8" s="101" t="n"/>
      <c r="B8" s="101" t="n"/>
      <c r="C8" s="101" t="n"/>
      <c r="D8" s="101" t="n"/>
      <c r="E8" s="101" t="n"/>
      <c r="F8" s="101" t="n"/>
      <c r="G8" s="101" t="n"/>
      <c r="H8" s="2220">
        <f>+AA.ModelVersion</f>
        <v/>
      </c>
      <c r="I8" s="101" t="n"/>
      <c r="J8" s="101" t="n"/>
    </row>
    <row r="9" ht="14.4" customHeight="1" s="877">
      <c r="A9" s="101" t="n"/>
      <c r="B9" s="101" t="n"/>
      <c r="C9" s="101" t="n"/>
      <c r="D9" s="101" t="n"/>
      <c r="E9" s="101" t="n"/>
      <c r="F9" s="101" t="n"/>
      <c r="G9" s="101" t="n"/>
      <c r="H9" s="101" t="n"/>
      <c r="I9" s="101" t="n"/>
      <c r="J9" s="101" t="n"/>
    </row>
    <row r="10" ht="14.4" customHeight="1" s="877">
      <c r="A10" s="101" t="n"/>
      <c r="B10" s="101" t="n"/>
      <c r="C10" s="124" t="inlineStr">
        <is>
          <t>Update Date</t>
        </is>
      </c>
      <c r="D10" s="124" t="inlineStr">
        <is>
          <t>Updated By (Initials)</t>
        </is>
      </c>
      <c r="E10" s="124" t="inlineStr">
        <is>
          <t>Update Type</t>
        </is>
      </c>
      <c r="F10" s="124" t="inlineStr">
        <is>
          <t>Most Recent Period</t>
        </is>
      </c>
      <c r="G10" s="124" t="inlineStr">
        <is>
          <t>Special Comments</t>
        </is>
      </c>
      <c r="H10" s="161" t="inlineStr">
        <is>
          <t>Link to Press Release / News Item</t>
        </is>
      </c>
      <c r="I10" s="101" t="n"/>
      <c r="J10" s="101" t="n"/>
    </row>
    <row r="11" ht="14.4" customHeight="1" s="877">
      <c r="A11" s="101" t="n"/>
      <c r="B11" s="101" t="n"/>
      <c r="C11" s="119" t="n">
        <v>45974</v>
      </c>
      <c r="D11" s="120" t="inlineStr">
        <is>
          <t>AR</t>
        </is>
      </c>
      <c r="E11" s="163" t="inlineStr">
        <is>
          <t>Quarterly (Earnings Report)</t>
        </is>
      </c>
      <c r="F11" s="163" t="inlineStr">
        <is>
          <t>Q3-2025</t>
        </is>
      </c>
      <c r="G11" s="463" t="n"/>
      <c r="H11" s="162" t="inlineStr">
        <is>
          <t>Earnings Press Release</t>
        </is>
      </c>
      <c r="I11" s="101" t="n"/>
      <c r="J11" s="101" t="n"/>
    </row>
    <row r="12" ht="14.4" customHeight="1" s="877">
      <c r="A12" s="101" t="n"/>
      <c r="B12" s="101" t="n"/>
      <c r="C12" s="119" t="n">
        <v>45971</v>
      </c>
      <c r="D12" s="120" t="inlineStr">
        <is>
          <t>CZ</t>
        </is>
      </c>
      <c r="E12" s="163" t="inlineStr">
        <is>
          <t>Initial (Press Release)</t>
        </is>
      </c>
      <c r="F12" s="163" t="inlineStr">
        <is>
          <t>Q3-2025</t>
        </is>
      </c>
      <c r="G12" s="463" t="n"/>
      <c r="H12" s="852" t="inlineStr">
        <is>
          <t>Earnings Press Release</t>
        </is>
      </c>
      <c r="I12" s="101" t="n"/>
      <c r="J12" s="101" t="n"/>
    </row>
    <row r="13" ht="14.4" customHeight="1" s="877">
      <c r="A13" s="101" t="n"/>
      <c r="B13" s="101" t="n"/>
      <c r="C13" s="119" t="n">
        <v>45882</v>
      </c>
      <c r="D13" s="120" t="inlineStr">
        <is>
          <t>KS</t>
        </is>
      </c>
      <c r="E13" s="163" t="inlineStr">
        <is>
          <t>Quarterly (Earnings Report)</t>
        </is>
      </c>
      <c r="F13" s="163" t="inlineStr">
        <is>
          <t>Q2-2025</t>
        </is>
      </c>
      <c r="G13" s="463" t="n"/>
      <c r="H13" s="852" t="inlineStr">
        <is>
          <t>Earnings Press Release</t>
        </is>
      </c>
      <c r="I13" s="101" t="n"/>
      <c r="J13" s="101" t="n"/>
    </row>
    <row r="14" ht="14.4" customHeight="1" s="877">
      <c r="A14" s="101" t="n"/>
      <c r="B14" s="101" t="n"/>
      <c r="C14" s="119" t="n">
        <v>45881</v>
      </c>
      <c r="D14" s="120" t="inlineStr">
        <is>
          <t>ALT</t>
        </is>
      </c>
      <c r="E14" s="163" t="inlineStr">
        <is>
          <t>Initial (Press Release)</t>
        </is>
      </c>
      <c r="F14" s="163" t="inlineStr">
        <is>
          <t>Q2-2025</t>
        </is>
      </c>
      <c r="G14" s="463" t="n"/>
      <c r="H14" s="852" t="inlineStr">
        <is>
          <t>Earnings Press Release</t>
        </is>
      </c>
      <c r="I14" s="101" t="n"/>
      <c r="J14" s="101" t="n"/>
    </row>
    <row r="15" ht="14.4" customHeight="1" s="877">
      <c r="A15" s="101" t="n"/>
      <c r="B15" s="101" t="n"/>
      <c r="C15" s="119" t="n">
        <v>45792</v>
      </c>
      <c r="D15" s="120" t="inlineStr">
        <is>
          <t>ALT</t>
        </is>
      </c>
      <c r="E15" s="163" t="inlineStr">
        <is>
          <t>Quarterly (Earnings Report)</t>
        </is>
      </c>
      <c r="F15" s="163" t="inlineStr">
        <is>
          <t>Q1-2025</t>
        </is>
      </c>
      <c r="G15" s="463" t="n"/>
      <c r="H15" s="852" t="inlineStr">
        <is>
          <t>Earnings Press Release</t>
        </is>
      </c>
      <c r="I15" s="101" t="n"/>
      <c r="J15" s="101" t="n"/>
    </row>
    <row r="16" ht="14.4" customHeight="1" s="877">
      <c r="A16" s="101" t="n"/>
      <c r="B16" s="101" t="n"/>
      <c r="C16" s="119" t="n">
        <v>45791</v>
      </c>
      <c r="D16" s="120" t="inlineStr">
        <is>
          <t>AN</t>
        </is>
      </c>
      <c r="E16" s="163" t="inlineStr">
        <is>
          <t>Initial (Press Release)</t>
        </is>
      </c>
      <c r="F16" s="163" t="inlineStr">
        <is>
          <t>Q1-2025</t>
        </is>
      </c>
      <c r="G16" s="463" t="n"/>
      <c r="H16" s="852" t="inlineStr">
        <is>
          <t>Earnings Press Release</t>
        </is>
      </c>
      <c r="I16" s="101" t="n"/>
      <c r="J16" s="101" t="n"/>
    </row>
    <row r="17" ht="14.4" customHeight="1" s="877">
      <c r="A17" s="101" t="n"/>
      <c r="B17" s="101" t="n"/>
      <c r="C17" s="119" t="n">
        <v>45747</v>
      </c>
      <c r="D17" s="120" t="inlineStr">
        <is>
          <t>CZ</t>
        </is>
      </c>
      <c r="E17" s="163" t="inlineStr">
        <is>
          <t>424B4</t>
        </is>
      </c>
      <c r="F17" s="163" t="inlineStr">
        <is>
          <t>FY2024</t>
        </is>
      </c>
      <c r="G17" s="463" t="inlineStr">
        <is>
          <t>Dated 2025-03-31</t>
        </is>
      </c>
      <c r="H17" s="852" t="inlineStr">
        <is>
          <t>424B4</t>
        </is>
      </c>
      <c r="I17" s="101" t="n"/>
      <c r="J17" s="101" t="n"/>
    </row>
    <row r="18" ht="14.4" customHeight="1" s="877">
      <c r="A18" s="101" t="n"/>
      <c r="B18" s="101" t="n"/>
      <c r="C18" s="119" t="n">
        <v>45736</v>
      </c>
      <c r="D18" s="120" t="inlineStr">
        <is>
          <t>CZ</t>
        </is>
      </c>
      <c r="E18" s="163" t="inlineStr">
        <is>
          <t>S-1/A</t>
        </is>
      </c>
      <c r="F18" s="163" t="inlineStr">
        <is>
          <t>FY2024</t>
        </is>
      </c>
      <c r="G18" s="463" t="inlineStr">
        <is>
          <t>Dated 2025-03-20</t>
        </is>
      </c>
      <c r="H18" s="162" t="inlineStr">
        <is>
          <t>S-1/A</t>
        </is>
      </c>
      <c r="I18" s="101" t="n"/>
      <c r="J18" s="101" t="n"/>
    </row>
    <row r="19" ht="14.4" customHeight="1" s="877">
      <c r="A19" s="101" t="n"/>
      <c r="B19" s="101" t="n"/>
      <c r="C19" s="119" t="n">
        <v>45719</v>
      </c>
      <c r="D19" s="120" t="inlineStr">
        <is>
          <t>CZ</t>
        </is>
      </c>
      <c r="E19" s="163" t="inlineStr">
        <is>
          <t>First Look</t>
        </is>
      </c>
      <c r="F19" s="163" t="inlineStr">
        <is>
          <t>FY2024</t>
        </is>
      </c>
      <c r="G19" s="463" t="n"/>
      <c r="H19" s="162" t="inlineStr">
        <is>
          <t>S-1</t>
        </is>
      </c>
      <c r="I19" s="101" t="n"/>
      <c r="J19" s="101" t="n"/>
    </row>
    <row r="20" ht="14.4" customHeight="1" s="877">
      <c r="A20" s="101" t="n"/>
      <c r="B20" s="101" t="n"/>
      <c r="C20" s="101" t="n"/>
      <c r="D20" s="101" t="n"/>
      <c r="E20" s="101" t="n"/>
      <c r="F20" s="101" t="n"/>
      <c r="G20" s="101" t="n"/>
      <c r="H20" s="101" t="n"/>
      <c r="I20" s="101" t="n"/>
      <c r="J20" s="101" t="n"/>
    </row>
    <row r="21" ht="14.4" customHeight="1" s="877">
      <c r="A21" s="101" t="n"/>
      <c r="B21" s="101" t="n"/>
      <c r="C21" s="101" t="n"/>
      <c r="D21" s="101" t="n"/>
      <c r="E21" s="101" t="n"/>
      <c r="F21" s="101" t="n"/>
      <c r="G21" s="101" t="n"/>
      <c r="H21" s="101" t="n"/>
      <c r="I21" s="101" t="n"/>
      <c r="J21" s="101" t="n"/>
    </row>
    <row r="22" ht="14.4" customHeight="1" s="877">
      <c r="A22" s="101" t="n"/>
      <c r="B22" s="101" t="n"/>
      <c r="C22" s="101" t="n"/>
      <c r="D22" s="101" t="n"/>
      <c r="E22" s="101" t="n"/>
      <c r="F22" s="101" t="n"/>
      <c r="G22" s="101" t="n"/>
      <c r="H22" s="101" t="n"/>
      <c r="I22" s="101" t="n"/>
      <c r="J22" s="101" t="n"/>
    </row>
    <row r="23" ht="14.4" customHeight="1" s="877">
      <c r="A23" s="101" t="n"/>
      <c r="B23" s="101" t="n"/>
      <c r="C23" s="101" t="n"/>
      <c r="D23" s="101" t="n"/>
      <c r="E23" s="101" t="n"/>
      <c r="F23" s="101" t="n"/>
      <c r="G23" s="101" t="n"/>
      <c r="H23" s="101" t="n"/>
      <c r="I23" s="101" t="n"/>
      <c r="J23" s="101" t="n"/>
    </row>
    <row r="24" ht="14.4" customHeight="1" s="877">
      <c r="A24" s="101" t="n"/>
      <c r="B24" s="101" t="n"/>
      <c r="C24" s="101" t="n"/>
      <c r="D24" s="101" t="n"/>
      <c r="E24" s="101" t="n"/>
      <c r="F24" s="101" t="n"/>
      <c r="G24" s="101" t="n"/>
      <c r="H24" s="101" t="n"/>
      <c r="I24" s="101" t="n"/>
      <c r="J24" s="101" t="n"/>
    </row>
    <row r="25" ht="14.4" customHeight="1" s="877">
      <c r="A25" s="101" t="n"/>
      <c r="B25" s="101" t="n"/>
      <c r="C25" s="101" t="n"/>
      <c r="D25" s="101" t="n"/>
      <c r="E25" s="101" t="n"/>
      <c r="F25" s="101" t="n"/>
      <c r="G25" s="101" t="n"/>
      <c r="H25" s="101" t="n"/>
      <c r="I25" s="101" t="n"/>
      <c r="J25" s="101" t="n"/>
    </row>
    <row r="26" ht="14.4" customHeight="1" s="877">
      <c r="A26" s="101" t="n"/>
      <c r="B26" s="101" t="n"/>
      <c r="C26" s="101" t="n"/>
      <c r="D26" s="101" t="n"/>
      <c r="E26" s="101" t="n"/>
      <c r="F26" s="101" t="n"/>
      <c r="G26" s="101" t="n"/>
      <c r="H26" s="101" t="n"/>
      <c r="I26" s="101" t="n"/>
      <c r="J26" s="101" t="n"/>
    </row>
    <row r="27" ht="14.4" customHeight="1" s="877">
      <c r="A27" s="101" t="n"/>
      <c r="B27" s="101" t="n"/>
      <c r="C27" s="101" t="n"/>
      <c r="D27" s="101" t="n"/>
      <c r="E27" s="101" t="n"/>
      <c r="F27" s="101" t="n"/>
      <c r="G27" s="101" t="n"/>
      <c r="H27" s="101" t="n"/>
      <c r="I27" s="101" t="n"/>
      <c r="J27" s="101" t="n"/>
    </row>
    <row r="28" ht="14.4" customHeight="1" s="877">
      <c r="A28" s="101" t="n"/>
      <c r="B28" s="101" t="n"/>
      <c r="C28" s="101" t="n"/>
      <c r="D28" s="101" t="n"/>
      <c r="E28" s="101" t="n"/>
      <c r="F28" s="101" t="n"/>
      <c r="G28" s="101" t="n"/>
      <c r="H28" s="101" t="n"/>
      <c r="I28" s="101" t="n"/>
      <c r="J28" s="101" t="n"/>
    </row>
    <row r="29" ht="14.4" customHeight="1" s="877">
      <c r="A29" s="101" t="n"/>
      <c r="B29" s="101" t="n"/>
      <c r="C29" s="101" t="n"/>
      <c r="D29" s="101" t="n"/>
      <c r="E29" s="101" t="n"/>
      <c r="F29" s="101" t="n"/>
      <c r="G29" s="101" t="n"/>
      <c r="H29" s="101" t="n"/>
      <c r="I29" s="101" t="n"/>
      <c r="J29" s="101" t="n"/>
    </row>
    <row r="30" ht="14.4" customHeight="1" s="877">
      <c r="A30" s="101" t="n"/>
      <c r="B30" s="101" t="n"/>
      <c r="C30" s="101" t="n"/>
      <c r="D30" s="101" t="n"/>
      <c r="E30" s="101" t="n"/>
      <c r="F30" s="101" t="n"/>
      <c r="G30" s="101" t="n"/>
      <c r="H30" s="101" t="n"/>
      <c r="I30" s="101" t="n"/>
      <c r="J30" s="101" t="n"/>
    </row>
    <row r="31" ht="14.4" customHeight="1" s="877">
      <c r="A31" s="101" t="n"/>
      <c r="B31" s="101" t="n"/>
      <c r="C31" s="101" t="n"/>
      <c r="D31" s="101" t="n"/>
      <c r="E31" s="101" t="n"/>
      <c r="F31" s="101" t="n"/>
      <c r="G31" s="101" t="n"/>
      <c r="H31" s="101" t="n"/>
      <c r="I31" s="101" t="n"/>
      <c r="J31" s="101" t="n"/>
    </row>
    <row r="32" ht="14.4" customHeight="1" s="877">
      <c r="A32" s="101" t="n"/>
      <c r="B32" s="101" t="n"/>
      <c r="C32" s="101" t="n"/>
      <c r="D32" s="101" t="n"/>
      <c r="E32" s="101" t="n"/>
      <c r="F32" s="101" t="n"/>
      <c r="G32" s="101" t="n"/>
      <c r="H32" s="101" t="n"/>
      <c r="I32" s="101" t="n"/>
      <c r="J32" s="101" t="n"/>
    </row>
    <row r="33" ht="14.4" customHeight="1" s="877">
      <c r="A33" s="101" t="n"/>
      <c r="B33" s="101" t="n"/>
      <c r="C33" s="101" t="n"/>
      <c r="D33" s="101" t="n"/>
      <c r="E33" s="101" t="n"/>
      <c r="F33" s="101" t="n"/>
      <c r="G33" s="101" t="n"/>
      <c r="H33" s="101" t="n"/>
      <c r="I33" s="101" t="n"/>
      <c r="J33" s="101" t="n"/>
    </row>
    <row r="34" ht="14.4" customHeight="1" s="877">
      <c r="A34" s="101" t="n"/>
      <c r="B34" s="101" t="n"/>
      <c r="C34" s="101" t="n"/>
      <c r="D34" s="101" t="n"/>
      <c r="E34" s="101" t="n"/>
      <c r="F34" s="101" t="n"/>
      <c r="G34" s="101" t="n"/>
      <c r="H34" s="101" t="n"/>
      <c r="I34" s="101" t="n"/>
      <c r="J34" s="101" t="n"/>
    </row>
    <row r="35" ht="14.4" customHeight="1" s="877">
      <c r="A35" s="101" t="n"/>
      <c r="B35" s="101" t="n"/>
      <c r="C35" s="101" t="n"/>
      <c r="D35" s="101" t="n"/>
      <c r="E35" s="101" t="n"/>
      <c r="F35" s="101" t="n"/>
      <c r="G35" s="101" t="n"/>
      <c r="H35" s="101" t="n"/>
      <c r="I35" s="101" t="n"/>
      <c r="J35" s="101" t="n"/>
    </row>
    <row r="36" ht="14.4" customHeight="1" s="877">
      <c r="A36" s="101" t="n"/>
      <c r="B36" s="101" t="n"/>
      <c r="C36" s="101" t="n"/>
      <c r="D36" s="101" t="n"/>
      <c r="E36" s="101" t="n"/>
      <c r="F36" s="101" t="n"/>
      <c r="G36" s="101" t="n"/>
      <c r="H36" s="101" t="n"/>
      <c r="I36" s="101" t="n"/>
      <c r="J36" s="101" t="n"/>
    </row>
    <row r="37" ht="14.4" customHeight="1" s="877">
      <c r="A37" s="101" t="n"/>
      <c r="B37" s="101" t="n"/>
      <c r="C37" s="101" t="n"/>
      <c r="D37" s="101" t="n"/>
      <c r="E37" s="101" t="n"/>
      <c r="F37" s="101" t="n"/>
      <c r="G37" s="101" t="n"/>
      <c r="H37" s="101" t="n"/>
      <c r="I37" s="101" t="n"/>
      <c r="J37" s="101" t="n"/>
    </row>
    <row r="38" ht="14.4" customHeight="1" s="877">
      <c r="A38" s="101" t="n"/>
      <c r="B38" s="101" t="n"/>
      <c r="C38" s="101" t="n"/>
      <c r="D38" s="101" t="n"/>
      <c r="E38" s="101" t="n"/>
      <c r="F38" s="101" t="n"/>
      <c r="G38" s="101" t="n"/>
      <c r="H38" s="101" t="n"/>
      <c r="I38" s="101" t="n"/>
      <c r="J38" s="101" t="n"/>
    </row>
    <row r="39" ht="14.4" customHeight="1" s="877">
      <c r="A39" s="101" t="n"/>
      <c r="B39" s="101" t="n"/>
      <c r="C39" s="101" t="n"/>
      <c r="D39" s="101" t="n"/>
      <c r="E39" s="101" t="n"/>
      <c r="F39" s="101" t="n"/>
      <c r="G39" s="101" t="n"/>
      <c r="H39" s="101" t="n"/>
      <c r="I39" s="101" t="n"/>
      <c r="J39" s="101" t="n"/>
    </row>
    <row r="40" ht="14.4" customHeight="1" s="877">
      <c r="A40" s="101" t="n"/>
      <c r="B40" s="101" t="n"/>
      <c r="C40" s="101" t="n"/>
      <c r="D40" s="101" t="n"/>
      <c r="E40" s="101" t="n"/>
      <c r="F40" s="101" t="n"/>
      <c r="G40" s="101" t="n"/>
      <c r="H40" s="101" t="n"/>
      <c r="I40" s="101" t="n"/>
      <c r="J40" s="101" t="n"/>
    </row>
    <row r="41" ht="14.4" customHeight="1" s="877">
      <c r="A41" s="101" t="n"/>
      <c r="B41" s="101" t="n"/>
      <c r="C41" s="101" t="n"/>
      <c r="D41" s="101" t="n"/>
      <c r="E41" s="101" t="n"/>
      <c r="F41" s="101" t="n"/>
      <c r="G41" s="101" t="n"/>
      <c r="H41" s="101" t="n"/>
      <c r="I41" s="101" t="n"/>
      <c r="J41" s="101" t="n"/>
    </row>
    <row r="42" ht="14.4" customHeight="1" s="877">
      <c r="A42" s="101" t="n"/>
      <c r="B42" s="101" t="n"/>
      <c r="C42" s="101" t="n"/>
      <c r="D42" s="101" t="n"/>
      <c r="E42" s="101" t="n"/>
      <c r="F42" s="101" t="n"/>
      <c r="G42" s="101" t="n"/>
      <c r="H42" s="101" t="n"/>
      <c r="I42" s="101" t="n"/>
      <c r="J42" s="101" t="n"/>
    </row>
    <row r="43" ht="14.4" customHeight="1" s="877">
      <c r="A43" s="101" t="n"/>
      <c r="B43" s="101" t="n"/>
      <c r="C43" s="101" t="n"/>
      <c r="D43" s="101" t="n"/>
      <c r="E43" s="101" t="n"/>
      <c r="F43" s="101" t="n"/>
      <c r="G43" s="101" t="n"/>
      <c r="H43" s="101" t="n"/>
      <c r="I43" s="101" t="n"/>
      <c r="J43" s="101" t="n"/>
    </row>
  </sheetData>
  <hyperlinks>
    <hyperlink xmlns:r="http://schemas.openxmlformats.org/officeDocument/2006/relationships" ref="H11" tooltip="Website Link" display="Earnings Press Release" r:id="rId1"/>
    <hyperlink xmlns:r="http://schemas.openxmlformats.org/officeDocument/2006/relationships" ref="H12" tooltip="Website Link" display="Earnings Press Release" r:id="rId2"/>
    <hyperlink xmlns:r="http://schemas.openxmlformats.org/officeDocument/2006/relationships" ref="H13" tooltip="Website Link" display="Earnings Press Release" r:id="rId3"/>
    <hyperlink xmlns:r="http://schemas.openxmlformats.org/officeDocument/2006/relationships" ref="H14" tooltip="Website Link" display="Earnings Press Release" r:id="rId4"/>
    <hyperlink xmlns:r="http://schemas.openxmlformats.org/officeDocument/2006/relationships" ref="H15" tooltip="Website Link" display="Earnings Press Release" r:id="rId5"/>
    <hyperlink xmlns:r="http://schemas.openxmlformats.org/officeDocument/2006/relationships" ref="H16" tooltip="Website Link" display="Earnings Press Release" r:id="rId6"/>
    <hyperlink xmlns:r="http://schemas.openxmlformats.org/officeDocument/2006/relationships" ref="H17" tooltip="Website Link" display="424B4" r:id="rId7"/>
    <hyperlink xmlns:r="http://schemas.openxmlformats.org/officeDocument/2006/relationships" ref="H18" tooltip="Website Link" display="S-1/A" r:id="rId8"/>
    <hyperlink xmlns:r="http://schemas.openxmlformats.org/officeDocument/2006/relationships" ref="H19" tooltip="Website Link" display="S-1" r:id="rId9"/>
  </hyperlinks>
  <pageMargins left="0.7" right="0.7" top="0.75" bottom="0.75" header="0.3" footer="0.3"/>
  <pageSetup orientation="portrait" paperSize="1"/>
  <drawing xmlns:r="http://schemas.openxmlformats.org/officeDocument/2006/relationships" r:id="rId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Canalyst</dc:creator>
  <dcterms:created xmlns:dcterms="http://purl.org/dc/terms/" xmlns:xsi="http://www.w3.org/2001/XMLSchema-instance" xsi:type="dcterms:W3CDTF">2016-04-22T21:21:10Z</dcterms:created>
  <dcterms:modified xmlns:dcterms="http://purl.org/dc/terms/" xmlns:xsi="http://www.w3.org/2001/XMLSchema-instance" xsi:type="dcterms:W3CDTF">2026-02-18T04:58:16Z</dcterms:modified>
  <cp:lastModifiedBy>Tegus (WW)</cp:lastModifiedBy>
  <cp:lastPrinted>2025-03-04T11:54:54Z</cp:lastPrinted>
</cp:coreProperties>
</file>