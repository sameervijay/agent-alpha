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harmon/Documents/Stanford/Restructuring Class/Cases/WeWork/Model/"/>
    </mc:Choice>
  </mc:AlternateContent>
  <xr:revisionPtr revIDLastSave="0" documentId="13_ncr:1_{FDEEE03B-29D5-C94C-8817-139CB88C4FBD}" xr6:coauthVersionLast="47" xr6:coauthVersionMax="47" xr10:uidLastSave="{00000000-0000-0000-0000-000000000000}"/>
  <bookViews>
    <workbookView xWindow="3620" yWindow="-19560" windowWidth="34300" windowHeight="14480" xr2:uid="{8A7C8784-A3DE-BC49-AB25-A7D2AB5973E3}"/>
  </bookViews>
  <sheets>
    <sheet name="Valuation" sheetId="4" r:id="rId1"/>
  </sheets>
  <definedNames>
    <definedName name="_xlnm.Print_Area" localSheetId="0">Valuation!$B$3:$Q$18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4" l="1"/>
  <c r="J23" i="4"/>
  <c r="I23" i="4"/>
  <c r="H23" i="4"/>
  <c r="I7" i="4"/>
  <c r="J7" i="4" s="1"/>
  <c r="K7" i="4" s="1"/>
  <c r="P10" i="4" l="1"/>
  <c r="P11" i="4" s="1"/>
  <c r="P14" i="4" l="1"/>
  <c r="K10" i="4" l="1"/>
  <c r="I10" i="4"/>
  <c r="I11" i="4" s="1"/>
  <c r="H10" i="4"/>
  <c r="H11" i="4" s="1"/>
  <c r="G10" i="4"/>
  <c r="J10" i="4"/>
  <c r="J11" i="4" s="1"/>
  <c r="K11" i="4" l="1"/>
  <c r="F15" i="4"/>
  <c r="G11" i="4"/>
  <c r="F14" i="4" l="1"/>
  <c r="F13" i="4"/>
  <c r="F16" i="4" l="1"/>
  <c r="P16" i="4"/>
  <c r="F17" i="4"/>
</calcChain>
</file>

<file path=xl/sharedStrings.xml><?xml version="1.0" encoding="utf-8"?>
<sst xmlns="http://schemas.openxmlformats.org/spreadsheetml/2006/main" count="41" uniqueCount="37">
  <si>
    <t>($ in millions)</t>
  </si>
  <si>
    <t>Assumptions</t>
  </si>
  <si>
    <t>Risk Free Rate:</t>
  </si>
  <si>
    <t>Market Risk Premium:</t>
  </si>
  <si>
    <t>Projected Equity to Value:</t>
  </si>
  <si>
    <t>Levered Beta:</t>
  </si>
  <si>
    <t>Cost of Equity:</t>
  </si>
  <si>
    <t>Tax Rate:</t>
  </si>
  <si>
    <t>Cost of Debt:</t>
  </si>
  <si>
    <t>WACC:</t>
  </si>
  <si>
    <t>Terminal Growth Rate:</t>
  </si>
  <si>
    <t>Terminal Value:</t>
  </si>
  <si>
    <t>Discounted Terminal Value</t>
  </si>
  <si>
    <t>Total Enterprise Value</t>
  </si>
  <si>
    <t>Unlevered Industry Beta:</t>
  </si>
  <si>
    <t>Notes</t>
  </si>
  <si>
    <t>Discounted Cash Flows</t>
  </si>
  <si>
    <t>Sum of Discounted Cash Flows</t>
  </si>
  <si>
    <t>CAPM:  (Rf + B(Rm-Rf))</t>
  </si>
  <si>
    <t>Per formula in Chapter 5</t>
  </si>
  <si>
    <t>Rd * (1-T) * (D / V) + Re * (E / V)</t>
  </si>
  <si>
    <t>7 Mos</t>
  </si>
  <si>
    <t>Ended</t>
  </si>
  <si>
    <t>Fiscal Year Ended December 31,</t>
  </si>
  <si>
    <t>Months in Period</t>
  </si>
  <si>
    <t>Cash Flow Growth Rate</t>
  </si>
  <si>
    <t>WeWork:  From Unicorn to Bankruptcy - Teaching Note</t>
  </si>
  <si>
    <t>Implied TV EBITDA Multiple:</t>
  </si>
  <si>
    <t>Times: Discount Factor</t>
  </si>
  <si>
    <t>Additional Calculations:</t>
  </si>
  <si>
    <t>Example DCF Valuation Analysis</t>
  </si>
  <si>
    <t>Exhibit 10</t>
  </si>
  <si>
    <t>Exhibit 9</t>
  </si>
  <si>
    <t>Assumption</t>
  </si>
  <si>
    <t>Long term assumption</t>
  </si>
  <si>
    <t>Resulting terminal value divided by year 5 projected Adj. EBITDA</t>
  </si>
  <si>
    <t>Free Cash Flow (Exhibit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</si>
</sst>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(* #,##0.000_);_(* \(#,##0.000\);_(* &quot;-&quot;??_);_(@_)"/>
    <numFmt numFmtId="168" formatCode="#,##0.0\x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2"/>
      <color rgb="FF00B0F0"/>
      <name val="Times New Roman"/>
      <family val="1"/>
    </font>
    <font>
      <u val="singleAccounting"/>
      <sz val="12"/>
      <color theme="1"/>
      <name val="Times New Roman"/>
      <family val="1"/>
    </font>
    <font>
      <sz val="1"/>
      <color indexed="9"/>
      <name val="Symbol"/>
      <charset val="2"/>
    </font>
    <font>
      <sz val="12"/>
      <color rgb="FF92D05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 applyAlignment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43" fontId="2" fillId="0" borderId="0" xfId="1" applyFont="1"/>
    <xf numFmtId="164" fontId="2" fillId="0" borderId="0" xfId="1" applyNumberFormat="1" applyFont="1"/>
    <xf numFmtId="0" fontId="7" fillId="0" borderId="0" xfId="0" applyFont="1"/>
    <xf numFmtId="0" fontId="8" fillId="0" borderId="0" xfId="0" applyFont="1"/>
    <xf numFmtId="164" fontId="9" fillId="0" borderId="0" xfId="1" applyNumberFormat="1" applyFont="1"/>
    <xf numFmtId="165" fontId="2" fillId="0" borderId="0" xfId="1" applyNumberFormat="1" applyFont="1"/>
    <xf numFmtId="9" fontId="2" fillId="0" borderId="0" xfId="2" applyFont="1"/>
    <xf numFmtId="166" fontId="2" fillId="0" borderId="0" xfId="2" applyNumberFormat="1" applyFont="1"/>
    <xf numFmtId="167" fontId="2" fillId="0" borderId="0" xfId="0" applyNumberFormat="1" applyFont="1"/>
    <xf numFmtId="10" fontId="2" fillId="0" borderId="0" xfId="0" applyNumberFormat="1" applyFont="1"/>
    <xf numFmtId="168" fontId="2" fillId="0" borderId="0" xfId="0" applyNumberFormat="1" applyFont="1"/>
    <xf numFmtId="10" fontId="2" fillId="0" borderId="0" xfId="2" applyNumberFormat="1" applyFont="1"/>
    <xf numFmtId="43" fontId="2" fillId="0" borderId="0" xfId="0" applyNumberFormat="1" applyFont="1"/>
    <xf numFmtId="10" fontId="11" fillId="0" borderId="0" xfId="0" applyNumberFormat="1" applyFont="1"/>
    <xf numFmtId="43" fontId="11" fillId="0" borderId="0" xfId="1" applyFont="1"/>
    <xf numFmtId="9" fontId="11" fillId="0" borderId="0" xfId="0" applyNumberFormat="1" applyFont="1"/>
    <xf numFmtId="9" fontId="2" fillId="0" borderId="0" xfId="0" applyNumberFormat="1" applyFont="1"/>
    <xf numFmtId="0" fontId="3" fillId="0" borderId="0" xfId="0" applyFont="1"/>
    <xf numFmtId="165" fontId="1" fillId="0" borderId="0" xfId="1" applyNumberFormat="1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14" fontId="1" fillId="0" borderId="1" xfId="0" applyNumberFormat="1" applyFont="1" applyBorder="1"/>
    <xf numFmtId="167" fontId="2" fillId="0" borderId="0" xfId="1" applyNumberFormat="1" applyFont="1"/>
    <xf numFmtId="14" fontId="2" fillId="0" borderId="0" xfId="0" applyNumberFormat="1" applyFont="1"/>
    <xf numFmtId="0" fontId="12" fillId="0" borderId="0" xfId="0" applyFont="1"/>
  </cellXfs>
  <cellStyles count="4">
    <cellStyle name="Comma" xfId="1" builtinId="3"/>
    <cellStyle name="Invisible" xfId="3" xr:uid="{2395F0BE-12B1-1F48-A870-E954693411E6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16</xdr:col>
      <xdr:colOff>139700</xdr:colOff>
      <xdr:row>16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1A6C22-2BFE-8C4B-BA42-DE9E0F42753D}"/>
            </a:ext>
          </a:extLst>
        </xdr:cNvPr>
        <xdr:cNvSpPr/>
      </xdr:nvSpPr>
      <xdr:spPr>
        <a:xfrm>
          <a:off x="9372600" y="1663700"/>
          <a:ext cx="3441700" cy="260350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281E-ED84-F541-8C03-67390DB2EB4E}">
  <sheetPr>
    <pageSetUpPr fitToPage="1"/>
  </sheetPr>
  <dimension ref="B1:R46"/>
  <sheetViews>
    <sheetView showGridLines="0" tabSelected="1" zoomScaleNormal="100" workbookViewId="0">
      <selection activeCell="F21" sqref="F21"/>
    </sheetView>
  </sheetViews>
  <sheetFormatPr baseColWidth="10" defaultRowHeight="16" x14ac:dyDescent="0.2"/>
  <cols>
    <col min="1" max="1" width="10.83203125" style="2"/>
    <col min="2" max="3" width="2.83203125" style="2" customWidth="1"/>
    <col min="4" max="4" width="10.83203125" style="2"/>
    <col min="5" max="5" width="19.83203125" style="2" customWidth="1"/>
    <col min="6" max="6" width="10.83203125" style="2" customWidth="1"/>
    <col min="7" max="8" width="10.83203125" style="2"/>
    <col min="9" max="9" width="10.83203125" style="2" customWidth="1"/>
    <col min="10" max="10" width="10.83203125" style="2"/>
    <col min="11" max="11" width="10.83203125" style="2" customWidth="1"/>
    <col min="12" max="12" width="3.33203125" style="2" customWidth="1"/>
    <col min="13" max="16" width="10.83203125" style="2"/>
    <col min="17" max="17" width="4.33203125" style="2" customWidth="1"/>
    <col min="18" max="18" width="50.83203125" style="2" customWidth="1"/>
    <col min="19" max="16384" width="10.83203125" style="2"/>
  </cols>
  <sheetData>
    <row r="1" spans="2:18" x14ac:dyDescent="0.2">
      <c r="B1" s="34" t="s">
        <v>26</v>
      </c>
    </row>
    <row r="2" spans="2:18" x14ac:dyDescent="0.2">
      <c r="B2" s="34" t="s">
        <v>30</v>
      </c>
    </row>
    <row r="3" spans="2:18" x14ac:dyDescent="0.2">
      <c r="R3" s="12"/>
    </row>
    <row r="4" spans="2:18" ht="19" x14ac:dyDescent="0.35">
      <c r="B4" s="11"/>
      <c r="R4" s="26"/>
    </row>
    <row r="5" spans="2:18" ht="19" x14ac:dyDescent="0.35">
      <c r="G5" s="28" t="s">
        <v>21</v>
      </c>
      <c r="M5" s="8" t="s">
        <v>1</v>
      </c>
      <c r="R5" s="26" t="s">
        <v>15</v>
      </c>
    </row>
    <row r="6" spans="2:18" ht="19" x14ac:dyDescent="0.35">
      <c r="G6" s="29" t="s">
        <v>22</v>
      </c>
      <c r="H6" s="3" t="s">
        <v>23</v>
      </c>
      <c r="I6" s="3"/>
      <c r="J6" s="3"/>
      <c r="K6" s="30"/>
      <c r="M6" s="2" t="s">
        <v>2</v>
      </c>
      <c r="O6" s="20"/>
      <c r="P6" s="18">
        <v>4.6199999999999998E-2</v>
      </c>
      <c r="Q6" s="22"/>
      <c r="R6" s="2" t="s">
        <v>31</v>
      </c>
    </row>
    <row r="7" spans="2:18" x14ac:dyDescent="0.2">
      <c r="B7" s="4" t="s">
        <v>0</v>
      </c>
      <c r="C7" s="5"/>
      <c r="D7" s="5"/>
      <c r="E7" s="5"/>
      <c r="F7" s="6"/>
      <c r="G7" s="31">
        <v>45657</v>
      </c>
      <c r="H7" s="6">
        <v>2025</v>
      </c>
      <c r="I7" s="6">
        <f>H7+1</f>
        <v>2026</v>
      </c>
      <c r="J7" s="6">
        <f>I7+1</f>
        <v>2027</v>
      </c>
      <c r="K7" s="6">
        <f>J7+1</f>
        <v>2028</v>
      </c>
      <c r="M7" s="2" t="s">
        <v>3</v>
      </c>
      <c r="P7" s="18">
        <v>5.5E-2</v>
      </c>
      <c r="Q7" s="22"/>
      <c r="R7" s="2" t="s">
        <v>31</v>
      </c>
    </row>
    <row r="8" spans="2:18" x14ac:dyDescent="0.2">
      <c r="B8" s="7"/>
      <c r="F8" s="10"/>
      <c r="G8" s="10"/>
      <c r="H8" s="10"/>
      <c r="I8" s="10"/>
      <c r="J8" s="10"/>
      <c r="K8" s="10"/>
      <c r="M8" s="2" t="s">
        <v>14</v>
      </c>
      <c r="P8" s="9">
        <v>1.34</v>
      </c>
      <c r="Q8" s="23"/>
      <c r="R8" s="2" t="s">
        <v>32</v>
      </c>
    </row>
    <row r="9" spans="2:18" x14ac:dyDescent="0.2">
      <c r="B9" s="2" t="s">
        <v>36</v>
      </c>
      <c r="F9" s="10"/>
      <c r="G9" s="14">
        <v>100</v>
      </c>
      <c r="H9" s="14">
        <v>70</v>
      </c>
      <c r="I9" s="14">
        <v>132</v>
      </c>
      <c r="J9" s="14">
        <v>173</v>
      </c>
      <c r="K9" s="14">
        <v>212</v>
      </c>
      <c r="M9" s="2" t="s">
        <v>4</v>
      </c>
      <c r="P9" s="25">
        <v>1</v>
      </c>
      <c r="Q9" s="24"/>
      <c r="R9" s="2" t="s">
        <v>33</v>
      </c>
    </row>
    <row r="10" spans="2:18" x14ac:dyDescent="0.2">
      <c r="B10" s="2" t="s">
        <v>28</v>
      </c>
      <c r="G10" s="32">
        <f>1/(1+$P14)^(SUM($G22:G22)/12)</f>
        <v>0.93607814840529657</v>
      </c>
      <c r="H10" s="32">
        <f>1/(1+$P14)^(SUM($G22:H22)/12)</f>
        <v>0.83585869131645385</v>
      </c>
      <c r="I10" s="32">
        <f>1/(1+$P14)^(SUM($G22:I22)/12)</f>
        <v>0.74636904305424945</v>
      </c>
      <c r="J10" s="32">
        <f>1/(1+$P14)^(SUM($G22:J22)/12)</f>
        <v>0.66646043669457045</v>
      </c>
      <c r="K10" s="32">
        <f>1/(1+$P14)^(SUM($G22:K22)/12)</f>
        <v>0.59510709589657163</v>
      </c>
      <c r="M10" s="2" t="s">
        <v>5</v>
      </c>
      <c r="P10" s="21">
        <f>(1+(1-P12)*(1-P9)/P9)*P8</f>
        <v>1.34</v>
      </c>
      <c r="Q10" s="21"/>
      <c r="R10" s="2" t="s">
        <v>19</v>
      </c>
    </row>
    <row r="11" spans="2:18" x14ac:dyDescent="0.2">
      <c r="B11" s="2" t="s">
        <v>16</v>
      </c>
      <c r="G11" s="10">
        <f>G9*G10</f>
        <v>93.607814840529656</v>
      </c>
      <c r="H11" s="10">
        <f>H9*H10</f>
        <v>58.510108392151771</v>
      </c>
      <c r="I11" s="10">
        <f>I9*I10</f>
        <v>98.52071368316092</v>
      </c>
      <c r="J11" s="10">
        <f>J9*J10</f>
        <v>115.29765554816069</v>
      </c>
      <c r="K11" s="10">
        <f>K9*K10</f>
        <v>126.16270433007318</v>
      </c>
      <c r="M11" s="2" t="s">
        <v>6</v>
      </c>
      <c r="P11" s="16">
        <f>P6+P7*P10</f>
        <v>0.11990000000000001</v>
      </c>
      <c r="Q11" s="16"/>
      <c r="R11" s="2" t="s">
        <v>18</v>
      </c>
    </row>
    <row r="12" spans="2:18" x14ac:dyDescent="0.2">
      <c r="G12" s="10"/>
      <c r="H12" s="10"/>
      <c r="I12" s="10"/>
      <c r="J12" s="10"/>
      <c r="K12" s="10"/>
      <c r="M12" s="2" t="s">
        <v>7</v>
      </c>
      <c r="P12" s="25">
        <v>0.25</v>
      </c>
      <c r="Q12" s="25"/>
      <c r="R12" s="2" t="s">
        <v>34</v>
      </c>
    </row>
    <row r="13" spans="2:18" x14ac:dyDescent="0.2">
      <c r="B13" s="2" t="s">
        <v>17</v>
      </c>
      <c r="F13" s="14">
        <f>SUM(G11:K11)</f>
        <v>492.09899679407624</v>
      </c>
      <c r="G13" s="10"/>
      <c r="H13" s="10"/>
      <c r="I13" s="10"/>
      <c r="J13" s="10"/>
      <c r="K13" s="10"/>
      <c r="M13" s="2" t="s">
        <v>8</v>
      </c>
      <c r="P13" s="18">
        <v>0.06</v>
      </c>
      <c r="Q13" s="18"/>
      <c r="R13" s="2" t="s">
        <v>33</v>
      </c>
    </row>
    <row r="14" spans="2:18" x14ac:dyDescent="0.2">
      <c r="B14" s="2" t="s">
        <v>11</v>
      </c>
      <c r="F14" s="10">
        <f>(K9*(1+P15))/(P14-P15)</f>
        <v>2428.921023359288</v>
      </c>
      <c r="G14" s="10"/>
      <c r="H14" s="10"/>
      <c r="I14" s="10"/>
      <c r="J14" s="10"/>
      <c r="K14" s="10"/>
      <c r="M14" s="2" t="s">
        <v>9</v>
      </c>
      <c r="P14" s="16">
        <f>P11*P9+P13*(1-P12)*(1-P9)</f>
        <v>0.11990000000000001</v>
      </c>
      <c r="Q14" s="16"/>
      <c r="R14" s="2" t="s">
        <v>20</v>
      </c>
    </row>
    <row r="15" spans="2:18" ht="17" customHeight="1" x14ac:dyDescent="0.2">
      <c r="B15" s="2" t="s">
        <v>28</v>
      </c>
      <c r="F15" s="17">
        <f>K10</f>
        <v>0.59510709589657163</v>
      </c>
      <c r="G15" s="10"/>
      <c r="H15" s="10"/>
      <c r="I15" s="10"/>
      <c r="J15" s="10"/>
      <c r="K15" s="10"/>
      <c r="M15" s="2" t="s">
        <v>10</v>
      </c>
      <c r="P15" s="18">
        <v>0.03</v>
      </c>
      <c r="Q15" s="22"/>
      <c r="R15" s="2" t="s">
        <v>33</v>
      </c>
    </row>
    <row r="16" spans="2:18" ht="17" customHeight="1" x14ac:dyDescent="0.35">
      <c r="B16" s="2" t="s">
        <v>12</v>
      </c>
      <c r="F16" s="13">
        <f>F14*F15</f>
        <v>1445.4681363734746</v>
      </c>
      <c r="G16" s="10"/>
      <c r="H16" s="10"/>
      <c r="I16" s="10"/>
      <c r="J16" s="10"/>
      <c r="K16" s="10"/>
      <c r="M16" s="2" t="s">
        <v>27</v>
      </c>
      <c r="P16" s="19">
        <f>F14/344</f>
        <v>7.0608169283700235</v>
      </c>
      <c r="Q16" s="19"/>
      <c r="R16" s="2" t="s">
        <v>35</v>
      </c>
    </row>
    <row r="17" spans="2:11" x14ac:dyDescent="0.2">
      <c r="C17" s="1" t="s">
        <v>13</v>
      </c>
      <c r="D17" s="1"/>
      <c r="E17" s="1"/>
      <c r="F17" s="27">
        <f>F13+F16</f>
        <v>1937.5671331675508</v>
      </c>
    </row>
    <row r="20" spans="2:11" x14ac:dyDescent="0.2">
      <c r="B20" s="8" t="s">
        <v>29</v>
      </c>
    </row>
    <row r="21" spans="2:11" x14ac:dyDescent="0.2">
      <c r="F21" s="33">
        <v>45443</v>
      </c>
      <c r="G21" s="33">
        <v>45657</v>
      </c>
      <c r="H21" s="33">
        <v>46022</v>
      </c>
      <c r="I21" s="33">
        <v>46387</v>
      </c>
      <c r="J21" s="33">
        <v>46752</v>
      </c>
      <c r="K21" s="33">
        <v>47118</v>
      </c>
    </row>
    <row r="22" spans="2:11" x14ac:dyDescent="0.2">
      <c r="B22" s="2" t="s">
        <v>24</v>
      </c>
      <c r="G22" s="2">
        <v>7</v>
      </c>
      <c r="H22" s="2">
        <v>12</v>
      </c>
      <c r="I22" s="2">
        <v>12</v>
      </c>
      <c r="J22" s="2">
        <v>12</v>
      </c>
      <c r="K22" s="2">
        <v>12</v>
      </c>
    </row>
    <row r="23" spans="2:11" x14ac:dyDescent="0.2">
      <c r="B23" s="2" t="s">
        <v>25</v>
      </c>
      <c r="H23" s="15">
        <f>H9/G9-1</f>
        <v>-0.30000000000000004</v>
      </c>
      <c r="I23" s="15">
        <f>I9/H9-1</f>
        <v>0.88571428571428568</v>
      </c>
      <c r="J23" s="15">
        <f>J9/I9-1</f>
        <v>0.31060606060606055</v>
      </c>
      <c r="K23" s="15">
        <f>K9/J9-1</f>
        <v>0.22543352601156075</v>
      </c>
    </row>
    <row r="46" spans="2:2" x14ac:dyDescent="0.2">
      <c r="B46" s="8"/>
    </row>
  </sheetData>
  <pageMargins left="0.7" right="0.7" top="0.75" bottom="0.75" header="0.3" footer="0.3"/>
  <pageSetup scale="72" orientation="landscape" horizontalDpi="0" verticalDpi="0"/>
  <headerFooter>
    <oddFooter>&amp;C&amp;"Georgia,Regular"&amp;K000000Created by Mike Harmon, 2023</oddFooter>
  </headerFooter>
  <ignoredErrors>
    <ignoredError sqref="H10 I10:J1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Valuation</vt:lpstr>
      <vt:lpstr>Valuation!Print_Area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Harmon</dc:creator>
  <cp:lastModifiedBy>Mike Harmon</cp:lastModifiedBy>
  <cp:lastPrinted>2024-11-21T00:41:09Z</cp:lastPrinted>
  <dcterms:created xsi:type="dcterms:W3CDTF">2023-05-02T14:52:34Z</dcterms:created>
  <dcterms:modified xsi:type="dcterms:W3CDTF">2026-01-17T14:46:13Z</dcterms:modified>
</cp:coreProperties>
</file>